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allianzms.sharepoint.com/teams/IE0055-5607160/Shared Documents/EMERALD/04. Product Documentation/IB and PRB/Investment Bond/Illustrator Spreadsheet/"/>
    </mc:Choice>
  </mc:AlternateContent>
  <xr:revisionPtr revIDLastSave="138" documentId="8_{781CBB44-CBE9-4EAC-B265-3A5206BE2AEE}" xr6:coauthVersionLast="47" xr6:coauthVersionMax="47" xr10:uidLastSave="{5F6D7A11-3A60-4430-A38D-15F16427F6DB}"/>
  <bookViews>
    <workbookView xWindow="-28920" yWindow="-15" windowWidth="29040" windowHeight="15720" activeTab="4" xr2:uid="{00000000-000D-0000-FFFF-FFFF00000000}"/>
  </bookViews>
  <sheets>
    <sheet name="Version Control" sheetId="20" r:id="rId1"/>
    <sheet name="Overview" sheetId="19" r:id="rId2"/>
    <sheet name="Parameters" sheetId="12" r:id="rId3"/>
    <sheet name="Projections" sheetId="17" r:id="rId4"/>
    <sheet name="Inputs for PointOfIssue Doc" sheetId="13" r:id="rId5"/>
    <sheet name="Documentation" sheetId="21" r:id="rId6"/>
    <sheet name="Reliances &amp; Limitations" sheetId="18" r:id="rId7"/>
  </sheets>
  <definedNames>
    <definedName name="_Order1" hidden="1">255</definedName>
    <definedName name="adj_upfront_commission">Projections!$C$64</definedName>
    <definedName name="Altered_Initial_Commission_Indicator">Projections!$C$63</definedName>
    <definedName name="anscount" hidden="1">1</definedName>
    <definedName name="Commission_Uplift_Factor">Projections!$C$57</definedName>
    <definedName name="Contrib_Per_Year">Projections!$C$32</definedName>
    <definedName name="Current_Age">Projections!$C$35</definedName>
    <definedName name="Custom_Reg_Inc_Perc_annual">Projections!$C$43</definedName>
    <definedName name="Exit_Tax_Rate">Projections!$C$50</definedName>
    <definedName name="External_Fund_Charge_Monthly">Projections!$D$54</definedName>
    <definedName name="Fund_Charge_Monthly">Projections!$D$55</definedName>
    <definedName name="Fund_Rates_Table">Parameters!$C$76:$G$89</definedName>
    <definedName name="Fund_Zero_Year">Projections!$C$52</definedName>
    <definedName name="Government_Levy">Projections!$C$49</definedName>
    <definedName name="Growth_Rate_1">Projections!$C$38</definedName>
    <definedName name="Growth_Rate_1_Monthly">Projections!$D$38</definedName>
    <definedName name="Gtee_Charge_Monthly">Projections!$D$56</definedName>
    <definedName name="Gtee_Flag">Projections!$C$39</definedName>
    <definedName name="Income_Escalation_Rate_Annual">Projections!$C$45</definedName>
    <definedName name="Income_Type">Projections!$C$41</definedName>
    <definedName name="Minimum_Fund_Value">Projections!$C$51</definedName>
    <definedName name="new_allocation_rate">Projections!$C$67</definedName>
    <definedName name="new_upfront_commission">Projections!$C$66</definedName>
    <definedName name="Ongoing_Commission_Monthly">Projections!$D$60</definedName>
    <definedName name="Policyholder_Type">Projections!$C$25</definedName>
    <definedName name="Product_Code">Projections!$C$24</definedName>
    <definedName name="Product_Parameters">Parameters!$D$5:$S$47</definedName>
    <definedName name="Rate_Of_Return_Monthly">Projections!$D$37</definedName>
    <definedName name="RateOfReturn_Max">Projections!$C$36</definedName>
    <definedName name="Reg_Contrib">Projections!$C$33</definedName>
    <definedName name="Reg_Income_Flag">Projections!$C$40</definedName>
    <definedName name="Regular_Income_Amount">Projections!$C$44</definedName>
    <definedName name="Regular_Income_Start_Month">Projections!$C$48</definedName>
    <definedName name="RP_Allocation_Rate">Projections!$C$68</definedName>
    <definedName name="RP_Allowed">Projections!$C$30</definedName>
    <definedName name="RP_Escalation_Rate">Projections!$C$34</definedName>
    <definedName name="RP_Flag">Projections!$C$29</definedName>
    <definedName name="RP_PremFreq">Projections!$C$31</definedName>
    <definedName name="RP_special_deal_level">Projections!#REF!</definedName>
    <definedName name="RP_upfront_commission">Projections!$C$59</definedName>
    <definedName name="SinglePrem">Projections!$C$28</definedName>
    <definedName name="special_deal_indicator">Projections!$C$61</definedName>
    <definedName name="special_deal_level">Projections!$C$62</definedName>
    <definedName name="Start_Date">Projections!$C$26</definedName>
    <definedName name="SurrederPenalty_Table">Parameters!$C$48:$E$49</definedName>
    <definedName name="Surrender_Penalty_table">Parameters!$C$48:$E$49</definedName>
    <definedName name="Tiered_Bonus_Commission_Applies">Projections!$C$65</definedName>
    <definedName name="upfront_commission">Projections!$C$58</definedName>
    <definedName name="Weighted_Guarantee_Charge">Projections!$T$28</definedName>
    <definedName name="Weighted_RateOfReturn_Annual">Projections!$T$25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7" l="1"/>
  <c r="F112" i="12" l="1"/>
  <c r="E64" i="17" l="1"/>
  <c r="C66" i="17" s="1" a="1"/>
  <c r="C66" i="17" s="1"/>
  <c r="D19" i="13" a="1"/>
  <c r="D19" i="13" s="1"/>
  <c r="K21" i="13" a="1"/>
  <c r="K21" i="13" s="1"/>
  <c r="K22" i="13"/>
  <c r="D47" i="17"/>
  <c r="C48" i="17"/>
  <c r="D10" i="13" l="1"/>
  <c r="C59" i="17" l="1"/>
  <c r="H75" i="17"/>
  <c r="C68" i="17"/>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C55" i="17"/>
  <c r="C60" i="17"/>
  <c r="I75" i="17"/>
  <c r="E40" i="17"/>
  <c r="C50" i="17"/>
  <c r="C44" i="17"/>
  <c r="D29" i="13" l="1"/>
  <c r="D52" i="13"/>
  <c r="D51" i="13"/>
  <c r="E8" i="13"/>
  <c r="D47" i="13" l="1"/>
  <c r="D42" i="13"/>
  <c r="C30" i="17"/>
  <c r="F75" i="17"/>
  <c r="C32" i="17" a="1"/>
  <c r="C32" i="17" s="1"/>
  <c r="D28" i="13" l="1"/>
  <c r="D48" i="13" s="1"/>
  <c r="G75" i="17"/>
  <c r="O75" i="17" s="1"/>
  <c r="BJ75" i="17" s="1"/>
  <c r="D43" i="13" l="1"/>
  <c r="D53" i="13"/>
  <c r="Y75" i="17"/>
  <c r="P75" i="17"/>
  <c r="R75" i="17" s="1"/>
  <c r="BH75" i="17"/>
  <c r="D49" i="13"/>
  <c r="AX75" i="17"/>
  <c r="H69" i="12"/>
  <c r="H70" i="12"/>
  <c r="D44" i="13" l="1"/>
  <c r="P29" i="17"/>
  <c r="Q29" i="17"/>
  <c r="R29" i="17"/>
  <c r="P26" i="17"/>
  <c r="Q26" i="17"/>
  <c r="R26" i="17"/>
  <c r="H68" i="12"/>
  <c r="D26" i="13"/>
  <c r="H62" i="12" l="1"/>
  <c r="H63" i="12"/>
  <c r="H64" i="12"/>
  <c r="H65" i="12"/>
  <c r="H66" i="12"/>
  <c r="H67" i="12"/>
  <c r="H71" i="12"/>
  <c r="G58" i="12"/>
  <c r="F58" i="12"/>
  <c r="E58" i="12"/>
  <c r="D58" i="12"/>
  <c r="E86" i="12" l="1"/>
  <c r="E87" i="12"/>
  <c r="E88" i="12"/>
  <c r="E84" i="12"/>
  <c r="E79" i="12"/>
  <c r="E81" i="12"/>
  <c r="E82" i="12"/>
  <c r="E83" i="12"/>
  <c r="E78" i="12"/>
  <c r="E80" i="12"/>
  <c r="E85" i="12"/>
  <c r="E89" i="12"/>
  <c r="E77" i="12"/>
  <c r="F87" i="12" l="1"/>
  <c r="Q25" i="17"/>
  <c r="F88" i="12"/>
  <c r="R25" i="17"/>
  <c r="F86" i="12"/>
  <c r="P25" i="17"/>
  <c r="F47" i="12" l="1"/>
  <c r="F46" i="12"/>
  <c r="F45" i="12"/>
  <c r="F44" i="12"/>
  <c r="F7" i="12"/>
  <c r="C58" i="17" l="1"/>
  <c r="C67" i="17" s="1"/>
  <c r="E2" i="13"/>
  <c r="J75" i="17" l="1"/>
  <c r="L75" i="17" s="1"/>
  <c r="S26" i="17"/>
  <c r="O26" i="17"/>
  <c r="N26" i="17"/>
  <c r="M26" i="17"/>
  <c r="L26" i="17"/>
  <c r="K26" i="17"/>
  <c r="J26" i="17"/>
  <c r="I26" i="17"/>
  <c r="H26" i="17"/>
  <c r="G26" i="17"/>
  <c r="D32" i="13" l="1"/>
  <c r="D37" i="13"/>
  <c r="T26" i="17"/>
  <c r="C54" i="17" s="1"/>
  <c r="D33" i="13" l="1"/>
  <c r="D34" i="13" s="1"/>
  <c r="D38" i="13"/>
  <c r="D39" i="13" s="1"/>
  <c r="D54" i="17"/>
  <c r="E97" i="12"/>
  <c r="E95" i="12"/>
  <c r="E41" i="17"/>
  <c r="BD75" i="17" l="1"/>
  <c r="D22" i="19"/>
  <c r="D21" i="19"/>
  <c r="D20" i="19"/>
  <c r="D19" i="19"/>
  <c r="C35" i="17" l="1"/>
  <c r="A4" i="18" l="1"/>
  <c r="A19" i="18" s="1"/>
  <c r="C39" i="17"/>
  <c r="T24" i="17" l="1"/>
  <c r="G20" i="17" s="1"/>
  <c r="G28" i="17"/>
  <c r="H28" i="17"/>
  <c r="I28" i="17"/>
  <c r="G29" i="17"/>
  <c r="H29" i="17"/>
  <c r="I29" i="17"/>
  <c r="J29" i="17"/>
  <c r="K29" i="17"/>
  <c r="L29" i="17"/>
  <c r="M29" i="17"/>
  <c r="N29" i="17"/>
  <c r="O29" i="17"/>
  <c r="S29" i="17"/>
  <c r="C76" i="17"/>
  <c r="G76" i="17" s="1"/>
  <c r="AW75" i="17"/>
  <c r="AS75" i="17"/>
  <c r="AR75" i="17"/>
  <c r="AQ75" i="17"/>
  <c r="AP75" i="17"/>
  <c r="AO75" i="17"/>
  <c r="AN74" i="17"/>
  <c r="AM74" i="17"/>
  <c r="AL74" i="17"/>
  <c r="AK74" i="17"/>
  <c r="AJ74" i="17"/>
  <c r="AI74" i="17"/>
  <c r="AH74" i="17"/>
  <c r="AH75" i="17" s="1"/>
  <c r="D55" i="17"/>
  <c r="F76" i="17" l="1"/>
  <c r="J44" i="17" a="1"/>
  <c r="J44" i="17" s="1"/>
  <c r="J42" i="17" a="1"/>
  <c r="J42" i="17" s="1"/>
  <c r="K42" i="17" s="1"/>
  <c r="J43" i="17" a="1"/>
  <c r="J43" i="17" s="1"/>
  <c r="K43" i="17" s="1"/>
  <c r="J41" i="17" a="1"/>
  <c r="J41" i="17" s="1"/>
  <c r="K41" i="17" s="1"/>
  <c r="J32" i="17" a="1"/>
  <c r="J32" i="17" s="1"/>
  <c r="K32" i="17" s="1"/>
  <c r="C77" i="17"/>
  <c r="G77" i="17" s="1"/>
  <c r="J37" i="17" a="1"/>
  <c r="J37" i="17" s="1"/>
  <c r="K37" i="17" s="1"/>
  <c r="J38" i="17" a="1"/>
  <c r="J38" i="17" s="1"/>
  <c r="K38" i="17" s="1"/>
  <c r="J36" i="17" a="1"/>
  <c r="J36" i="17" s="1"/>
  <c r="K36" i="17" s="1"/>
  <c r="T28" i="17"/>
  <c r="U28" i="17" s="1"/>
  <c r="J39" i="17" a="1"/>
  <c r="J39" i="17" s="1"/>
  <c r="K39" i="17" s="1"/>
  <c r="J33" i="17" a="1"/>
  <c r="J33" i="17" s="1"/>
  <c r="K33" i="17" s="1"/>
  <c r="J40" i="17" a="1"/>
  <c r="J40" i="17" s="1"/>
  <c r="K40" i="17" s="1"/>
  <c r="J35" i="17" a="1"/>
  <c r="J35" i="17" s="1"/>
  <c r="K35" i="17" s="1"/>
  <c r="J34" i="17" a="1"/>
  <c r="J34" i="17" s="1"/>
  <c r="K34" i="17" s="1"/>
  <c r="B76" i="17"/>
  <c r="H76" i="17" s="1"/>
  <c r="AW76" i="17"/>
  <c r="AJ75" i="17"/>
  <c r="AN75" i="17"/>
  <c r="AK75" i="17"/>
  <c r="D60" i="17"/>
  <c r="AL75" i="17"/>
  <c r="AI75" i="17"/>
  <c r="AM75" i="17"/>
  <c r="O76" i="17" l="1"/>
  <c r="AH76" i="17"/>
  <c r="B77" i="17"/>
  <c r="H77" i="17" s="1"/>
  <c r="F77" i="17"/>
  <c r="AW77" i="17"/>
  <c r="C78" i="17"/>
  <c r="G78" i="17" s="1"/>
  <c r="C56" i="17"/>
  <c r="D56" i="17" s="1"/>
  <c r="AP76" i="17"/>
  <c r="AM76" i="17"/>
  <c r="AI76" i="17"/>
  <c r="AS76" i="17"/>
  <c r="AR76" i="17"/>
  <c r="AO76" i="17"/>
  <c r="AN76" i="17"/>
  <c r="AQ76" i="17"/>
  <c r="AL76" i="17"/>
  <c r="AK76" i="17"/>
  <c r="AJ76" i="17"/>
  <c r="P76" i="17" l="1"/>
  <c r="R76" i="17" s="1"/>
  <c r="BJ76" i="17"/>
  <c r="O77" i="17"/>
  <c r="AH77" i="17"/>
  <c r="AP77" i="17"/>
  <c r="AL77" i="17"/>
  <c r="AS77" i="17"/>
  <c r="AO77" i="17"/>
  <c r="AK77" i="17"/>
  <c r="AR77" i="17"/>
  <c r="AN77" i="17"/>
  <c r="AJ77" i="17"/>
  <c r="AQ77" i="17"/>
  <c r="AM77" i="17"/>
  <c r="AI77" i="17"/>
  <c r="C79" i="17"/>
  <c r="F78" i="17"/>
  <c r="B78" i="17"/>
  <c r="H78" i="17" s="1"/>
  <c r="AW78" i="17"/>
  <c r="P77" i="17" l="1"/>
  <c r="R77" i="17" s="1"/>
  <c r="BJ77" i="17"/>
  <c r="O78" i="17"/>
  <c r="AH78" i="17"/>
  <c r="B79" i="17"/>
  <c r="H79" i="17" s="1"/>
  <c r="C80" i="17"/>
  <c r="F80" i="17" s="1"/>
  <c r="AW79" i="17"/>
  <c r="G79" i="17"/>
  <c r="F79" i="17"/>
  <c r="AM78" i="17"/>
  <c r="AQ78" i="17"/>
  <c r="AJ78" i="17"/>
  <c r="AN78" i="17"/>
  <c r="AR78" i="17"/>
  <c r="AK78" i="17"/>
  <c r="AO78" i="17"/>
  <c r="AS78" i="17"/>
  <c r="AL78" i="17"/>
  <c r="AP78" i="17"/>
  <c r="AI78" i="17"/>
  <c r="O25" i="17"/>
  <c r="M25" i="17"/>
  <c r="S25" i="17"/>
  <c r="L25" i="17"/>
  <c r="K25" i="17"/>
  <c r="J25" i="17"/>
  <c r="O79" i="17" l="1"/>
  <c r="P78" i="17"/>
  <c r="R78" i="17" s="1"/>
  <c r="BJ78" i="17"/>
  <c r="P79" i="17"/>
  <c r="R79" i="17" s="1"/>
  <c r="BJ79" i="17"/>
  <c r="AH79" i="17"/>
  <c r="AR79" i="17"/>
  <c r="AN79" i="17"/>
  <c r="AJ79" i="17"/>
  <c r="AQ79" i="17"/>
  <c r="AM79" i="17"/>
  <c r="AI79" i="17"/>
  <c r="AP79" i="17"/>
  <c r="AL79" i="17"/>
  <c r="AS79" i="17"/>
  <c r="AO79" i="17"/>
  <c r="AK79" i="17"/>
  <c r="G80" i="17"/>
  <c r="B80" i="17"/>
  <c r="H80" i="17" s="1"/>
  <c r="C81" i="17"/>
  <c r="G81" i="17" s="1"/>
  <c r="AW80" i="17"/>
  <c r="F83" i="12"/>
  <c r="F81" i="12"/>
  <c r="F89" i="12"/>
  <c r="F85" i="12"/>
  <c r="F80" i="12"/>
  <c r="F82" i="12"/>
  <c r="F84" i="12"/>
  <c r="N25" i="17"/>
  <c r="O80" i="17" l="1"/>
  <c r="AH80" i="17"/>
  <c r="B81" i="17"/>
  <c r="H81" i="17" s="1"/>
  <c r="AW81" i="17"/>
  <c r="C82" i="17"/>
  <c r="F81" i="17"/>
  <c r="AQ80" i="17"/>
  <c r="AM80" i="17"/>
  <c r="AI80" i="17"/>
  <c r="AP80" i="17"/>
  <c r="AL80" i="17"/>
  <c r="AS80" i="17"/>
  <c r="AO80" i="17"/>
  <c r="AK80" i="17"/>
  <c r="AR80" i="17"/>
  <c r="AN80" i="17"/>
  <c r="AJ80" i="17"/>
  <c r="AJ81" i="17"/>
  <c r="AL81" i="17" l="1"/>
  <c r="P80" i="17"/>
  <c r="R80" i="17" s="1"/>
  <c r="BJ80" i="17"/>
  <c r="AR81" i="17"/>
  <c r="O81" i="17"/>
  <c r="AN81" i="17"/>
  <c r="AH81" i="17"/>
  <c r="AI81" i="17"/>
  <c r="AM81" i="17"/>
  <c r="AO81" i="17"/>
  <c r="AQ81" i="17"/>
  <c r="AK81" i="17"/>
  <c r="G82" i="17"/>
  <c r="C83" i="17"/>
  <c r="G83" i="17" s="1"/>
  <c r="B82" i="17"/>
  <c r="H82" i="17" s="1"/>
  <c r="AP81" i="17"/>
  <c r="AS81" i="17"/>
  <c r="AW82" i="17"/>
  <c r="F82" i="17"/>
  <c r="P81" i="17" l="1"/>
  <c r="R81" i="17" s="1"/>
  <c r="BJ81" i="17"/>
  <c r="O82" i="17"/>
  <c r="AW83" i="17"/>
  <c r="C84" i="17"/>
  <c r="G84" i="17" s="1"/>
  <c r="B83" i="17"/>
  <c r="H83" i="17" s="1"/>
  <c r="AN82" i="17"/>
  <c r="AO82" i="17"/>
  <c r="AH82" i="17"/>
  <c r="AI82" i="17"/>
  <c r="AS82" i="17"/>
  <c r="AR82" i="17"/>
  <c r="AM82" i="17"/>
  <c r="AL82" i="17"/>
  <c r="AQ82" i="17"/>
  <c r="AK82" i="17"/>
  <c r="AP82" i="17"/>
  <c r="AJ82" i="17"/>
  <c r="F83" i="17"/>
  <c r="F84" i="17"/>
  <c r="B84" i="17"/>
  <c r="H84" i="17" s="1"/>
  <c r="C85" i="17"/>
  <c r="G85" i="17" s="1"/>
  <c r="AW84" i="17"/>
  <c r="AN83" i="17"/>
  <c r="AM83" i="17"/>
  <c r="AL83" i="17"/>
  <c r="AS83" i="17"/>
  <c r="I25" i="17"/>
  <c r="H25" i="17"/>
  <c r="D96" i="12"/>
  <c r="G25" i="17"/>
  <c r="H61" i="12"/>
  <c r="H60" i="12"/>
  <c r="H59" i="12"/>
  <c r="AO83" i="17" l="1"/>
  <c r="AQ83" i="17"/>
  <c r="P82" i="17"/>
  <c r="R82" i="17" s="1"/>
  <c r="BJ82" i="17"/>
  <c r="AJ83" i="17"/>
  <c r="O83" i="17"/>
  <c r="AK83" i="17"/>
  <c r="AI83" i="17"/>
  <c r="AR83" i="17"/>
  <c r="O84" i="17"/>
  <c r="AP83" i="17"/>
  <c r="AH83" i="17"/>
  <c r="AH84" i="17"/>
  <c r="F85" i="17"/>
  <c r="T25" i="17"/>
  <c r="F78" i="12"/>
  <c r="E96" i="12"/>
  <c r="F79" i="12"/>
  <c r="AQ84" i="17"/>
  <c r="AM84" i="17"/>
  <c r="AI84" i="17"/>
  <c r="AP84" i="17"/>
  <c r="AL84" i="17"/>
  <c r="AS84" i="17"/>
  <c r="AO84" i="17"/>
  <c r="AK84" i="17"/>
  <c r="AR84" i="17"/>
  <c r="AN84" i="17"/>
  <c r="AJ84" i="17"/>
  <c r="C86" i="17"/>
  <c r="G86" i="17" s="1"/>
  <c r="AW85" i="17"/>
  <c r="B85" i="17"/>
  <c r="H85" i="17" s="1"/>
  <c r="F77" i="12"/>
  <c r="P84" i="17" l="1"/>
  <c r="R84" i="17" s="1"/>
  <c r="BJ84" i="17"/>
  <c r="P83" i="17"/>
  <c r="R83" i="17" s="1"/>
  <c r="BJ83" i="17"/>
  <c r="O85" i="17"/>
  <c r="AH85" i="17"/>
  <c r="C37" i="17"/>
  <c r="C38" i="17" s="1"/>
  <c r="E4" i="13" s="1"/>
  <c r="F86" i="17"/>
  <c r="U25" i="17"/>
  <c r="AP85" i="17"/>
  <c r="AL85" i="17"/>
  <c r="AS85" i="17"/>
  <c r="AO85" i="17"/>
  <c r="AK85" i="17"/>
  <c r="AR85" i="17"/>
  <c r="AN85" i="17"/>
  <c r="AJ85" i="17"/>
  <c r="AQ85" i="17"/>
  <c r="AM85" i="17"/>
  <c r="AI85" i="17"/>
  <c r="C87" i="17"/>
  <c r="G87" i="17" s="1"/>
  <c r="AW86" i="17"/>
  <c r="B86" i="17"/>
  <c r="H86" i="17" s="1"/>
  <c r="P85" i="17" l="1"/>
  <c r="R85" i="17" s="1"/>
  <c r="BJ85" i="17"/>
  <c r="O86" i="17"/>
  <c r="AH86" i="17"/>
  <c r="F87" i="17"/>
  <c r="D37" i="17"/>
  <c r="AS86" i="17"/>
  <c r="AO86" i="17"/>
  <c r="AK86" i="17"/>
  <c r="AR86" i="17"/>
  <c r="AN86" i="17"/>
  <c r="AJ86" i="17"/>
  <c r="AQ86" i="17"/>
  <c r="AM86" i="17"/>
  <c r="AI86" i="17"/>
  <c r="AP86" i="17"/>
  <c r="AL86" i="17"/>
  <c r="B87" i="17"/>
  <c r="H87" i="17" s="1"/>
  <c r="C88" i="17"/>
  <c r="G88" i="17" s="1"/>
  <c r="AW87" i="17"/>
  <c r="P86" i="17" l="1"/>
  <c r="R86" i="17" s="1"/>
  <c r="BJ86" i="17"/>
  <c r="O87" i="17"/>
  <c r="F88" i="17"/>
  <c r="D38" i="17"/>
  <c r="D75" i="17" s="1"/>
  <c r="M75" i="17" s="1"/>
  <c r="B88" i="17"/>
  <c r="H88" i="17" s="1"/>
  <c r="C89" i="17"/>
  <c r="G89" i="17" s="1"/>
  <c r="AW88" i="17"/>
  <c r="AR87" i="17"/>
  <c r="AN87" i="17"/>
  <c r="AJ87" i="17"/>
  <c r="AQ87" i="17"/>
  <c r="AM87" i="17"/>
  <c r="AI87" i="17"/>
  <c r="AP87" i="17"/>
  <c r="AL87" i="17"/>
  <c r="AH87" i="17"/>
  <c r="AS87" i="17"/>
  <c r="AO87" i="17"/>
  <c r="AK87" i="17"/>
  <c r="P87" i="17" l="1"/>
  <c r="R87" i="17" s="1"/>
  <c r="BJ87" i="17"/>
  <c r="O88" i="17"/>
  <c r="BE75" i="17"/>
  <c r="BI75" i="17"/>
  <c r="F89" i="17"/>
  <c r="C90" i="17"/>
  <c r="G90" i="17" s="1"/>
  <c r="AW89" i="17"/>
  <c r="B89" i="17"/>
  <c r="H89" i="17" s="1"/>
  <c r="AQ88" i="17"/>
  <c r="AM88" i="17"/>
  <c r="AI88" i="17"/>
  <c r="AP88" i="17"/>
  <c r="AL88" i="17"/>
  <c r="AH88" i="17"/>
  <c r="AS88" i="17"/>
  <c r="AO88" i="17"/>
  <c r="AK88" i="17"/>
  <c r="AR88" i="17"/>
  <c r="AN88" i="17"/>
  <c r="AJ88" i="17"/>
  <c r="P88" i="17" l="1"/>
  <c r="R88" i="17" s="1"/>
  <c r="BJ88" i="17"/>
  <c r="O89" i="17"/>
  <c r="F90" i="17"/>
  <c r="AP89" i="17"/>
  <c r="AL89" i="17"/>
  <c r="AH89" i="17"/>
  <c r="AS89" i="17"/>
  <c r="AO89" i="17"/>
  <c r="AK89" i="17"/>
  <c r="AR89" i="17"/>
  <c r="AN89" i="17"/>
  <c r="AJ89" i="17"/>
  <c r="AQ89" i="17"/>
  <c r="AM89" i="17"/>
  <c r="AI89" i="17"/>
  <c r="C91" i="17"/>
  <c r="G91" i="17" s="1"/>
  <c r="AW90" i="17"/>
  <c r="B90" i="17"/>
  <c r="H90" i="17" s="1"/>
  <c r="P89" i="17" l="1"/>
  <c r="R89" i="17" s="1"/>
  <c r="BJ89" i="17"/>
  <c r="O90" i="17"/>
  <c r="F91" i="17"/>
  <c r="AS90" i="17"/>
  <c r="AO90" i="17"/>
  <c r="AK90" i="17"/>
  <c r="AR90" i="17"/>
  <c r="AN90" i="17"/>
  <c r="AJ90" i="17"/>
  <c r="AQ90" i="17"/>
  <c r="AM90" i="17"/>
  <c r="AI90" i="17"/>
  <c r="AP90" i="17"/>
  <c r="AL90" i="17"/>
  <c r="AH90" i="17"/>
  <c r="B91" i="17"/>
  <c r="H91" i="17" s="1"/>
  <c r="C92" i="17"/>
  <c r="G92" i="17" s="1"/>
  <c r="AW91" i="17"/>
  <c r="P90" i="17" l="1"/>
  <c r="R90" i="17" s="1"/>
  <c r="BJ90" i="17"/>
  <c r="O91" i="17"/>
  <c r="F92" i="17"/>
  <c r="B92" i="17"/>
  <c r="C93" i="17"/>
  <c r="G93" i="17" s="1"/>
  <c r="AW92" i="17"/>
  <c r="AR91" i="17"/>
  <c r="AN91" i="17"/>
  <c r="AJ91" i="17"/>
  <c r="AQ91" i="17"/>
  <c r="AM91" i="17"/>
  <c r="AI91" i="17"/>
  <c r="AP91" i="17"/>
  <c r="AL91" i="17"/>
  <c r="AH91" i="17"/>
  <c r="AS91" i="17"/>
  <c r="AO91" i="17"/>
  <c r="AK91" i="17"/>
  <c r="O92" i="17" l="1"/>
  <c r="H92" i="17"/>
  <c r="P91" i="17"/>
  <c r="R91" i="17" s="1"/>
  <c r="BJ91" i="17"/>
  <c r="P92" i="17"/>
  <c r="BJ92" i="17"/>
  <c r="F93" i="17"/>
  <c r="C94" i="17"/>
  <c r="G94" i="17" s="1"/>
  <c r="AW93" i="17"/>
  <c r="B93" i="17"/>
  <c r="AQ92" i="17"/>
  <c r="AM92" i="17"/>
  <c r="AI92" i="17"/>
  <c r="AP92" i="17"/>
  <c r="AL92" i="17"/>
  <c r="AH92" i="17"/>
  <c r="AS92" i="17"/>
  <c r="AO92" i="17"/>
  <c r="AK92" i="17"/>
  <c r="AR92" i="17"/>
  <c r="AN92" i="17"/>
  <c r="AJ92" i="17"/>
  <c r="O93" i="17" l="1"/>
  <c r="H93" i="17"/>
  <c r="P93" i="17"/>
  <c r="BJ93" i="17"/>
  <c r="F94" i="17"/>
  <c r="R92" i="17"/>
  <c r="AP93" i="17"/>
  <c r="AL93" i="17"/>
  <c r="AH93" i="17"/>
  <c r="AS93" i="17"/>
  <c r="AO93" i="17"/>
  <c r="AK93" i="17"/>
  <c r="AR93" i="17"/>
  <c r="AN93" i="17"/>
  <c r="AJ93" i="17"/>
  <c r="AQ93" i="17"/>
  <c r="AM93" i="17"/>
  <c r="AI93" i="17"/>
  <c r="C95" i="17"/>
  <c r="G95" i="17" s="1"/>
  <c r="AW94" i="17"/>
  <c r="B94" i="17"/>
  <c r="O94" i="17" l="1"/>
  <c r="H94" i="17"/>
  <c r="P94" i="17"/>
  <c r="BJ94" i="17"/>
  <c r="F95" i="17"/>
  <c r="R93" i="17"/>
  <c r="AS94" i="17"/>
  <c r="AO94" i="17"/>
  <c r="AK94" i="17"/>
  <c r="AR94" i="17"/>
  <c r="AN94" i="17"/>
  <c r="AJ94" i="17"/>
  <c r="AQ94" i="17"/>
  <c r="AM94" i="17"/>
  <c r="AI94" i="17"/>
  <c r="AP94" i="17"/>
  <c r="AL94" i="17"/>
  <c r="AH94" i="17"/>
  <c r="B95" i="17"/>
  <c r="C96" i="17"/>
  <c r="G96" i="17" s="1"/>
  <c r="AW95" i="17"/>
  <c r="O95" i="17" l="1"/>
  <c r="H95" i="17"/>
  <c r="P95" i="17"/>
  <c r="BJ95" i="17"/>
  <c r="F96" i="17"/>
  <c r="R94" i="17"/>
  <c r="B96" i="17"/>
  <c r="C97" i="17"/>
  <c r="G97" i="17" s="1"/>
  <c r="AW96" i="17"/>
  <c r="AR95" i="17"/>
  <c r="AN95" i="17"/>
  <c r="AJ95" i="17"/>
  <c r="AQ95" i="17"/>
  <c r="AM95" i="17"/>
  <c r="AI95" i="17"/>
  <c r="AP95" i="17"/>
  <c r="AL95" i="17"/>
  <c r="AH95" i="17"/>
  <c r="AS95" i="17"/>
  <c r="AO95" i="17"/>
  <c r="AK95" i="17"/>
  <c r="O96" i="17" l="1"/>
  <c r="H96" i="17"/>
  <c r="P96" i="17"/>
  <c r="BJ96" i="17"/>
  <c r="F97" i="17"/>
  <c r="R95" i="17"/>
  <c r="C98" i="17"/>
  <c r="G98" i="17" s="1"/>
  <c r="AW97" i="17"/>
  <c r="B97" i="17"/>
  <c r="AQ96" i="17"/>
  <c r="AM96" i="17"/>
  <c r="AI96" i="17"/>
  <c r="AP96" i="17"/>
  <c r="AL96" i="17"/>
  <c r="AH96" i="17"/>
  <c r="AS96" i="17"/>
  <c r="AO96" i="17"/>
  <c r="AK96" i="17"/>
  <c r="AR96" i="17"/>
  <c r="AN96" i="17"/>
  <c r="AJ96" i="17"/>
  <c r="O97" i="17" l="1"/>
  <c r="H97" i="17"/>
  <c r="P97" i="17"/>
  <c r="BJ97" i="17"/>
  <c r="F98" i="17"/>
  <c r="R96" i="17"/>
  <c r="AP97" i="17"/>
  <c r="AL97" i="17"/>
  <c r="AH97" i="17"/>
  <c r="AS97" i="17"/>
  <c r="AO97" i="17"/>
  <c r="AK97" i="17"/>
  <c r="AR97" i="17"/>
  <c r="AN97" i="17"/>
  <c r="AJ97" i="17"/>
  <c r="AQ97" i="17"/>
  <c r="AM97" i="17"/>
  <c r="AI97" i="17"/>
  <c r="C99" i="17"/>
  <c r="G99" i="17" s="1"/>
  <c r="AW98" i="17"/>
  <c r="B98" i="17"/>
  <c r="O98" i="17" l="1"/>
  <c r="H98" i="17"/>
  <c r="P98" i="17"/>
  <c r="BJ98" i="17"/>
  <c r="F99" i="17"/>
  <c r="R97" i="17"/>
  <c r="AS98" i="17"/>
  <c r="AO98" i="17"/>
  <c r="AK98" i="17"/>
  <c r="AR98" i="17"/>
  <c r="AN98" i="17"/>
  <c r="AJ98" i="17"/>
  <c r="AQ98" i="17"/>
  <c r="AM98" i="17"/>
  <c r="AI98" i="17"/>
  <c r="AP98" i="17"/>
  <c r="AL98" i="17"/>
  <c r="AH98" i="17"/>
  <c r="B99" i="17"/>
  <c r="C100" i="17"/>
  <c r="G100" i="17" s="1"/>
  <c r="AW99" i="17"/>
  <c r="O99" i="17" l="1"/>
  <c r="H99" i="17"/>
  <c r="P99" i="17"/>
  <c r="BJ99" i="17"/>
  <c r="F100" i="17"/>
  <c r="R98" i="17"/>
  <c r="B100" i="17"/>
  <c r="C101" i="17"/>
  <c r="G101" i="17" s="1"/>
  <c r="AW100" i="17"/>
  <c r="AR99" i="17"/>
  <c r="AN99" i="17"/>
  <c r="AJ99" i="17"/>
  <c r="AQ99" i="17"/>
  <c r="AM99" i="17"/>
  <c r="AI99" i="17"/>
  <c r="AP99" i="17"/>
  <c r="AL99" i="17"/>
  <c r="AH99" i="17"/>
  <c r="AS99" i="17"/>
  <c r="AO99" i="17"/>
  <c r="AK99" i="17"/>
  <c r="O100" i="17" l="1"/>
  <c r="H100" i="17"/>
  <c r="P100" i="17"/>
  <c r="BJ100" i="17"/>
  <c r="F101" i="17"/>
  <c r="R99" i="17"/>
  <c r="C102" i="17"/>
  <c r="G102" i="17" s="1"/>
  <c r="AW101" i="17"/>
  <c r="B101" i="17"/>
  <c r="AQ100" i="17"/>
  <c r="AM100" i="17"/>
  <c r="AI100" i="17"/>
  <c r="AP100" i="17"/>
  <c r="AL100" i="17"/>
  <c r="AH100" i="17"/>
  <c r="AS100" i="17"/>
  <c r="AO100" i="17"/>
  <c r="AK100" i="17"/>
  <c r="AR100" i="17"/>
  <c r="AN100" i="17"/>
  <c r="AJ100" i="17"/>
  <c r="O101" i="17" l="1"/>
  <c r="P101" i="17" s="1"/>
  <c r="H101" i="17"/>
  <c r="BJ101" i="17"/>
  <c r="F102" i="17"/>
  <c r="R100" i="17"/>
  <c r="AP101" i="17"/>
  <c r="AL101" i="17"/>
  <c r="AH101" i="17"/>
  <c r="AS101" i="17"/>
  <c r="AO101" i="17"/>
  <c r="AK101" i="17"/>
  <c r="AR101" i="17"/>
  <c r="AN101" i="17"/>
  <c r="AJ101" i="17"/>
  <c r="AQ101" i="17"/>
  <c r="AM101" i="17"/>
  <c r="AI101" i="17"/>
  <c r="C103" i="17"/>
  <c r="G103" i="17" s="1"/>
  <c r="AW102" i="17"/>
  <c r="B102" i="17"/>
  <c r="O102" i="17" l="1"/>
  <c r="H102" i="17"/>
  <c r="P102" i="17"/>
  <c r="BJ102" i="17"/>
  <c r="F103" i="17"/>
  <c r="R101" i="17"/>
  <c r="AS102" i="17"/>
  <c r="AO102" i="17"/>
  <c r="AK102" i="17"/>
  <c r="AR102" i="17"/>
  <c r="AN102" i="17"/>
  <c r="AJ102" i="17"/>
  <c r="AQ102" i="17"/>
  <c r="AM102" i="17"/>
  <c r="AI102" i="17"/>
  <c r="AP102" i="17"/>
  <c r="AL102" i="17"/>
  <c r="AH102" i="17"/>
  <c r="B103" i="17"/>
  <c r="C104" i="17"/>
  <c r="G104" i="17" s="1"/>
  <c r="AW103" i="17"/>
  <c r="O103" i="17" l="1"/>
  <c r="H103" i="17"/>
  <c r="P103" i="17"/>
  <c r="BJ103" i="17"/>
  <c r="F104" i="17"/>
  <c r="R102" i="17"/>
  <c r="B104" i="17"/>
  <c r="C105" i="17"/>
  <c r="G105" i="17" s="1"/>
  <c r="AW104" i="17"/>
  <c r="AR103" i="17"/>
  <c r="AN103" i="17"/>
  <c r="AJ103" i="17"/>
  <c r="AQ103" i="17"/>
  <c r="AM103" i="17"/>
  <c r="AI103" i="17"/>
  <c r="AP103" i="17"/>
  <c r="AL103" i="17"/>
  <c r="AH103" i="17"/>
  <c r="AS103" i="17"/>
  <c r="AO103" i="17"/>
  <c r="AK103" i="17"/>
  <c r="O104" i="17" l="1"/>
  <c r="H104" i="17"/>
  <c r="P104" i="17"/>
  <c r="BJ104" i="17"/>
  <c r="F105" i="17"/>
  <c r="R103" i="17"/>
  <c r="C106" i="17"/>
  <c r="G106" i="17" s="1"/>
  <c r="AW105" i="17"/>
  <c r="B105" i="17"/>
  <c r="AQ104" i="17"/>
  <c r="AM104" i="17"/>
  <c r="AI104" i="17"/>
  <c r="AP104" i="17"/>
  <c r="AL104" i="17"/>
  <c r="AH104" i="17"/>
  <c r="AS104" i="17"/>
  <c r="AO104" i="17"/>
  <c r="AK104" i="17"/>
  <c r="AR104" i="17"/>
  <c r="AN104" i="17"/>
  <c r="AJ104" i="17"/>
  <c r="O105" i="17" l="1"/>
  <c r="H105" i="17"/>
  <c r="P105" i="17"/>
  <c r="BJ105" i="17"/>
  <c r="F106" i="17"/>
  <c r="R104" i="17"/>
  <c r="AP105" i="17"/>
  <c r="AL105" i="17"/>
  <c r="AH105" i="17"/>
  <c r="AS105" i="17"/>
  <c r="AO105" i="17"/>
  <c r="AK105" i="17"/>
  <c r="AR105" i="17"/>
  <c r="AN105" i="17"/>
  <c r="AJ105" i="17"/>
  <c r="AQ105" i="17"/>
  <c r="AM105" i="17"/>
  <c r="AI105" i="17"/>
  <c r="C107" i="17"/>
  <c r="G107" i="17" s="1"/>
  <c r="AW106" i="17"/>
  <c r="B106" i="17"/>
  <c r="O106" i="17" l="1"/>
  <c r="H106" i="17"/>
  <c r="P106" i="17"/>
  <c r="BJ106" i="17"/>
  <c r="F107" i="17"/>
  <c r="R105" i="17"/>
  <c r="AS106" i="17"/>
  <c r="AO106" i="17"/>
  <c r="AK106" i="17"/>
  <c r="AR106" i="17"/>
  <c r="AN106" i="17"/>
  <c r="AJ106" i="17"/>
  <c r="AQ106" i="17"/>
  <c r="AM106" i="17"/>
  <c r="AI106" i="17"/>
  <c r="AP106" i="17"/>
  <c r="AL106" i="17"/>
  <c r="AH106" i="17"/>
  <c r="B107" i="17"/>
  <c r="C108" i="17"/>
  <c r="G108" i="17" s="1"/>
  <c r="AW107" i="17"/>
  <c r="O107" i="17" l="1"/>
  <c r="H107" i="17"/>
  <c r="P107" i="17"/>
  <c r="BJ107" i="17"/>
  <c r="F108" i="17"/>
  <c r="R106" i="17"/>
  <c r="B108" i="17"/>
  <c r="C109" i="17"/>
  <c r="G109" i="17" s="1"/>
  <c r="AW108" i="17"/>
  <c r="AR107" i="17"/>
  <c r="AN107" i="17"/>
  <c r="AJ107" i="17"/>
  <c r="AQ107" i="17"/>
  <c r="AM107" i="17"/>
  <c r="AI107" i="17"/>
  <c r="AP107" i="17"/>
  <c r="AL107" i="17"/>
  <c r="AH107" i="17"/>
  <c r="AS107" i="17"/>
  <c r="AO107" i="17"/>
  <c r="AK107" i="17"/>
  <c r="O108" i="17" l="1"/>
  <c r="H108" i="17"/>
  <c r="P108" i="17"/>
  <c r="BJ108" i="17"/>
  <c r="F109" i="17"/>
  <c r="R107" i="17"/>
  <c r="C110" i="17"/>
  <c r="G110" i="17" s="1"/>
  <c r="AW109" i="17"/>
  <c r="B109" i="17"/>
  <c r="AQ108" i="17"/>
  <c r="AM108" i="17"/>
  <c r="AI108" i="17"/>
  <c r="AP108" i="17"/>
  <c r="AL108" i="17"/>
  <c r="AH108" i="17"/>
  <c r="AS108" i="17"/>
  <c r="AO108" i="17"/>
  <c r="AK108" i="17"/>
  <c r="AR108" i="17"/>
  <c r="AN108" i="17"/>
  <c r="AJ108" i="17"/>
  <c r="O109" i="17" l="1"/>
  <c r="H109" i="17"/>
  <c r="P109" i="17"/>
  <c r="BJ109" i="17"/>
  <c r="F110" i="17"/>
  <c r="R108" i="17"/>
  <c r="AP109" i="17"/>
  <c r="AL109" i="17"/>
  <c r="AH109" i="17"/>
  <c r="AS109" i="17"/>
  <c r="AO109" i="17"/>
  <c r="AK109" i="17"/>
  <c r="AR109" i="17"/>
  <c r="AN109" i="17"/>
  <c r="AJ109" i="17"/>
  <c r="AQ109" i="17"/>
  <c r="AM109" i="17"/>
  <c r="AI109" i="17"/>
  <c r="C111" i="17"/>
  <c r="G111" i="17" s="1"/>
  <c r="AW110" i="17"/>
  <c r="B110" i="17"/>
  <c r="O110" i="17" l="1"/>
  <c r="H110" i="17"/>
  <c r="P110" i="17"/>
  <c r="BJ110" i="17"/>
  <c r="F111" i="17"/>
  <c r="R109" i="17"/>
  <c r="AS110" i="17"/>
  <c r="AO110" i="17"/>
  <c r="AK110" i="17"/>
  <c r="AR110" i="17"/>
  <c r="AN110" i="17"/>
  <c r="AJ110" i="17"/>
  <c r="AQ110" i="17"/>
  <c r="AM110" i="17"/>
  <c r="AI110" i="17"/>
  <c r="AP110" i="17"/>
  <c r="AL110" i="17"/>
  <c r="AH110" i="17"/>
  <c r="B111" i="17"/>
  <c r="C112" i="17"/>
  <c r="G112" i="17" s="1"/>
  <c r="AW111" i="17"/>
  <c r="O111" i="17" l="1"/>
  <c r="H111" i="17"/>
  <c r="P111" i="17"/>
  <c r="BJ111" i="17"/>
  <c r="F112" i="17"/>
  <c r="R110" i="17"/>
  <c r="B112" i="17"/>
  <c r="C113" i="17"/>
  <c r="G113" i="17" s="1"/>
  <c r="AW112" i="17"/>
  <c r="AR111" i="17"/>
  <c r="AN111" i="17"/>
  <c r="AJ111" i="17"/>
  <c r="AQ111" i="17"/>
  <c r="AM111" i="17"/>
  <c r="AI111" i="17"/>
  <c r="AP111" i="17"/>
  <c r="AL111" i="17"/>
  <c r="AH111" i="17"/>
  <c r="AS111" i="17"/>
  <c r="AO111" i="17"/>
  <c r="AK111" i="17"/>
  <c r="O112" i="17" l="1"/>
  <c r="H112" i="17"/>
  <c r="P112" i="17"/>
  <c r="BJ112" i="17"/>
  <c r="F113" i="17"/>
  <c r="R111" i="17"/>
  <c r="AQ112" i="17"/>
  <c r="AM112" i="17"/>
  <c r="AI112" i="17"/>
  <c r="AP112" i="17"/>
  <c r="AL112" i="17"/>
  <c r="AH112" i="17"/>
  <c r="AS112" i="17"/>
  <c r="AO112" i="17"/>
  <c r="AK112" i="17"/>
  <c r="AR112" i="17"/>
  <c r="AN112" i="17"/>
  <c r="AJ112" i="17"/>
  <c r="C114" i="17"/>
  <c r="G114" i="17" s="1"/>
  <c r="AW113" i="17"/>
  <c r="B113" i="17"/>
  <c r="O113" i="17" l="1"/>
  <c r="H113" i="17"/>
  <c r="P113" i="17"/>
  <c r="BJ113" i="17"/>
  <c r="F114" i="17"/>
  <c r="R112" i="17"/>
  <c r="AP113" i="17"/>
  <c r="AL113" i="17"/>
  <c r="AH113" i="17"/>
  <c r="AS113" i="17"/>
  <c r="AO113" i="17"/>
  <c r="AK113" i="17"/>
  <c r="AR113" i="17"/>
  <c r="AN113" i="17"/>
  <c r="AJ113" i="17"/>
  <c r="AQ113" i="17"/>
  <c r="AM113" i="17"/>
  <c r="AI113" i="17"/>
  <c r="C115" i="17"/>
  <c r="G115" i="17" s="1"/>
  <c r="AW114" i="17"/>
  <c r="B114" i="17"/>
  <c r="O114" i="17" l="1"/>
  <c r="H114" i="17"/>
  <c r="P114" i="17"/>
  <c r="BJ114" i="17"/>
  <c r="F115" i="17"/>
  <c r="R113" i="17"/>
  <c r="AS114" i="17"/>
  <c r="AO114" i="17"/>
  <c r="AK114" i="17"/>
  <c r="AR114" i="17"/>
  <c r="AN114" i="17"/>
  <c r="AJ114" i="17"/>
  <c r="AQ114" i="17"/>
  <c r="AM114" i="17"/>
  <c r="AI114" i="17"/>
  <c r="AP114" i="17"/>
  <c r="AL114" i="17"/>
  <c r="AH114" i="17"/>
  <c r="AW115" i="17"/>
  <c r="B115" i="17"/>
  <c r="C116" i="17"/>
  <c r="G116" i="17" s="1"/>
  <c r="O115" i="17" l="1"/>
  <c r="H115" i="17"/>
  <c r="P115" i="17"/>
  <c r="BJ115" i="17"/>
  <c r="F116" i="17"/>
  <c r="R114" i="17"/>
  <c r="C117" i="17"/>
  <c r="G117" i="17" s="1"/>
  <c r="AW116" i="17"/>
  <c r="B116" i="17"/>
  <c r="AQ115" i="17"/>
  <c r="AM115" i="17"/>
  <c r="AI115" i="17"/>
  <c r="AR115" i="17"/>
  <c r="AL115" i="17"/>
  <c r="AP115" i="17"/>
  <c r="AK115" i="17"/>
  <c r="AO115" i="17"/>
  <c r="AJ115" i="17"/>
  <c r="AS115" i="17"/>
  <c r="AN115" i="17"/>
  <c r="AH115" i="17"/>
  <c r="O116" i="17" l="1"/>
  <c r="H116" i="17"/>
  <c r="P116" i="17"/>
  <c r="BJ116" i="17"/>
  <c r="F117" i="17"/>
  <c r="R115" i="17"/>
  <c r="C118" i="17"/>
  <c r="G118" i="17" s="1"/>
  <c r="AW117" i="17"/>
  <c r="B117" i="17"/>
  <c r="AP116" i="17"/>
  <c r="AL116" i="17"/>
  <c r="AH116" i="17"/>
  <c r="AR116" i="17"/>
  <c r="AN116" i="17"/>
  <c r="AJ116" i="17"/>
  <c r="AS116" i="17"/>
  <c r="AK116" i="17"/>
  <c r="AQ116" i="17"/>
  <c r="AI116" i="17"/>
  <c r="AO116" i="17"/>
  <c r="AM116" i="17"/>
  <c r="O117" i="17" l="1"/>
  <c r="H117" i="17"/>
  <c r="P117" i="17"/>
  <c r="BJ117" i="17"/>
  <c r="F118" i="17"/>
  <c r="R116" i="17"/>
  <c r="AS117" i="17"/>
  <c r="AO117" i="17"/>
  <c r="AK117" i="17"/>
  <c r="AQ117" i="17"/>
  <c r="AM117" i="17"/>
  <c r="AI117" i="17"/>
  <c r="AP117" i="17"/>
  <c r="AH117" i="17"/>
  <c r="AN117" i="17"/>
  <c r="AL117" i="17"/>
  <c r="AR117" i="17"/>
  <c r="AJ117" i="17"/>
  <c r="C119" i="17"/>
  <c r="G119" i="17" s="1"/>
  <c r="AW118" i="17"/>
  <c r="B118" i="17"/>
  <c r="H118" i="17" s="1"/>
  <c r="O118" i="17" l="1"/>
  <c r="P118" i="17" s="1"/>
  <c r="BJ118" i="17"/>
  <c r="F119" i="17"/>
  <c r="R117" i="17"/>
  <c r="B119" i="17"/>
  <c r="C120" i="17"/>
  <c r="G120" i="17" s="1"/>
  <c r="AW119" i="17"/>
  <c r="AR118" i="17"/>
  <c r="AN118" i="17"/>
  <c r="AJ118" i="17"/>
  <c r="AP118" i="17"/>
  <c r="AL118" i="17"/>
  <c r="AH118" i="17"/>
  <c r="AQ118" i="17"/>
  <c r="AI118" i="17"/>
  <c r="AO118" i="17"/>
  <c r="AM118" i="17"/>
  <c r="AS118" i="17"/>
  <c r="AK118" i="17"/>
  <c r="O119" i="17" l="1"/>
  <c r="H119" i="17"/>
  <c r="P119" i="17"/>
  <c r="BJ119" i="17"/>
  <c r="F120" i="17"/>
  <c r="R118" i="17"/>
  <c r="AQ119" i="17"/>
  <c r="AM119" i="17"/>
  <c r="AI119" i="17"/>
  <c r="AS119" i="17"/>
  <c r="AO119" i="17"/>
  <c r="AK119" i="17"/>
  <c r="AN119" i="17"/>
  <c r="AL119" i="17"/>
  <c r="AR119" i="17"/>
  <c r="AJ119" i="17"/>
  <c r="AP119" i="17"/>
  <c r="AH119" i="17"/>
  <c r="AW120" i="17"/>
  <c r="B120" i="17"/>
  <c r="C121" i="17"/>
  <c r="G121" i="17" s="1"/>
  <c r="O120" i="17" l="1"/>
  <c r="H120" i="17"/>
  <c r="P120" i="17"/>
  <c r="BJ120" i="17"/>
  <c r="F121" i="17"/>
  <c r="R119" i="17"/>
  <c r="AP120" i="17"/>
  <c r="AL120" i="17"/>
  <c r="AH120" i="17"/>
  <c r="AR120" i="17"/>
  <c r="AN120" i="17"/>
  <c r="AJ120" i="17"/>
  <c r="AO120" i="17"/>
  <c r="AM120" i="17"/>
  <c r="AS120" i="17"/>
  <c r="AK120" i="17"/>
  <c r="AQ120" i="17"/>
  <c r="AI120" i="17"/>
  <c r="C122" i="17"/>
  <c r="G122" i="17" s="1"/>
  <c r="AW121" i="17"/>
  <c r="B121" i="17"/>
  <c r="O121" i="17" l="1"/>
  <c r="H121" i="17"/>
  <c r="P121" i="17"/>
  <c r="BJ121" i="17"/>
  <c r="F122" i="17"/>
  <c r="R120" i="17"/>
  <c r="AS121" i="17"/>
  <c r="AO121" i="17"/>
  <c r="AK121" i="17"/>
  <c r="AQ121" i="17"/>
  <c r="AM121" i="17"/>
  <c r="AI121" i="17"/>
  <c r="AL121" i="17"/>
  <c r="AR121" i="17"/>
  <c r="AJ121" i="17"/>
  <c r="AP121" i="17"/>
  <c r="AH121" i="17"/>
  <c r="AN121" i="17"/>
  <c r="C123" i="17"/>
  <c r="G123" i="17" s="1"/>
  <c r="AW122" i="17"/>
  <c r="B122" i="17"/>
  <c r="O122" i="17" l="1"/>
  <c r="H122" i="17"/>
  <c r="P122" i="17"/>
  <c r="BJ122" i="17"/>
  <c r="F123" i="17"/>
  <c r="R121" i="17"/>
  <c r="B123" i="17"/>
  <c r="C124" i="17"/>
  <c r="G124" i="17" s="1"/>
  <c r="AW123" i="17"/>
  <c r="AR122" i="17"/>
  <c r="AN122" i="17"/>
  <c r="AJ122" i="17"/>
  <c r="AP122" i="17"/>
  <c r="AL122" i="17"/>
  <c r="AH122" i="17"/>
  <c r="AM122" i="17"/>
  <c r="AS122" i="17"/>
  <c r="AK122" i="17"/>
  <c r="AQ122" i="17"/>
  <c r="AI122" i="17"/>
  <c r="AO122" i="17"/>
  <c r="O123" i="17" l="1"/>
  <c r="H123" i="17"/>
  <c r="P123" i="17"/>
  <c r="BJ123" i="17"/>
  <c r="F124" i="17"/>
  <c r="R122" i="17"/>
  <c r="AQ123" i="17"/>
  <c r="AM123" i="17"/>
  <c r="AI123" i="17"/>
  <c r="AS123" i="17"/>
  <c r="AO123" i="17"/>
  <c r="AK123" i="17"/>
  <c r="AR123" i="17"/>
  <c r="AJ123" i="17"/>
  <c r="AP123" i="17"/>
  <c r="AH123" i="17"/>
  <c r="AN123" i="17"/>
  <c r="AL123" i="17"/>
  <c r="C125" i="17"/>
  <c r="G125" i="17" s="1"/>
  <c r="AW124" i="17"/>
  <c r="B124" i="17"/>
  <c r="O124" i="17" l="1"/>
  <c r="H124" i="17"/>
  <c r="P124" i="17"/>
  <c r="BJ124" i="17"/>
  <c r="F125" i="17"/>
  <c r="R123" i="17"/>
  <c r="C126" i="17"/>
  <c r="G126" i="17" s="1"/>
  <c r="AW125" i="17"/>
  <c r="B125" i="17"/>
  <c r="AP124" i="17"/>
  <c r="AL124" i="17"/>
  <c r="AH124" i="17"/>
  <c r="AR124" i="17"/>
  <c r="AN124" i="17"/>
  <c r="AJ124" i="17"/>
  <c r="AS124" i="17"/>
  <c r="AK124" i="17"/>
  <c r="AQ124" i="17"/>
  <c r="AI124" i="17"/>
  <c r="AO124" i="17"/>
  <c r="AM124" i="17"/>
  <c r="O125" i="17" l="1"/>
  <c r="H125" i="17"/>
  <c r="P125" i="17"/>
  <c r="BJ125" i="17"/>
  <c r="F126" i="17"/>
  <c r="R124" i="17"/>
  <c r="AS125" i="17"/>
  <c r="AO125" i="17"/>
  <c r="AK125" i="17"/>
  <c r="AQ125" i="17"/>
  <c r="AM125" i="17"/>
  <c r="AI125" i="17"/>
  <c r="AP125" i="17"/>
  <c r="AH125" i="17"/>
  <c r="AN125" i="17"/>
  <c r="AL125" i="17"/>
  <c r="AR125" i="17"/>
  <c r="AJ125" i="17"/>
  <c r="C127" i="17"/>
  <c r="G127" i="17" s="1"/>
  <c r="AW126" i="17"/>
  <c r="B126" i="17"/>
  <c r="O126" i="17" l="1"/>
  <c r="H126" i="17"/>
  <c r="P126" i="17"/>
  <c r="BJ126" i="17"/>
  <c r="F127" i="17"/>
  <c r="R125" i="17"/>
  <c r="B127" i="17"/>
  <c r="C128" i="17"/>
  <c r="G128" i="17" s="1"/>
  <c r="AW127" i="17"/>
  <c r="AR126" i="17"/>
  <c r="AN126" i="17"/>
  <c r="AJ126" i="17"/>
  <c r="AP126" i="17"/>
  <c r="AL126" i="17"/>
  <c r="AH126" i="17"/>
  <c r="AQ126" i="17"/>
  <c r="AI126" i="17"/>
  <c r="AO126" i="17"/>
  <c r="AM126" i="17"/>
  <c r="AS126" i="17"/>
  <c r="AK126" i="17"/>
  <c r="O127" i="17" l="1"/>
  <c r="H127" i="17"/>
  <c r="P127" i="17"/>
  <c r="BJ127" i="17"/>
  <c r="F128" i="17"/>
  <c r="R126" i="17"/>
  <c r="AW128" i="17"/>
  <c r="B128" i="17"/>
  <c r="C129" i="17"/>
  <c r="G129" i="17" s="1"/>
  <c r="AQ127" i="17"/>
  <c r="AM127" i="17"/>
  <c r="AI127" i="17"/>
  <c r="AS127" i="17"/>
  <c r="AO127" i="17"/>
  <c r="AK127" i="17"/>
  <c r="AN127" i="17"/>
  <c r="AL127" i="17"/>
  <c r="AR127" i="17"/>
  <c r="AJ127" i="17"/>
  <c r="AP127" i="17"/>
  <c r="AH127" i="17"/>
  <c r="O128" i="17" l="1"/>
  <c r="H128" i="17"/>
  <c r="P128" i="17"/>
  <c r="BJ128" i="17"/>
  <c r="F129" i="17"/>
  <c r="R127" i="17"/>
  <c r="C130" i="17"/>
  <c r="G130" i="17" s="1"/>
  <c r="AW129" i="17"/>
  <c r="B129" i="17"/>
  <c r="AP128" i="17"/>
  <c r="AL128" i="17"/>
  <c r="AH128" i="17"/>
  <c r="AR128" i="17"/>
  <c r="AN128" i="17"/>
  <c r="AJ128" i="17"/>
  <c r="AO128" i="17"/>
  <c r="AM128" i="17"/>
  <c r="AS128" i="17"/>
  <c r="AK128" i="17"/>
  <c r="AQ128" i="17"/>
  <c r="AI128" i="17"/>
  <c r="O129" i="17" l="1"/>
  <c r="H129" i="17"/>
  <c r="P129" i="17"/>
  <c r="BJ129" i="17"/>
  <c r="F130" i="17"/>
  <c r="R128" i="17"/>
  <c r="AS129" i="17"/>
  <c r="AO129" i="17"/>
  <c r="AK129" i="17"/>
  <c r="AQ129" i="17"/>
  <c r="AM129" i="17"/>
  <c r="AI129" i="17"/>
  <c r="AL129" i="17"/>
  <c r="AR129" i="17"/>
  <c r="AJ129" i="17"/>
  <c r="AP129" i="17"/>
  <c r="AH129" i="17"/>
  <c r="AN129" i="17"/>
  <c r="C131" i="17"/>
  <c r="G131" i="17" s="1"/>
  <c r="AW130" i="17"/>
  <c r="B130" i="17"/>
  <c r="O130" i="17" l="1"/>
  <c r="BJ130" i="17" s="1"/>
  <c r="H130" i="17"/>
  <c r="F131" i="17"/>
  <c r="R129" i="17"/>
  <c r="AR130" i="17"/>
  <c r="AN130" i="17"/>
  <c r="AJ130" i="17"/>
  <c r="AP130" i="17"/>
  <c r="AL130" i="17"/>
  <c r="AH130" i="17"/>
  <c r="AM130" i="17"/>
  <c r="AS130" i="17"/>
  <c r="AK130" i="17"/>
  <c r="AQ130" i="17"/>
  <c r="AI130" i="17"/>
  <c r="AO130" i="17"/>
  <c r="B131" i="17"/>
  <c r="C132" i="17"/>
  <c r="G132" i="17" s="1"/>
  <c r="AW131" i="17"/>
  <c r="P130" i="17" l="1"/>
  <c r="R130" i="17" s="1"/>
  <c r="O131" i="17"/>
  <c r="BJ131" i="17" s="1"/>
  <c r="H131" i="17"/>
  <c r="F132" i="17"/>
  <c r="B132" i="17"/>
  <c r="C133" i="17"/>
  <c r="G133" i="17" s="1"/>
  <c r="AW132" i="17"/>
  <c r="AR131" i="17"/>
  <c r="AN131" i="17"/>
  <c r="AJ131" i="17"/>
  <c r="AQ131" i="17"/>
  <c r="AM131" i="17"/>
  <c r="AI131" i="17"/>
  <c r="AP131" i="17"/>
  <c r="AL131" i="17"/>
  <c r="AH131" i="17"/>
  <c r="AS131" i="17"/>
  <c r="AO131" i="17"/>
  <c r="AK131" i="17"/>
  <c r="P131" i="17" l="1"/>
  <c r="O132" i="17"/>
  <c r="P132" i="17" s="1"/>
  <c r="H132" i="17"/>
  <c r="F133" i="17"/>
  <c r="R131" i="17"/>
  <c r="C134" i="17"/>
  <c r="G134" i="17" s="1"/>
  <c r="AW133" i="17"/>
  <c r="B133" i="17"/>
  <c r="AQ132" i="17"/>
  <c r="AM132" i="17"/>
  <c r="AI132" i="17"/>
  <c r="AP132" i="17"/>
  <c r="AL132" i="17"/>
  <c r="AH132" i="17"/>
  <c r="AS132" i="17"/>
  <c r="AO132" i="17"/>
  <c r="AK132" i="17"/>
  <c r="AR132" i="17"/>
  <c r="AN132" i="17"/>
  <c r="AJ132" i="17"/>
  <c r="BJ132" i="17" l="1"/>
  <c r="O133" i="17"/>
  <c r="BJ133" i="17" s="1"/>
  <c r="H133" i="17"/>
  <c r="P133" i="17"/>
  <c r="F134" i="17"/>
  <c r="R132" i="17"/>
  <c r="AP133" i="17"/>
  <c r="AL133" i="17"/>
  <c r="AH133" i="17"/>
  <c r="AS133" i="17"/>
  <c r="AO133" i="17"/>
  <c r="AK133" i="17"/>
  <c r="AR133" i="17"/>
  <c r="AN133" i="17"/>
  <c r="AJ133" i="17"/>
  <c r="AQ133" i="17"/>
  <c r="AM133" i="17"/>
  <c r="AI133" i="17"/>
  <c r="C135" i="17"/>
  <c r="G135" i="17" s="1"/>
  <c r="AW134" i="17"/>
  <c r="B134" i="17"/>
  <c r="O134" i="17" l="1"/>
  <c r="P134" i="17" s="1"/>
  <c r="H134" i="17"/>
  <c r="F135" i="17"/>
  <c r="R133" i="17"/>
  <c r="AS134" i="17"/>
  <c r="AO134" i="17"/>
  <c r="AK134" i="17"/>
  <c r="AR134" i="17"/>
  <c r="AN134" i="17"/>
  <c r="AJ134" i="17"/>
  <c r="AQ134" i="17"/>
  <c r="AM134" i="17"/>
  <c r="AI134" i="17"/>
  <c r="AP134" i="17"/>
  <c r="AL134" i="17"/>
  <c r="AH134" i="17"/>
  <c r="B135" i="17"/>
  <c r="C136" i="17"/>
  <c r="G136" i="17" s="1"/>
  <c r="AW135" i="17"/>
  <c r="BJ134" i="17" l="1"/>
  <c r="O135" i="17"/>
  <c r="BJ135" i="17" s="1"/>
  <c r="H135" i="17"/>
  <c r="F136" i="17"/>
  <c r="R134" i="17"/>
  <c r="AR135" i="17"/>
  <c r="AN135" i="17"/>
  <c r="AJ135" i="17"/>
  <c r="AQ135" i="17"/>
  <c r="AM135" i="17"/>
  <c r="AI135" i="17"/>
  <c r="AP135" i="17"/>
  <c r="AL135" i="17"/>
  <c r="AH135" i="17"/>
  <c r="AS135" i="17"/>
  <c r="AO135" i="17"/>
  <c r="AK135" i="17"/>
  <c r="B136" i="17"/>
  <c r="C137" i="17"/>
  <c r="G137" i="17" s="1"/>
  <c r="AW136" i="17"/>
  <c r="P135" i="17" l="1"/>
  <c r="O136" i="17"/>
  <c r="P136" i="17" s="1"/>
  <c r="H136" i="17"/>
  <c r="F137" i="17"/>
  <c r="R135" i="17"/>
  <c r="AQ136" i="17"/>
  <c r="AM136" i="17"/>
  <c r="AI136" i="17"/>
  <c r="AP136" i="17"/>
  <c r="AL136" i="17"/>
  <c r="AH136" i="17"/>
  <c r="AS136" i="17"/>
  <c r="AO136" i="17"/>
  <c r="AK136" i="17"/>
  <c r="AR136" i="17"/>
  <c r="AN136" i="17"/>
  <c r="AJ136" i="17"/>
  <c r="C138" i="17"/>
  <c r="G138" i="17" s="1"/>
  <c r="AW137" i="17"/>
  <c r="B137" i="17"/>
  <c r="BJ136" i="17" l="1"/>
  <c r="O137" i="17"/>
  <c r="P137" i="17" s="1"/>
  <c r="H137" i="17"/>
  <c r="F138" i="17"/>
  <c r="R136" i="17"/>
  <c r="AP137" i="17"/>
  <c r="AL137" i="17"/>
  <c r="AH137" i="17"/>
  <c r="AS137" i="17"/>
  <c r="AO137" i="17"/>
  <c r="AK137" i="17"/>
  <c r="AR137" i="17"/>
  <c r="AN137" i="17"/>
  <c r="AJ137" i="17"/>
  <c r="AQ137" i="17"/>
  <c r="AM137" i="17"/>
  <c r="AI137" i="17"/>
  <c r="C139" i="17"/>
  <c r="G139" i="17" s="1"/>
  <c r="AW138" i="17"/>
  <c r="B138" i="17"/>
  <c r="BJ137" i="17" l="1"/>
  <c r="O138" i="17"/>
  <c r="BJ138" i="17" s="1"/>
  <c r="H138" i="17"/>
  <c r="F139" i="17"/>
  <c r="R137" i="17"/>
  <c r="AS138" i="17"/>
  <c r="AO138" i="17"/>
  <c r="AK138" i="17"/>
  <c r="AR138" i="17"/>
  <c r="AN138" i="17"/>
  <c r="AJ138" i="17"/>
  <c r="AQ138" i="17"/>
  <c r="AM138" i="17"/>
  <c r="AI138" i="17"/>
  <c r="AP138" i="17"/>
  <c r="AL138" i="17"/>
  <c r="AH138" i="17"/>
  <c r="B139" i="17"/>
  <c r="C140" i="17"/>
  <c r="G140" i="17" s="1"/>
  <c r="AW139" i="17"/>
  <c r="P138" i="17" l="1"/>
  <c r="O139" i="17"/>
  <c r="BJ139" i="17" s="1"/>
  <c r="H139" i="17"/>
  <c r="F140" i="17"/>
  <c r="R138" i="17"/>
  <c r="B140" i="17"/>
  <c r="C141" i="17"/>
  <c r="G141" i="17" s="1"/>
  <c r="AW140" i="17"/>
  <c r="AR139" i="17"/>
  <c r="AN139" i="17"/>
  <c r="AJ139" i="17"/>
  <c r="AQ139" i="17"/>
  <c r="AM139" i="17"/>
  <c r="AI139" i="17"/>
  <c r="AP139" i="17"/>
  <c r="AL139" i="17"/>
  <c r="AH139" i="17"/>
  <c r="AS139" i="17"/>
  <c r="AO139" i="17"/>
  <c r="AK139" i="17"/>
  <c r="P139" i="17" l="1"/>
  <c r="O140" i="17"/>
  <c r="BJ140" i="17" s="1"/>
  <c r="H140" i="17"/>
  <c r="F141" i="17"/>
  <c r="R139" i="17"/>
  <c r="C142" i="17"/>
  <c r="G142" i="17" s="1"/>
  <c r="AW141" i="17"/>
  <c r="B141" i="17"/>
  <c r="AQ140" i="17"/>
  <c r="AM140" i="17"/>
  <c r="AI140" i="17"/>
  <c r="AP140" i="17"/>
  <c r="AL140" i="17"/>
  <c r="AH140" i="17"/>
  <c r="AS140" i="17"/>
  <c r="AO140" i="17"/>
  <c r="AK140" i="17"/>
  <c r="AR140" i="17"/>
  <c r="AN140" i="17"/>
  <c r="AJ140" i="17"/>
  <c r="P140" i="17" l="1"/>
  <c r="O141" i="17"/>
  <c r="P141" i="17" s="1"/>
  <c r="H141" i="17"/>
  <c r="F142" i="17"/>
  <c r="R140" i="17"/>
  <c r="AP141" i="17"/>
  <c r="AL141" i="17"/>
  <c r="AH141" i="17"/>
  <c r="AS141" i="17"/>
  <c r="AO141" i="17"/>
  <c r="AK141" i="17"/>
  <c r="AR141" i="17"/>
  <c r="AN141" i="17"/>
  <c r="AJ141" i="17"/>
  <c r="AQ141" i="17"/>
  <c r="AM141" i="17"/>
  <c r="AI141" i="17"/>
  <c r="C143" i="17"/>
  <c r="G143" i="17" s="1"/>
  <c r="AW142" i="17"/>
  <c r="B142" i="17"/>
  <c r="BJ141" i="17" l="1"/>
  <c r="O142" i="17"/>
  <c r="BJ142" i="17" s="1"/>
  <c r="H142" i="17"/>
  <c r="F143" i="17"/>
  <c r="R141" i="17"/>
  <c r="AS142" i="17"/>
  <c r="AO142" i="17"/>
  <c r="AK142" i="17"/>
  <c r="AR142" i="17"/>
  <c r="AN142" i="17"/>
  <c r="AJ142" i="17"/>
  <c r="AQ142" i="17"/>
  <c r="AM142" i="17"/>
  <c r="AI142" i="17"/>
  <c r="AP142" i="17"/>
  <c r="AL142" i="17"/>
  <c r="AH142" i="17"/>
  <c r="B143" i="17"/>
  <c r="C144" i="17"/>
  <c r="G144" i="17" s="1"/>
  <c r="AW143" i="17"/>
  <c r="P142" i="17" l="1"/>
  <c r="O143" i="17"/>
  <c r="P143" i="17" s="1"/>
  <c r="H143" i="17"/>
  <c r="F144" i="17"/>
  <c r="R142" i="17"/>
  <c r="B144" i="17"/>
  <c r="C145" i="17"/>
  <c r="G145" i="17" s="1"/>
  <c r="AW144" i="17"/>
  <c r="AR143" i="17"/>
  <c r="AN143" i="17"/>
  <c r="AJ143" i="17"/>
  <c r="AQ143" i="17"/>
  <c r="AM143" i="17"/>
  <c r="AI143" i="17"/>
  <c r="AP143" i="17"/>
  <c r="AL143" i="17"/>
  <c r="AH143" i="17"/>
  <c r="AS143" i="17"/>
  <c r="AO143" i="17"/>
  <c r="AK143" i="17"/>
  <c r="BJ143" i="17" l="1"/>
  <c r="O144" i="17"/>
  <c r="BJ144" i="17" s="1"/>
  <c r="H144" i="17"/>
  <c r="F145" i="17"/>
  <c r="R143" i="17"/>
  <c r="C146" i="17"/>
  <c r="G146" i="17" s="1"/>
  <c r="AW145" i="17"/>
  <c r="B145" i="17"/>
  <c r="AQ144" i="17"/>
  <c r="AM144" i="17"/>
  <c r="AI144" i="17"/>
  <c r="AP144" i="17"/>
  <c r="AL144" i="17"/>
  <c r="AH144" i="17"/>
  <c r="AS144" i="17"/>
  <c r="AO144" i="17"/>
  <c r="AK144" i="17"/>
  <c r="AR144" i="17"/>
  <c r="AN144" i="17"/>
  <c r="AJ144" i="17"/>
  <c r="P144" i="17" l="1"/>
  <c r="O145" i="17"/>
  <c r="P145" i="17" s="1"/>
  <c r="H145" i="17"/>
  <c r="BJ145" i="17"/>
  <c r="F146" i="17"/>
  <c r="R144" i="17"/>
  <c r="AP145" i="17"/>
  <c r="AL145" i="17"/>
  <c r="AH145" i="17"/>
  <c r="AS145" i="17"/>
  <c r="AO145" i="17"/>
  <c r="AK145" i="17"/>
  <c r="AR145" i="17"/>
  <c r="AN145" i="17"/>
  <c r="AJ145" i="17"/>
  <c r="AQ145" i="17"/>
  <c r="AM145" i="17"/>
  <c r="AI145" i="17"/>
  <c r="C147" i="17"/>
  <c r="G147" i="17" s="1"/>
  <c r="AW146" i="17"/>
  <c r="B146" i="17"/>
  <c r="O146" i="17" l="1"/>
  <c r="P146" i="17" s="1"/>
  <c r="H146" i="17"/>
  <c r="F147" i="17"/>
  <c r="R145" i="17"/>
  <c r="AS146" i="17"/>
  <c r="AO146" i="17"/>
  <c r="AK146" i="17"/>
  <c r="AR146" i="17"/>
  <c r="AN146" i="17"/>
  <c r="AJ146" i="17"/>
  <c r="AQ146" i="17"/>
  <c r="AM146" i="17"/>
  <c r="AI146" i="17"/>
  <c r="AP146" i="17"/>
  <c r="AL146" i="17"/>
  <c r="AH146" i="17"/>
  <c r="B147" i="17"/>
  <c r="C148" i="17"/>
  <c r="G148" i="17" s="1"/>
  <c r="AW147" i="17"/>
  <c r="BJ146" i="17" l="1"/>
  <c r="O147" i="17"/>
  <c r="BJ147" i="17" s="1"/>
  <c r="H147" i="17"/>
  <c r="F148" i="17"/>
  <c r="R146" i="17"/>
  <c r="B148" i="17"/>
  <c r="C149" i="17"/>
  <c r="G149" i="17" s="1"/>
  <c r="AW148" i="17"/>
  <c r="AR147" i="17"/>
  <c r="AN147" i="17"/>
  <c r="AJ147" i="17"/>
  <c r="AQ147" i="17"/>
  <c r="AM147" i="17"/>
  <c r="AI147" i="17"/>
  <c r="AP147" i="17"/>
  <c r="AL147" i="17"/>
  <c r="AH147" i="17"/>
  <c r="AS147" i="17"/>
  <c r="AO147" i="17"/>
  <c r="AK147" i="17"/>
  <c r="P147" i="17" l="1"/>
  <c r="O148" i="17"/>
  <c r="BJ148" i="17" s="1"/>
  <c r="H148" i="17"/>
  <c r="P148" i="17"/>
  <c r="F149" i="17"/>
  <c r="R147" i="17"/>
  <c r="C150" i="17"/>
  <c r="G150" i="17" s="1"/>
  <c r="AW149" i="17"/>
  <c r="B149" i="17"/>
  <c r="AQ148" i="17"/>
  <c r="AM148" i="17"/>
  <c r="AI148" i="17"/>
  <c r="AP148" i="17"/>
  <c r="AL148" i="17"/>
  <c r="AH148" i="17"/>
  <c r="AS148" i="17"/>
  <c r="AO148" i="17"/>
  <c r="AK148" i="17"/>
  <c r="AR148" i="17"/>
  <c r="AN148" i="17"/>
  <c r="AJ148" i="17"/>
  <c r="O149" i="17" l="1"/>
  <c r="P149" i="17" s="1"/>
  <c r="H149" i="17"/>
  <c r="BJ149" i="17"/>
  <c r="F150" i="17"/>
  <c r="R148" i="17"/>
  <c r="AP149" i="17"/>
  <c r="AL149" i="17"/>
  <c r="AH149" i="17"/>
  <c r="AS149" i="17"/>
  <c r="AO149" i="17"/>
  <c r="AK149" i="17"/>
  <c r="AR149" i="17"/>
  <c r="AN149" i="17"/>
  <c r="AJ149" i="17"/>
  <c r="AQ149" i="17"/>
  <c r="AM149" i="17"/>
  <c r="AI149" i="17"/>
  <c r="C151" i="17"/>
  <c r="G151" i="17" s="1"/>
  <c r="AW150" i="17"/>
  <c r="B150" i="17"/>
  <c r="O150" i="17" l="1"/>
  <c r="P150" i="17" s="1"/>
  <c r="H150" i="17"/>
  <c r="F151" i="17"/>
  <c r="R149" i="17"/>
  <c r="AS150" i="17"/>
  <c r="AO150" i="17"/>
  <c r="AK150" i="17"/>
  <c r="AR150" i="17"/>
  <c r="AN150" i="17"/>
  <c r="AJ150" i="17"/>
  <c r="AQ150" i="17"/>
  <c r="AM150" i="17"/>
  <c r="AI150" i="17"/>
  <c r="AP150" i="17"/>
  <c r="AL150" i="17"/>
  <c r="AH150" i="17"/>
  <c r="B151" i="17"/>
  <c r="C152" i="17"/>
  <c r="G152" i="17" s="1"/>
  <c r="AW151" i="17"/>
  <c r="BJ150" i="17" l="1"/>
  <c r="O151" i="17"/>
  <c r="P151" i="17" s="1"/>
  <c r="H151" i="17"/>
  <c r="F152" i="17"/>
  <c r="R150" i="17"/>
  <c r="B152" i="17"/>
  <c r="C153" i="17"/>
  <c r="G153" i="17" s="1"/>
  <c r="AW152" i="17"/>
  <c r="AR151" i="17"/>
  <c r="AN151" i="17"/>
  <c r="AJ151" i="17"/>
  <c r="AQ151" i="17"/>
  <c r="AM151" i="17"/>
  <c r="AI151" i="17"/>
  <c r="AP151" i="17"/>
  <c r="AL151" i="17"/>
  <c r="AH151" i="17"/>
  <c r="AS151" i="17"/>
  <c r="AO151" i="17"/>
  <c r="AK151" i="17"/>
  <c r="BJ151" i="17" l="1"/>
  <c r="O152" i="17"/>
  <c r="BJ152" i="17" s="1"/>
  <c r="H152" i="17"/>
  <c r="F153" i="17"/>
  <c r="R151" i="17"/>
  <c r="C154" i="17"/>
  <c r="G154" i="17" s="1"/>
  <c r="AW153" i="17"/>
  <c r="B153" i="17"/>
  <c r="AQ152" i="17"/>
  <c r="AM152" i="17"/>
  <c r="AI152" i="17"/>
  <c r="AP152" i="17"/>
  <c r="AL152" i="17"/>
  <c r="AH152" i="17"/>
  <c r="AS152" i="17"/>
  <c r="AO152" i="17"/>
  <c r="AK152" i="17"/>
  <c r="AR152" i="17"/>
  <c r="AN152" i="17"/>
  <c r="AJ152" i="17"/>
  <c r="P152" i="17" l="1"/>
  <c r="O153" i="17"/>
  <c r="BJ153" i="17" s="1"/>
  <c r="H153" i="17"/>
  <c r="F154" i="17"/>
  <c r="R152" i="17"/>
  <c r="AP153" i="17"/>
  <c r="AL153" i="17"/>
  <c r="AH153" i="17"/>
  <c r="AS153" i="17"/>
  <c r="AO153" i="17"/>
  <c r="AK153" i="17"/>
  <c r="AR153" i="17"/>
  <c r="AN153" i="17"/>
  <c r="AJ153" i="17"/>
  <c r="AQ153" i="17"/>
  <c r="AM153" i="17"/>
  <c r="AI153" i="17"/>
  <c r="C155" i="17"/>
  <c r="G155" i="17" s="1"/>
  <c r="AW154" i="17"/>
  <c r="B154" i="17"/>
  <c r="P153" i="17" l="1"/>
  <c r="O154" i="17"/>
  <c r="BJ154" i="17" s="1"/>
  <c r="H154" i="17"/>
  <c r="F155" i="17"/>
  <c r="R153" i="17"/>
  <c r="AS154" i="17"/>
  <c r="AO154" i="17"/>
  <c r="AK154" i="17"/>
  <c r="AR154" i="17"/>
  <c r="AN154" i="17"/>
  <c r="AJ154" i="17"/>
  <c r="AQ154" i="17"/>
  <c r="AM154" i="17"/>
  <c r="AI154" i="17"/>
  <c r="AP154" i="17"/>
  <c r="AL154" i="17"/>
  <c r="AH154" i="17"/>
  <c r="B155" i="17"/>
  <c r="C156" i="17"/>
  <c r="G156" i="17" s="1"/>
  <c r="AW155" i="17"/>
  <c r="P154" i="17" l="1"/>
  <c r="O155" i="17"/>
  <c r="BJ155" i="17" s="1"/>
  <c r="H155" i="17"/>
  <c r="F156" i="17"/>
  <c r="R154" i="17"/>
  <c r="B156" i="17"/>
  <c r="C157" i="17"/>
  <c r="G157" i="17" s="1"/>
  <c r="AW156" i="17"/>
  <c r="AR155" i="17"/>
  <c r="AN155" i="17"/>
  <c r="AJ155" i="17"/>
  <c r="AQ155" i="17"/>
  <c r="AM155" i="17"/>
  <c r="AI155" i="17"/>
  <c r="AP155" i="17"/>
  <c r="AL155" i="17"/>
  <c r="AH155" i="17"/>
  <c r="AS155" i="17"/>
  <c r="AO155" i="17"/>
  <c r="AK155" i="17"/>
  <c r="P155" i="17" l="1"/>
  <c r="R155" i="17" s="1"/>
  <c r="O156" i="17"/>
  <c r="BJ156" i="17" s="1"/>
  <c r="H156" i="17"/>
  <c r="F157" i="17"/>
  <c r="C158" i="17"/>
  <c r="G158" i="17" s="1"/>
  <c r="AW157" i="17"/>
  <c r="B157" i="17"/>
  <c r="AQ156" i="17"/>
  <c r="AM156" i="17"/>
  <c r="AI156" i="17"/>
  <c r="AP156" i="17"/>
  <c r="AL156" i="17"/>
  <c r="AH156" i="17"/>
  <c r="AS156" i="17"/>
  <c r="AO156" i="17"/>
  <c r="AK156" i="17"/>
  <c r="AR156" i="17"/>
  <c r="AN156" i="17"/>
  <c r="AJ156" i="17"/>
  <c r="P156" i="17" l="1"/>
  <c r="R156" i="17" s="1"/>
  <c r="O157" i="17"/>
  <c r="BJ157" i="17" s="1"/>
  <c r="H157" i="17"/>
  <c r="F158" i="17"/>
  <c r="AP157" i="17"/>
  <c r="AL157" i="17"/>
  <c r="AH157" i="17"/>
  <c r="AS157" i="17"/>
  <c r="AO157" i="17"/>
  <c r="AK157" i="17"/>
  <c r="AR157" i="17"/>
  <c r="AN157" i="17"/>
  <c r="AJ157" i="17"/>
  <c r="AQ157" i="17"/>
  <c r="AM157" i="17"/>
  <c r="AI157" i="17"/>
  <c r="C159" i="17"/>
  <c r="G159" i="17" s="1"/>
  <c r="AW158" i="17"/>
  <c r="B158" i="17"/>
  <c r="P157" i="17" l="1"/>
  <c r="R157" i="17" s="1"/>
  <c r="O158" i="17"/>
  <c r="P158" i="17" s="1"/>
  <c r="H158" i="17"/>
  <c r="F159" i="17"/>
  <c r="AS158" i="17"/>
  <c r="AO158" i="17"/>
  <c r="AK158" i="17"/>
  <c r="AR158" i="17"/>
  <c r="AN158" i="17"/>
  <c r="AJ158" i="17"/>
  <c r="AQ158" i="17"/>
  <c r="AM158" i="17"/>
  <c r="AI158" i="17"/>
  <c r="AP158" i="17"/>
  <c r="AL158" i="17"/>
  <c r="AH158" i="17"/>
  <c r="B159" i="17"/>
  <c r="C160" i="17"/>
  <c r="G160" i="17" s="1"/>
  <c r="AW159" i="17"/>
  <c r="BJ158" i="17" l="1"/>
  <c r="O159" i="17"/>
  <c r="P159" i="17" s="1"/>
  <c r="H159" i="17"/>
  <c r="F160" i="17"/>
  <c r="R158" i="17"/>
  <c r="AR159" i="17"/>
  <c r="AN159" i="17"/>
  <c r="AJ159" i="17"/>
  <c r="AQ159" i="17"/>
  <c r="AM159" i="17"/>
  <c r="AI159" i="17"/>
  <c r="AP159" i="17"/>
  <c r="AL159" i="17"/>
  <c r="AH159" i="17"/>
  <c r="AS159" i="17"/>
  <c r="AO159" i="17"/>
  <c r="AK159" i="17"/>
  <c r="B160" i="17"/>
  <c r="C161" i="17"/>
  <c r="G161" i="17" s="1"/>
  <c r="AW160" i="17"/>
  <c r="BJ159" i="17" l="1"/>
  <c r="O160" i="17"/>
  <c r="P160" i="17" s="1"/>
  <c r="H160" i="17"/>
  <c r="BJ160" i="17"/>
  <c r="F161" i="17"/>
  <c r="R159" i="17"/>
  <c r="C162" i="17"/>
  <c r="G162" i="17" s="1"/>
  <c r="AW161" i="17"/>
  <c r="B161" i="17"/>
  <c r="AQ160" i="17"/>
  <c r="AM160" i="17"/>
  <c r="AI160" i="17"/>
  <c r="AP160" i="17"/>
  <c r="AL160" i="17"/>
  <c r="AH160" i="17"/>
  <c r="AS160" i="17"/>
  <c r="AO160" i="17"/>
  <c r="AK160" i="17"/>
  <c r="AR160" i="17"/>
  <c r="AN160" i="17"/>
  <c r="AJ160" i="17"/>
  <c r="O161" i="17" l="1"/>
  <c r="P161" i="17" s="1"/>
  <c r="H161" i="17"/>
  <c r="BJ161" i="17"/>
  <c r="F162" i="17"/>
  <c r="R160" i="17"/>
  <c r="AP161" i="17"/>
  <c r="AL161" i="17"/>
  <c r="AH161" i="17"/>
  <c r="AS161" i="17"/>
  <c r="AO161" i="17"/>
  <c r="AK161" i="17"/>
  <c r="AR161" i="17"/>
  <c r="AN161" i="17"/>
  <c r="AJ161" i="17"/>
  <c r="AQ161" i="17"/>
  <c r="AM161" i="17"/>
  <c r="AI161" i="17"/>
  <c r="C163" i="17"/>
  <c r="G163" i="17" s="1"/>
  <c r="AW162" i="17"/>
  <c r="B162" i="17"/>
  <c r="O162" i="17" l="1"/>
  <c r="P162" i="17" s="1"/>
  <c r="H162" i="17"/>
  <c r="F163" i="17"/>
  <c r="R161" i="17"/>
  <c r="AS162" i="17"/>
  <c r="AO162" i="17"/>
  <c r="AK162" i="17"/>
  <c r="AR162" i="17"/>
  <c r="AN162" i="17"/>
  <c r="AJ162" i="17"/>
  <c r="AQ162" i="17"/>
  <c r="AM162" i="17"/>
  <c r="AI162" i="17"/>
  <c r="AP162" i="17"/>
  <c r="AL162" i="17"/>
  <c r="AH162" i="17"/>
  <c r="B163" i="17"/>
  <c r="C164" i="17"/>
  <c r="G164" i="17" s="1"/>
  <c r="AW163" i="17"/>
  <c r="BJ162" i="17" l="1"/>
  <c r="O163" i="17"/>
  <c r="P163" i="17" s="1"/>
  <c r="H163" i="17"/>
  <c r="F164" i="17"/>
  <c r="R162" i="17"/>
  <c r="B164" i="17"/>
  <c r="C165" i="17"/>
  <c r="G165" i="17" s="1"/>
  <c r="AW164" i="17"/>
  <c r="AR163" i="17"/>
  <c r="AN163" i="17"/>
  <c r="AJ163" i="17"/>
  <c r="AQ163" i="17"/>
  <c r="AM163" i="17"/>
  <c r="AI163" i="17"/>
  <c r="AP163" i="17"/>
  <c r="AL163" i="17"/>
  <c r="AH163" i="17"/>
  <c r="AS163" i="17"/>
  <c r="AO163" i="17"/>
  <c r="AK163" i="17"/>
  <c r="BJ163" i="17" l="1"/>
  <c r="O164" i="17"/>
  <c r="P164" i="17" s="1"/>
  <c r="H164" i="17"/>
  <c r="F165" i="17"/>
  <c r="R163" i="17"/>
  <c r="C166" i="17"/>
  <c r="G166" i="17" s="1"/>
  <c r="AW165" i="17"/>
  <c r="B165" i="17"/>
  <c r="AQ164" i="17"/>
  <c r="AM164" i="17"/>
  <c r="AI164" i="17"/>
  <c r="AP164" i="17"/>
  <c r="AL164" i="17"/>
  <c r="AH164" i="17"/>
  <c r="AS164" i="17"/>
  <c r="AO164" i="17"/>
  <c r="AK164" i="17"/>
  <c r="AR164" i="17"/>
  <c r="AN164" i="17"/>
  <c r="AJ164" i="17"/>
  <c r="BJ164" i="17" l="1"/>
  <c r="O165" i="17"/>
  <c r="P165" i="17" s="1"/>
  <c r="H165" i="17"/>
  <c r="F166" i="17"/>
  <c r="R164" i="17"/>
  <c r="AP165" i="17"/>
  <c r="AL165" i="17"/>
  <c r="AH165" i="17"/>
  <c r="AS165" i="17"/>
  <c r="AO165" i="17"/>
  <c r="AK165" i="17"/>
  <c r="AQ165" i="17"/>
  <c r="AI165" i="17"/>
  <c r="AN165" i="17"/>
  <c r="AM165" i="17"/>
  <c r="AR165" i="17"/>
  <c r="AJ165" i="17"/>
  <c r="C167" i="17"/>
  <c r="G167" i="17" s="1"/>
  <c r="AW166" i="17"/>
  <c r="B166" i="17"/>
  <c r="BJ165" i="17" l="1"/>
  <c r="O166" i="17"/>
  <c r="P166" i="17" s="1"/>
  <c r="H166" i="17"/>
  <c r="F167" i="17"/>
  <c r="R165" i="17"/>
  <c r="B167" i="17"/>
  <c r="AW167" i="17"/>
  <c r="C168" i="17"/>
  <c r="G168" i="17" s="1"/>
  <c r="AS166" i="17"/>
  <c r="AO166" i="17"/>
  <c r="AK166" i="17"/>
  <c r="AR166" i="17"/>
  <c r="AN166" i="17"/>
  <c r="AJ166" i="17"/>
  <c r="AP166" i="17"/>
  <c r="AH166" i="17"/>
  <c r="AM166" i="17"/>
  <c r="AL166" i="17"/>
  <c r="AQ166" i="17"/>
  <c r="AI166" i="17"/>
  <c r="BJ166" i="17" l="1"/>
  <c r="O167" i="17"/>
  <c r="P167" i="17" s="1"/>
  <c r="H167" i="17"/>
  <c r="F168" i="17"/>
  <c r="R166" i="17"/>
  <c r="B168" i="17"/>
  <c r="C169" i="17"/>
  <c r="G169" i="17" s="1"/>
  <c r="AW168" i="17"/>
  <c r="AR167" i="17"/>
  <c r="AN167" i="17"/>
  <c r="AJ167" i="17"/>
  <c r="AQ167" i="17"/>
  <c r="AM167" i="17"/>
  <c r="AI167" i="17"/>
  <c r="AP167" i="17"/>
  <c r="AL167" i="17"/>
  <c r="AH167" i="17"/>
  <c r="AS167" i="17"/>
  <c r="AO167" i="17"/>
  <c r="AK167" i="17"/>
  <c r="BJ167" i="17" l="1"/>
  <c r="O168" i="17"/>
  <c r="P168" i="17" s="1"/>
  <c r="H168" i="17"/>
  <c r="F169" i="17"/>
  <c r="R167" i="17"/>
  <c r="AQ168" i="17"/>
  <c r="AM168" i="17"/>
  <c r="AI168" i="17"/>
  <c r="AP168" i="17"/>
  <c r="AL168" i="17"/>
  <c r="AH168" i="17"/>
  <c r="AS168" i="17"/>
  <c r="AO168" i="17"/>
  <c r="AK168" i="17"/>
  <c r="AR168" i="17"/>
  <c r="AN168" i="17"/>
  <c r="AJ168" i="17"/>
  <c r="C170" i="17"/>
  <c r="G170" i="17" s="1"/>
  <c r="AW169" i="17"/>
  <c r="B169" i="17"/>
  <c r="BJ168" i="17" l="1"/>
  <c r="O169" i="17"/>
  <c r="P169" i="17" s="1"/>
  <c r="H169" i="17"/>
  <c r="F170" i="17"/>
  <c r="R168" i="17"/>
  <c r="AP169" i="17"/>
  <c r="AL169" i="17"/>
  <c r="AH169" i="17"/>
  <c r="AS169" i="17"/>
  <c r="AO169" i="17"/>
  <c r="AK169" i="17"/>
  <c r="AR169" i="17"/>
  <c r="AN169" i="17"/>
  <c r="AJ169" i="17"/>
  <c r="AQ169" i="17"/>
  <c r="AM169" i="17"/>
  <c r="AI169" i="17"/>
  <c r="C171" i="17"/>
  <c r="G171" i="17" s="1"/>
  <c r="AW170" i="17"/>
  <c r="B170" i="17"/>
  <c r="BJ169" i="17" l="1"/>
  <c r="O170" i="17"/>
  <c r="P170" i="17" s="1"/>
  <c r="H170" i="17"/>
  <c r="AG170" i="17"/>
  <c r="F171" i="17"/>
  <c r="R169" i="17"/>
  <c r="AS170" i="17"/>
  <c r="AO170" i="17"/>
  <c r="AK170" i="17"/>
  <c r="AR170" i="17"/>
  <c r="AN170" i="17"/>
  <c r="AJ170" i="17"/>
  <c r="AQ170" i="17"/>
  <c r="AM170" i="17"/>
  <c r="AI170" i="17"/>
  <c r="AP170" i="17"/>
  <c r="AL170" i="17"/>
  <c r="AH170" i="17"/>
  <c r="B171" i="17"/>
  <c r="C172" i="17"/>
  <c r="G172" i="17" s="1"/>
  <c r="AW171" i="17"/>
  <c r="BJ170" i="17" l="1"/>
  <c r="O171" i="17"/>
  <c r="P171" i="17" s="1"/>
  <c r="H171" i="17"/>
  <c r="F172" i="17"/>
  <c r="R170" i="17"/>
  <c r="B172" i="17"/>
  <c r="C173" i="17"/>
  <c r="G173" i="17" s="1"/>
  <c r="AW172" i="17"/>
  <c r="AR171" i="17"/>
  <c r="AN171" i="17"/>
  <c r="AJ171" i="17"/>
  <c r="AQ171" i="17"/>
  <c r="AM171" i="17"/>
  <c r="AI171" i="17"/>
  <c r="AP171" i="17"/>
  <c r="AL171" i="17"/>
  <c r="AH171" i="17"/>
  <c r="AS171" i="17"/>
  <c r="AO171" i="17"/>
  <c r="AK171" i="17"/>
  <c r="BJ171" i="17" l="1"/>
  <c r="O172" i="17"/>
  <c r="BJ172" i="17" s="1"/>
  <c r="H172" i="17"/>
  <c r="F173" i="17"/>
  <c r="R171" i="17"/>
  <c r="C174" i="17"/>
  <c r="G174" i="17" s="1"/>
  <c r="AW173" i="17"/>
  <c r="B173" i="17"/>
  <c r="AQ172" i="17"/>
  <c r="AM172" i="17"/>
  <c r="AI172" i="17"/>
  <c r="AP172" i="17"/>
  <c r="AL172" i="17"/>
  <c r="AH172" i="17"/>
  <c r="AS172" i="17"/>
  <c r="AO172" i="17"/>
  <c r="AK172" i="17"/>
  <c r="AN172" i="17"/>
  <c r="AJ172" i="17"/>
  <c r="AR172" i="17"/>
  <c r="P172" i="17" l="1"/>
  <c r="R172" i="17" s="1"/>
  <c r="O173" i="17"/>
  <c r="BJ173" i="17" s="1"/>
  <c r="H173" i="17"/>
  <c r="F174" i="17"/>
  <c r="AP173" i="17"/>
  <c r="AL173" i="17"/>
  <c r="AH173" i="17"/>
  <c r="AS173" i="17"/>
  <c r="AO173" i="17"/>
  <c r="AK173" i="17"/>
  <c r="AR173" i="17"/>
  <c r="AN173" i="17"/>
  <c r="AJ173" i="17"/>
  <c r="AM173" i="17"/>
  <c r="AI173" i="17"/>
  <c r="AQ173" i="17"/>
  <c r="C175" i="17"/>
  <c r="G175" i="17" s="1"/>
  <c r="AW174" i="17"/>
  <c r="B174" i="17"/>
  <c r="P173" i="17" l="1"/>
  <c r="O174" i="17"/>
  <c r="P174" i="17" s="1"/>
  <c r="H174" i="17"/>
  <c r="F175" i="17"/>
  <c r="R173" i="17"/>
  <c r="AS174" i="17"/>
  <c r="AO174" i="17"/>
  <c r="AK174" i="17"/>
  <c r="AR174" i="17"/>
  <c r="AN174" i="17"/>
  <c r="AJ174" i="17"/>
  <c r="AQ174" i="17"/>
  <c r="AM174" i="17"/>
  <c r="AI174" i="17"/>
  <c r="AL174" i="17"/>
  <c r="AH174" i="17"/>
  <c r="AP174" i="17"/>
  <c r="B175" i="17"/>
  <c r="AW175" i="17"/>
  <c r="C176" i="17"/>
  <c r="G176" i="17" s="1"/>
  <c r="BJ174" i="17" l="1"/>
  <c r="O175" i="17"/>
  <c r="P175" i="17" s="1"/>
  <c r="H175" i="17"/>
  <c r="F176" i="17"/>
  <c r="R174" i="17"/>
  <c r="AR175" i="17"/>
  <c r="AN175" i="17"/>
  <c r="AJ175" i="17"/>
  <c r="AQ175" i="17"/>
  <c r="AM175" i="17"/>
  <c r="AI175" i="17"/>
  <c r="AP175" i="17"/>
  <c r="AL175" i="17"/>
  <c r="AH175" i="17"/>
  <c r="AO175" i="17"/>
  <c r="AK175" i="17"/>
  <c r="AS175" i="17"/>
  <c r="B176" i="17"/>
  <c r="C177" i="17"/>
  <c r="G177" i="17" s="1"/>
  <c r="AW176" i="17"/>
  <c r="BJ175" i="17" l="1"/>
  <c r="O176" i="17"/>
  <c r="P176" i="17" s="1"/>
  <c r="H176" i="17"/>
  <c r="F177" i="17"/>
  <c r="R175" i="17"/>
  <c r="C178" i="17"/>
  <c r="G178" i="17" s="1"/>
  <c r="AW177" i="17"/>
  <c r="B177" i="17"/>
  <c r="AQ176" i="17"/>
  <c r="AM176" i="17"/>
  <c r="AI176" i="17"/>
  <c r="AP176" i="17"/>
  <c r="AL176" i="17"/>
  <c r="AH176" i="17"/>
  <c r="AS176" i="17"/>
  <c r="AO176" i="17"/>
  <c r="AK176" i="17"/>
  <c r="AJ176" i="17"/>
  <c r="AR176" i="17"/>
  <c r="AN176" i="17"/>
  <c r="BJ176" i="17" l="1"/>
  <c r="O177" i="17"/>
  <c r="BJ177" i="17" s="1"/>
  <c r="H177" i="17"/>
  <c r="F178" i="17"/>
  <c r="R176" i="17"/>
  <c r="AP177" i="17"/>
  <c r="AL177" i="17"/>
  <c r="AH177" i="17"/>
  <c r="AS177" i="17"/>
  <c r="AO177" i="17"/>
  <c r="AK177" i="17"/>
  <c r="AR177" i="17"/>
  <c r="AN177" i="17"/>
  <c r="AJ177" i="17"/>
  <c r="AI177" i="17"/>
  <c r="AQ177" i="17"/>
  <c r="AM177" i="17"/>
  <c r="C179" i="17"/>
  <c r="G179" i="17" s="1"/>
  <c r="AW178" i="17"/>
  <c r="B178" i="17"/>
  <c r="P177" i="17" l="1"/>
  <c r="O178" i="17"/>
  <c r="P178" i="17" s="1"/>
  <c r="H178" i="17"/>
  <c r="F179" i="17"/>
  <c r="R177" i="17"/>
  <c r="AS178" i="17"/>
  <c r="AO178" i="17"/>
  <c r="AK178" i="17"/>
  <c r="AR178" i="17"/>
  <c r="AN178" i="17"/>
  <c r="AJ178" i="17"/>
  <c r="AQ178" i="17"/>
  <c r="AM178" i="17"/>
  <c r="AI178" i="17"/>
  <c r="AH178" i="17"/>
  <c r="AP178" i="17"/>
  <c r="AL178" i="17"/>
  <c r="B179" i="17"/>
  <c r="AW179" i="17"/>
  <c r="C180" i="17"/>
  <c r="G180" i="17" s="1"/>
  <c r="BJ178" i="17" l="1"/>
  <c r="O179" i="17"/>
  <c r="P179" i="17" s="1"/>
  <c r="H179" i="17"/>
  <c r="F180" i="17"/>
  <c r="R178" i="17"/>
  <c r="AR179" i="17"/>
  <c r="AN179" i="17"/>
  <c r="AJ179" i="17"/>
  <c r="AQ179" i="17"/>
  <c r="AM179" i="17"/>
  <c r="AI179" i="17"/>
  <c r="AP179" i="17"/>
  <c r="AL179" i="17"/>
  <c r="AH179" i="17"/>
  <c r="AK179" i="17"/>
  <c r="AS179" i="17"/>
  <c r="AO179" i="17"/>
  <c r="B180" i="17"/>
  <c r="C181" i="17"/>
  <c r="G181" i="17" s="1"/>
  <c r="AW180" i="17"/>
  <c r="BJ179" i="17" l="1"/>
  <c r="O180" i="17"/>
  <c r="P180" i="17" s="1"/>
  <c r="H180" i="17"/>
  <c r="F181" i="17"/>
  <c r="R179" i="17"/>
  <c r="C182" i="17"/>
  <c r="G182" i="17" s="1"/>
  <c r="AW181" i="17"/>
  <c r="B181" i="17"/>
  <c r="AQ180" i="17"/>
  <c r="AM180" i="17"/>
  <c r="AI180" i="17"/>
  <c r="AP180" i="17"/>
  <c r="AL180" i="17"/>
  <c r="AH180" i="17"/>
  <c r="AS180" i="17"/>
  <c r="AO180" i="17"/>
  <c r="AK180" i="17"/>
  <c r="AR180" i="17"/>
  <c r="AN180" i="17"/>
  <c r="AJ180" i="17"/>
  <c r="BJ180" i="17" l="1"/>
  <c r="O181" i="17"/>
  <c r="P181" i="17" s="1"/>
  <c r="H181" i="17"/>
  <c r="F182" i="17"/>
  <c r="R180" i="17"/>
  <c r="AP181" i="17"/>
  <c r="AL181" i="17"/>
  <c r="AH181" i="17"/>
  <c r="AS181" i="17"/>
  <c r="AO181" i="17"/>
  <c r="AK181" i="17"/>
  <c r="AR181" i="17"/>
  <c r="AN181" i="17"/>
  <c r="AJ181" i="17"/>
  <c r="AQ181" i="17"/>
  <c r="AM181" i="17"/>
  <c r="AI181" i="17"/>
  <c r="C183" i="17"/>
  <c r="G183" i="17" s="1"/>
  <c r="AW182" i="17"/>
  <c r="B182" i="17"/>
  <c r="BJ181" i="17" l="1"/>
  <c r="O182" i="17"/>
  <c r="P182" i="17" s="1"/>
  <c r="H182" i="17"/>
  <c r="F183" i="17"/>
  <c r="R181" i="17"/>
  <c r="AS182" i="17"/>
  <c r="AO182" i="17"/>
  <c r="AK182" i="17"/>
  <c r="AR182" i="17"/>
  <c r="AN182" i="17"/>
  <c r="AJ182" i="17"/>
  <c r="AQ182" i="17"/>
  <c r="AM182" i="17"/>
  <c r="AI182" i="17"/>
  <c r="AP182" i="17"/>
  <c r="AL182" i="17"/>
  <c r="AH182" i="17"/>
  <c r="B183" i="17"/>
  <c r="AW183" i="17"/>
  <c r="C184" i="17"/>
  <c r="G184" i="17" s="1"/>
  <c r="BJ182" i="17" l="1"/>
  <c r="O183" i="17"/>
  <c r="P183" i="17" s="1"/>
  <c r="H183" i="17"/>
  <c r="F184" i="17"/>
  <c r="R182" i="17"/>
  <c r="AR183" i="17"/>
  <c r="AN183" i="17"/>
  <c r="AJ183" i="17"/>
  <c r="AQ183" i="17"/>
  <c r="AM183" i="17"/>
  <c r="AI183" i="17"/>
  <c r="AP183" i="17"/>
  <c r="AL183" i="17"/>
  <c r="AH183" i="17"/>
  <c r="AS183" i="17"/>
  <c r="AO183" i="17"/>
  <c r="AK183" i="17"/>
  <c r="B184" i="17"/>
  <c r="C185" i="17"/>
  <c r="G185" i="17" s="1"/>
  <c r="AW184" i="17"/>
  <c r="BJ183" i="17" l="1"/>
  <c r="O184" i="17"/>
  <c r="P184" i="17" s="1"/>
  <c r="H184" i="17"/>
  <c r="F185" i="17"/>
  <c r="R183" i="17"/>
  <c r="C186" i="17"/>
  <c r="G186" i="17" s="1"/>
  <c r="AW185" i="17"/>
  <c r="B185" i="17"/>
  <c r="AQ184" i="17"/>
  <c r="AM184" i="17"/>
  <c r="AI184" i="17"/>
  <c r="AP184" i="17"/>
  <c r="AL184" i="17"/>
  <c r="AH184" i="17"/>
  <c r="AS184" i="17"/>
  <c r="AO184" i="17"/>
  <c r="AK184" i="17"/>
  <c r="AR184" i="17"/>
  <c r="AN184" i="17"/>
  <c r="AJ184" i="17"/>
  <c r="BJ184" i="17" l="1"/>
  <c r="O185" i="17"/>
  <c r="P185" i="17" s="1"/>
  <c r="H185" i="17"/>
  <c r="F186" i="17"/>
  <c r="R184" i="17"/>
  <c r="AP185" i="17"/>
  <c r="AL185" i="17"/>
  <c r="AH185" i="17"/>
  <c r="AS185" i="17"/>
  <c r="AO185" i="17"/>
  <c r="AK185" i="17"/>
  <c r="AR185" i="17"/>
  <c r="AN185" i="17"/>
  <c r="AJ185" i="17"/>
  <c r="AQ185" i="17"/>
  <c r="AM185" i="17"/>
  <c r="AI185" i="17"/>
  <c r="C187" i="17"/>
  <c r="G187" i="17" s="1"/>
  <c r="AW186" i="17"/>
  <c r="B186" i="17"/>
  <c r="BJ185" i="17" l="1"/>
  <c r="O186" i="17"/>
  <c r="P186" i="17" s="1"/>
  <c r="H186" i="17"/>
  <c r="F187" i="17"/>
  <c r="R185" i="17"/>
  <c r="AS186" i="17"/>
  <c r="AO186" i="17"/>
  <c r="AK186" i="17"/>
  <c r="AR186" i="17"/>
  <c r="AN186" i="17"/>
  <c r="AJ186" i="17"/>
  <c r="AQ186" i="17"/>
  <c r="AM186" i="17"/>
  <c r="AI186" i="17"/>
  <c r="AP186" i="17"/>
  <c r="AL186" i="17"/>
  <c r="AH186" i="17"/>
  <c r="B187" i="17"/>
  <c r="C188" i="17"/>
  <c r="G188" i="17" s="1"/>
  <c r="AW187" i="17"/>
  <c r="BJ186" i="17" l="1"/>
  <c r="O187" i="17"/>
  <c r="P187" i="17" s="1"/>
  <c r="H187" i="17"/>
  <c r="F188" i="17"/>
  <c r="R186" i="17"/>
  <c r="B188" i="17"/>
  <c r="C189" i="17"/>
  <c r="G189" i="17" s="1"/>
  <c r="AW188" i="17"/>
  <c r="AR187" i="17"/>
  <c r="AN187" i="17"/>
  <c r="AJ187" i="17"/>
  <c r="AQ187" i="17"/>
  <c r="AM187" i="17"/>
  <c r="AI187" i="17"/>
  <c r="AP187" i="17"/>
  <c r="AL187" i="17"/>
  <c r="AH187" i="17"/>
  <c r="AS187" i="17"/>
  <c r="AO187" i="17"/>
  <c r="AK187" i="17"/>
  <c r="BJ187" i="17" l="1"/>
  <c r="O188" i="17"/>
  <c r="BJ188" i="17" s="1"/>
  <c r="H188" i="17"/>
  <c r="F189" i="17"/>
  <c r="R187" i="17"/>
  <c r="C190" i="17"/>
  <c r="G190" i="17" s="1"/>
  <c r="AW189" i="17"/>
  <c r="B189" i="17"/>
  <c r="AQ188" i="17"/>
  <c r="AM188" i="17"/>
  <c r="AI188" i="17"/>
  <c r="AP188" i="17"/>
  <c r="AL188" i="17"/>
  <c r="AH188" i="17"/>
  <c r="AS188" i="17"/>
  <c r="AO188" i="17"/>
  <c r="AK188" i="17"/>
  <c r="AN188" i="17"/>
  <c r="AJ188" i="17"/>
  <c r="AR188" i="17"/>
  <c r="P188" i="17" l="1"/>
  <c r="R188" i="17" s="1"/>
  <c r="O189" i="17"/>
  <c r="P189" i="17" s="1"/>
  <c r="H189" i="17"/>
  <c r="F190" i="17"/>
  <c r="AP189" i="17"/>
  <c r="AL189" i="17"/>
  <c r="AH189" i="17"/>
  <c r="AS189" i="17"/>
  <c r="AO189" i="17"/>
  <c r="AK189" i="17"/>
  <c r="AR189" i="17"/>
  <c r="AN189" i="17"/>
  <c r="AJ189" i="17"/>
  <c r="AM189" i="17"/>
  <c r="AI189" i="17"/>
  <c r="AQ189" i="17"/>
  <c r="C191" i="17"/>
  <c r="G191" i="17" s="1"/>
  <c r="AW190" i="17"/>
  <c r="B190" i="17"/>
  <c r="BJ189" i="17" l="1"/>
  <c r="O190" i="17"/>
  <c r="P190" i="17" s="1"/>
  <c r="H190" i="17"/>
  <c r="F191" i="17"/>
  <c r="R189" i="17"/>
  <c r="AS190" i="17"/>
  <c r="AO190" i="17"/>
  <c r="AK190" i="17"/>
  <c r="AR190" i="17"/>
  <c r="AN190" i="17"/>
  <c r="AJ190" i="17"/>
  <c r="AQ190" i="17"/>
  <c r="AM190" i="17"/>
  <c r="AI190" i="17"/>
  <c r="AL190" i="17"/>
  <c r="AH190" i="17"/>
  <c r="AP190" i="17"/>
  <c r="B191" i="17"/>
  <c r="AW191" i="17"/>
  <c r="C192" i="17"/>
  <c r="G192" i="17" s="1"/>
  <c r="BJ190" i="17" l="1"/>
  <c r="O191" i="17"/>
  <c r="P191" i="17" s="1"/>
  <c r="H191" i="17"/>
  <c r="F192" i="17"/>
  <c r="R190" i="17"/>
  <c r="AR191" i="17"/>
  <c r="AN191" i="17"/>
  <c r="AJ191" i="17"/>
  <c r="AQ191" i="17"/>
  <c r="AM191" i="17"/>
  <c r="AI191" i="17"/>
  <c r="AP191" i="17"/>
  <c r="AL191" i="17"/>
  <c r="AH191" i="17"/>
  <c r="AO191" i="17"/>
  <c r="AK191" i="17"/>
  <c r="AS191" i="17"/>
  <c r="B192" i="17"/>
  <c r="C193" i="17"/>
  <c r="G193" i="17" s="1"/>
  <c r="AW192" i="17"/>
  <c r="BJ191" i="17" l="1"/>
  <c r="O192" i="17"/>
  <c r="P192" i="17" s="1"/>
  <c r="H192" i="17"/>
  <c r="F193" i="17"/>
  <c r="R191" i="17"/>
  <c r="C194" i="17"/>
  <c r="G194" i="17" s="1"/>
  <c r="AW193" i="17"/>
  <c r="B193" i="17"/>
  <c r="AQ192" i="17"/>
  <c r="AM192" i="17"/>
  <c r="AI192" i="17"/>
  <c r="AP192" i="17"/>
  <c r="AL192" i="17"/>
  <c r="AH192" i="17"/>
  <c r="AS192" i="17"/>
  <c r="AO192" i="17"/>
  <c r="AK192" i="17"/>
  <c r="AJ192" i="17"/>
  <c r="AR192" i="17"/>
  <c r="AN192" i="17"/>
  <c r="BJ192" i="17" l="1"/>
  <c r="O193" i="17"/>
  <c r="P193" i="17" s="1"/>
  <c r="H193" i="17"/>
  <c r="BJ193" i="17"/>
  <c r="F194" i="17"/>
  <c r="R192" i="17"/>
  <c r="C195" i="17"/>
  <c r="G195" i="17" s="1"/>
  <c r="AW194" i="17"/>
  <c r="B194" i="17"/>
  <c r="AP193" i="17"/>
  <c r="AL193" i="17"/>
  <c r="AH193" i="17"/>
  <c r="AS193" i="17"/>
  <c r="AO193" i="17"/>
  <c r="AK193" i="17"/>
  <c r="AR193" i="17"/>
  <c r="AN193" i="17"/>
  <c r="AJ193" i="17"/>
  <c r="AI193" i="17"/>
  <c r="AQ193" i="17"/>
  <c r="AM193" i="17"/>
  <c r="O194" i="17" l="1"/>
  <c r="P194" i="17" s="1"/>
  <c r="H194" i="17"/>
  <c r="F195" i="17"/>
  <c r="R193" i="17"/>
  <c r="AS194" i="17"/>
  <c r="AO194" i="17"/>
  <c r="AK194" i="17"/>
  <c r="AR194" i="17"/>
  <c r="AN194" i="17"/>
  <c r="AJ194" i="17"/>
  <c r="AQ194" i="17"/>
  <c r="AM194" i="17"/>
  <c r="AI194" i="17"/>
  <c r="AH194" i="17"/>
  <c r="AP194" i="17"/>
  <c r="AL194" i="17"/>
  <c r="B195" i="17"/>
  <c r="AW195" i="17"/>
  <c r="C196" i="17"/>
  <c r="G196" i="17" s="1"/>
  <c r="BJ194" i="17" l="1"/>
  <c r="O195" i="17"/>
  <c r="P195" i="17" s="1"/>
  <c r="H195" i="17"/>
  <c r="F196" i="17"/>
  <c r="R194" i="17"/>
  <c r="AR195" i="17"/>
  <c r="AN195" i="17"/>
  <c r="AJ195" i="17"/>
  <c r="AQ195" i="17"/>
  <c r="AM195" i="17"/>
  <c r="AI195" i="17"/>
  <c r="AP195" i="17"/>
  <c r="AL195" i="17"/>
  <c r="AH195" i="17"/>
  <c r="AK195" i="17"/>
  <c r="AS195" i="17"/>
  <c r="AO195" i="17"/>
  <c r="B196" i="17"/>
  <c r="C197" i="17"/>
  <c r="G197" i="17" s="1"/>
  <c r="AW196" i="17"/>
  <c r="BJ195" i="17" l="1"/>
  <c r="O196" i="17"/>
  <c r="P196" i="17" s="1"/>
  <c r="H196" i="17"/>
  <c r="F197" i="17"/>
  <c r="R195" i="17"/>
  <c r="C198" i="17"/>
  <c r="G198" i="17" s="1"/>
  <c r="AW197" i="17"/>
  <c r="B197" i="17"/>
  <c r="AQ196" i="17"/>
  <c r="AM196" i="17"/>
  <c r="AI196" i="17"/>
  <c r="AP196" i="17"/>
  <c r="AL196" i="17"/>
  <c r="AH196" i="17"/>
  <c r="AS196" i="17"/>
  <c r="AO196" i="17"/>
  <c r="AK196" i="17"/>
  <c r="AR196" i="17"/>
  <c r="AN196" i="17"/>
  <c r="AJ196" i="17"/>
  <c r="BJ196" i="17" l="1"/>
  <c r="O197" i="17"/>
  <c r="P197" i="17" s="1"/>
  <c r="H197" i="17"/>
  <c r="BJ197" i="17"/>
  <c r="F198" i="17"/>
  <c r="R196" i="17"/>
  <c r="AP197" i="17"/>
  <c r="AL197" i="17"/>
  <c r="AH197" i="17"/>
  <c r="AS197" i="17"/>
  <c r="AO197" i="17"/>
  <c r="AK197" i="17"/>
  <c r="AR197" i="17"/>
  <c r="AN197" i="17"/>
  <c r="AJ197" i="17"/>
  <c r="AQ197" i="17"/>
  <c r="AM197" i="17"/>
  <c r="AI197" i="17"/>
  <c r="C199" i="17"/>
  <c r="G199" i="17" s="1"/>
  <c r="AW198" i="17"/>
  <c r="B198" i="17"/>
  <c r="O198" i="17" l="1"/>
  <c r="P198" i="17" s="1"/>
  <c r="H198" i="17"/>
  <c r="BJ198" i="17"/>
  <c r="F199" i="17"/>
  <c r="R197" i="17"/>
  <c r="AS198" i="17"/>
  <c r="AO198" i="17"/>
  <c r="AK198" i="17"/>
  <c r="AR198" i="17"/>
  <c r="AN198" i="17"/>
  <c r="AJ198" i="17"/>
  <c r="AQ198" i="17"/>
  <c r="AM198" i="17"/>
  <c r="AI198" i="17"/>
  <c r="AP198" i="17"/>
  <c r="AL198" i="17"/>
  <c r="AH198" i="17"/>
  <c r="B199" i="17"/>
  <c r="AW199" i="17"/>
  <c r="C200" i="17"/>
  <c r="G200" i="17" s="1"/>
  <c r="O199" i="17" l="1"/>
  <c r="P199" i="17" s="1"/>
  <c r="H199" i="17"/>
  <c r="F200" i="17"/>
  <c r="R198" i="17"/>
  <c r="B200" i="17"/>
  <c r="C201" i="17"/>
  <c r="G201" i="17" s="1"/>
  <c r="AW200" i="17"/>
  <c r="AR199" i="17"/>
  <c r="AN199" i="17"/>
  <c r="AJ199" i="17"/>
  <c r="AQ199" i="17"/>
  <c r="AM199" i="17"/>
  <c r="AI199" i="17"/>
  <c r="AP199" i="17"/>
  <c r="AL199" i="17"/>
  <c r="AH199" i="17"/>
  <c r="AS199" i="17"/>
  <c r="AO199" i="17"/>
  <c r="AK199" i="17"/>
  <c r="BJ199" i="17" l="1"/>
  <c r="O200" i="17"/>
  <c r="P200" i="17" s="1"/>
  <c r="H200" i="17"/>
  <c r="F201" i="17"/>
  <c r="R199" i="17"/>
  <c r="AQ200" i="17"/>
  <c r="AM200" i="17"/>
  <c r="AI200" i="17"/>
  <c r="AP200" i="17"/>
  <c r="AL200" i="17"/>
  <c r="AH200" i="17"/>
  <c r="AS200" i="17"/>
  <c r="AO200" i="17"/>
  <c r="AK200" i="17"/>
  <c r="AR200" i="17"/>
  <c r="AN200" i="17"/>
  <c r="AJ200" i="17"/>
  <c r="C202" i="17"/>
  <c r="G202" i="17" s="1"/>
  <c r="AW201" i="17"/>
  <c r="B201" i="17"/>
  <c r="BJ200" i="17" l="1"/>
  <c r="O201" i="17"/>
  <c r="P201" i="17" s="1"/>
  <c r="H201" i="17"/>
  <c r="F202" i="17"/>
  <c r="R200" i="17"/>
  <c r="AP201" i="17"/>
  <c r="AL201" i="17"/>
  <c r="AH201" i="17"/>
  <c r="AS201" i="17"/>
  <c r="AO201" i="17"/>
  <c r="AK201" i="17"/>
  <c r="AR201" i="17"/>
  <c r="AN201" i="17"/>
  <c r="AJ201" i="17"/>
  <c r="AQ201" i="17"/>
  <c r="AM201" i="17"/>
  <c r="AI201" i="17"/>
  <c r="C203" i="17"/>
  <c r="G203" i="17" s="1"/>
  <c r="AW202" i="17"/>
  <c r="B202" i="17"/>
  <c r="BJ201" i="17" l="1"/>
  <c r="O202" i="17"/>
  <c r="BJ202" i="17" s="1"/>
  <c r="H202" i="17"/>
  <c r="F203" i="17"/>
  <c r="R201" i="17"/>
  <c r="B203" i="17"/>
  <c r="C204" i="17"/>
  <c r="G204" i="17" s="1"/>
  <c r="AW203" i="17"/>
  <c r="AS202" i="17"/>
  <c r="AO202" i="17"/>
  <c r="AK202" i="17"/>
  <c r="AR202" i="17"/>
  <c r="AN202" i="17"/>
  <c r="AJ202" i="17"/>
  <c r="AQ202" i="17"/>
  <c r="AM202" i="17"/>
  <c r="AI202" i="17"/>
  <c r="AP202" i="17"/>
  <c r="AL202" i="17"/>
  <c r="AH202" i="17"/>
  <c r="P202" i="17" l="1"/>
  <c r="R202" i="17" s="1"/>
  <c r="O203" i="17"/>
  <c r="BJ203" i="17" s="1"/>
  <c r="H203" i="17"/>
  <c r="F204" i="17"/>
  <c r="B204" i="17"/>
  <c r="C205" i="17"/>
  <c r="G205" i="17" s="1"/>
  <c r="AW204" i="17"/>
  <c r="AR203" i="17"/>
  <c r="AN203" i="17"/>
  <c r="AJ203" i="17"/>
  <c r="AQ203" i="17"/>
  <c r="AM203" i="17"/>
  <c r="AI203" i="17"/>
  <c r="AP203" i="17"/>
  <c r="AL203" i="17"/>
  <c r="AH203" i="17"/>
  <c r="AS203" i="17"/>
  <c r="AO203" i="17"/>
  <c r="AK203" i="17"/>
  <c r="P203" i="17" l="1"/>
  <c r="O204" i="17"/>
  <c r="BJ204" i="17" s="1"/>
  <c r="H204" i="17"/>
  <c r="P204" i="17"/>
  <c r="F205" i="17"/>
  <c r="R203" i="17"/>
  <c r="C206" i="17"/>
  <c r="G206" i="17" s="1"/>
  <c r="AW205" i="17"/>
  <c r="B205" i="17"/>
  <c r="AQ204" i="17"/>
  <c r="AM204" i="17"/>
  <c r="AI204" i="17"/>
  <c r="AP204" i="17"/>
  <c r="AL204" i="17"/>
  <c r="AH204" i="17"/>
  <c r="AS204" i="17"/>
  <c r="AO204" i="17"/>
  <c r="AK204" i="17"/>
  <c r="AN204" i="17"/>
  <c r="AJ204" i="17"/>
  <c r="AR204" i="17"/>
  <c r="O205" i="17" l="1"/>
  <c r="H205" i="17"/>
  <c r="P205" i="17"/>
  <c r="BJ205" i="17"/>
  <c r="F206" i="17"/>
  <c r="R204" i="17"/>
  <c r="AP205" i="17"/>
  <c r="AL205" i="17"/>
  <c r="AH205" i="17"/>
  <c r="AS205" i="17"/>
  <c r="AO205" i="17"/>
  <c r="AK205" i="17"/>
  <c r="AR205" i="17"/>
  <c r="AN205" i="17"/>
  <c r="AJ205" i="17"/>
  <c r="AM205" i="17"/>
  <c r="AI205" i="17"/>
  <c r="AQ205" i="17"/>
  <c r="C207" i="17"/>
  <c r="G207" i="17" s="1"/>
  <c r="AW206" i="17"/>
  <c r="B206" i="17"/>
  <c r="O206" i="17" l="1"/>
  <c r="P206" i="17" s="1"/>
  <c r="H206" i="17"/>
  <c r="F207" i="17"/>
  <c r="R205" i="17"/>
  <c r="AS206" i="17"/>
  <c r="AO206" i="17"/>
  <c r="AK206" i="17"/>
  <c r="AR206" i="17"/>
  <c r="AN206" i="17"/>
  <c r="AJ206" i="17"/>
  <c r="AQ206" i="17"/>
  <c r="AM206" i="17"/>
  <c r="AI206" i="17"/>
  <c r="AL206" i="17"/>
  <c r="AH206" i="17"/>
  <c r="AP206" i="17"/>
  <c r="B207" i="17"/>
  <c r="AW207" i="17"/>
  <c r="C208" i="17"/>
  <c r="G208" i="17" s="1"/>
  <c r="BJ206" i="17" l="1"/>
  <c r="O207" i="17"/>
  <c r="BJ207" i="17" s="1"/>
  <c r="H207" i="17"/>
  <c r="P207" i="17"/>
  <c r="F208" i="17"/>
  <c r="R206" i="17"/>
  <c r="AR207" i="17"/>
  <c r="AN207" i="17"/>
  <c r="AJ207" i="17"/>
  <c r="AQ207" i="17"/>
  <c r="AM207" i="17"/>
  <c r="AI207" i="17"/>
  <c r="AP207" i="17"/>
  <c r="AL207" i="17"/>
  <c r="AH207" i="17"/>
  <c r="AO207" i="17"/>
  <c r="AK207" i="17"/>
  <c r="AS207" i="17"/>
  <c r="B208" i="17"/>
  <c r="C209" i="17"/>
  <c r="G209" i="17" s="1"/>
  <c r="AW208" i="17"/>
  <c r="O208" i="17" l="1"/>
  <c r="H208" i="17"/>
  <c r="P208" i="17"/>
  <c r="BJ208" i="17"/>
  <c r="F209" i="17"/>
  <c r="R207" i="17"/>
  <c r="C210" i="17"/>
  <c r="G210" i="17" s="1"/>
  <c r="AW209" i="17"/>
  <c r="B209" i="17"/>
  <c r="AQ208" i="17"/>
  <c r="AM208" i="17"/>
  <c r="AI208" i="17"/>
  <c r="AP208" i="17"/>
  <c r="AL208" i="17"/>
  <c r="AH208" i="17"/>
  <c r="AS208" i="17"/>
  <c r="AO208" i="17"/>
  <c r="AK208" i="17"/>
  <c r="AJ208" i="17"/>
  <c r="AR208" i="17"/>
  <c r="AN208" i="17"/>
  <c r="O209" i="17" l="1"/>
  <c r="H209" i="17"/>
  <c r="P209" i="17"/>
  <c r="BJ209" i="17"/>
  <c r="F210" i="17"/>
  <c r="R208" i="17"/>
  <c r="AP209" i="17"/>
  <c r="AL209" i="17"/>
  <c r="AH209" i="17"/>
  <c r="AS209" i="17"/>
  <c r="AO209" i="17"/>
  <c r="AK209" i="17"/>
  <c r="AR209" i="17"/>
  <c r="AN209" i="17"/>
  <c r="AJ209" i="17"/>
  <c r="AI209" i="17"/>
  <c r="AQ209" i="17"/>
  <c r="AM209" i="17"/>
  <c r="C211" i="17"/>
  <c r="G211" i="17" s="1"/>
  <c r="AW210" i="17"/>
  <c r="B210" i="17"/>
  <c r="O210" i="17" l="1"/>
  <c r="H210" i="17"/>
  <c r="P210" i="17"/>
  <c r="BJ210" i="17"/>
  <c r="F211" i="17"/>
  <c r="R209" i="17"/>
  <c r="AS210" i="17"/>
  <c r="AO210" i="17"/>
  <c r="AK210" i="17"/>
  <c r="AR210" i="17"/>
  <c r="AN210" i="17"/>
  <c r="AJ210" i="17"/>
  <c r="AQ210" i="17"/>
  <c r="AM210" i="17"/>
  <c r="AI210" i="17"/>
  <c r="AH210" i="17"/>
  <c r="AP210" i="17"/>
  <c r="AL210" i="17"/>
  <c r="B211" i="17"/>
  <c r="AW211" i="17"/>
  <c r="C212" i="17"/>
  <c r="G212" i="17" s="1"/>
  <c r="O211" i="17" l="1"/>
  <c r="P211" i="17" s="1"/>
  <c r="H211" i="17"/>
  <c r="F212" i="17"/>
  <c r="R210" i="17"/>
  <c r="B212" i="17"/>
  <c r="C213" i="17"/>
  <c r="G213" i="17" s="1"/>
  <c r="AW212" i="17"/>
  <c r="AR211" i="17"/>
  <c r="AN211" i="17"/>
  <c r="AJ211" i="17"/>
  <c r="AQ211" i="17"/>
  <c r="AM211" i="17"/>
  <c r="AI211" i="17"/>
  <c r="AP211" i="17"/>
  <c r="AL211" i="17"/>
  <c r="AH211" i="17"/>
  <c r="AK211" i="17"/>
  <c r="AS211" i="17"/>
  <c r="AO211" i="17"/>
  <c r="BJ211" i="17" l="1"/>
  <c r="O212" i="17"/>
  <c r="BJ212" i="17" s="1"/>
  <c r="H212" i="17"/>
  <c r="F213" i="17"/>
  <c r="R211" i="17"/>
  <c r="C214" i="17"/>
  <c r="G214" i="17" s="1"/>
  <c r="AW213" i="17"/>
  <c r="B213" i="17"/>
  <c r="AQ212" i="17"/>
  <c r="AM212" i="17"/>
  <c r="AI212" i="17"/>
  <c r="AP212" i="17"/>
  <c r="AL212" i="17"/>
  <c r="AH212" i="17"/>
  <c r="AS212" i="17"/>
  <c r="AO212" i="17"/>
  <c r="AK212" i="17"/>
  <c r="AR212" i="17"/>
  <c r="AN212" i="17"/>
  <c r="AJ212" i="17"/>
  <c r="P212" i="17" l="1"/>
  <c r="O213" i="17"/>
  <c r="BJ213" i="17" s="1"/>
  <c r="H213" i="17"/>
  <c r="F214" i="17"/>
  <c r="R212" i="17"/>
  <c r="AP213" i="17"/>
  <c r="AL213" i="17"/>
  <c r="AH213" i="17"/>
  <c r="AS213" i="17"/>
  <c r="AO213" i="17"/>
  <c r="AK213" i="17"/>
  <c r="AR213" i="17"/>
  <c r="AN213" i="17"/>
  <c r="AJ213" i="17"/>
  <c r="AQ213" i="17"/>
  <c r="AM213" i="17"/>
  <c r="AI213" i="17"/>
  <c r="C215" i="17"/>
  <c r="G215" i="17" s="1"/>
  <c r="AW214" i="17"/>
  <c r="B214" i="17"/>
  <c r="P213" i="17" l="1"/>
  <c r="O214" i="17"/>
  <c r="BJ214" i="17" s="1"/>
  <c r="H214" i="17"/>
  <c r="F215" i="17"/>
  <c r="R213" i="17"/>
  <c r="AS214" i="17"/>
  <c r="AO214" i="17"/>
  <c r="AK214" i="17"/>
  <c r="AR214" i="17"/>
  <c r="AN214" i="17"/>
  <c r="AJ214" i="17"/>
  <c r="AQ214" i="17"/>
  <c r="AM214" i="17"/>
  <c r="AI214" i="17"/>
  <c r="AP214" i="17"/>
  <c r="AL214" i="17"/>
  <c r="AH214" i="17"/>
  <c r="B215" i="17"/>
  <c r="AW215" i="17"/>
  <c r="C216" i="17"/>
  <c r="G216" i="17" s="1"/>
  <c r="P214" i="17" l="1"/>
  <c r="O215" i="17"/>
  <c r="P215" i="17" s="1"/>
  <c r="H215" i="17"/>
  <c r="F216" i="17"/>
  <c r="R214" i="17"/>
  <c r="B216" i="17"/>
  <c r="C217" i="17"/>
  <c r="G217" i="17" s="1"/>
  <c r="AW216" i="17"/>
  <c r="AR215" i="17"/>
  <c r="AN215" i="17"/>
  <c r="AJ215" i="17"/>
  <c r="AQ215" i="17"/>
  <c r="AM215" i="17"/>
  <c r="AI215" i="17"/>
  <c r="AP215" i="17"/>
  <c r="AL215" i="17"/>
  <c r="AH215" i="17"/>
  <c r="AS215" i="17"/>
  <c r="AO215" i="17"/>
  <c r="AK215" i="17"/>
  <c r="BJ215" i="17" l="1"/>
  <c r="O216" i="17"/>
  <c r="BJ216" i="17" s="1"/>
  <c r="H216" i="17"/>
  <c r="F217" i="17"/>
  <c r="R215" i="17"/>
  <c r="C218" i="17"/>
  <c r="G218" i="17" s="1"/>
  <c r="AW217" i="17"/>
  <c r="B217" i="17"/>
  <c r="AQ216" i="17"/>
  <c r="AM216" i="17"/>
  <c r="AI216" i="17"/>
  <c r="AP216" i="17"/>
  <c r="AL216" i="17"/>
  <c r="AH216" i="17"/>
  <c r="AS216" i="17"/>
  <c r="AO216" i="17"/>
  <c r="AK216" i="17"/>
  <c r="AR216" i="17"/>
  <c r="AN216" i="17"/>
  <c r="AJ216" i="17"/>
  <c r="P216" i="17" l="1"/>
  <c r="O217" i="17"/>
  <c r="BJ217" i="17" s="1"/>
  <c r="H217" i="17"/>
  <c r="F218" i="17"/>
  <c r="R216" i="17"/>
  <c r="AP217" i="17"/>
  <c r="AL217" i="17"/>
  <c r="AH217" i="17"/>
  <c r="AS217" i="17"/>
  <c r="AO217" i="17"/>
  <c r="AK217" i="17"/>
  <c r="AR217" i="17"/>
  <c r="AN217" i="17"/>
  <c r="AJ217" i="17"/>
  <c r="AQ217" i="17"/>
  <c r="AM217" i="17"/>
  <c r="AI217" i="17"/>
  <c r="C219" i="17"/>
  <c r="G219" i="17" s="1"/>
  <c r="AW218" i="17"/>
  <c r="B218" i="17"/>
  <c r="P217" i="17" l="1"/>
  <c r="O218" i="17"/>
  <c r="BJ218" i="17" s="1"/>
  <c r="H218" i="17"/>
  <c r="F219" i="17"/>
  <c r="R217" i="17"/>
  <c r="AS218" i="17"/>
  <c r="AO218" i="17"/>
  <c r="AK218" i="17"/>
  <c r="AR218" i="17"/>
  <c r="AN218" i="17"/>
  <c r="AJ218" i="17"/>
  <c r="AQ218" i="17"/>
  <c r="AM218" i="17"/>
  <c r="AI218" i="17"/>
  <c r="AP218" i="17"/>
  <c r="AL218" i="17"/>
  <c r="AH218" i="17"/>
  <c r="B219" i="17"/>
  <c r="C220" i="17"/>
  <c r="G220" i="17" s="1"/>
  <c r="AW219" i="17"/>
  <c r="P218" i="17" l="1"/>
  <c r="O219" i="17"/>
  <c r="BJ219" i="17" s="1"/>
  <c r="H219" i="17"/>
  <c r="F220" i="17"/>
  <c r="R218" i="17"/>
  <c r="AR219" i="17"/>
  <c r="AN219" i="17"/>
  <c r="AJ219" i="17"/>
  <c r="AQ219" i="17"/>
  <c r="AM219" i="17"/>
  <c r="AI219" i="17"/>
  <c r="AP219" i="17"/>
  <c r="AL219" i="17"/>
  <c r="AH219" i="17"/>
  <c r="AS219" i="17"/>
  <c r="AO219" i="17"/>
  <c r="AK219" i="17"/>
  <c r="B220" i="17"/>
  <c r="C221" i="17"/>
  <c r="G221" i="17" s="1"/>
  <c r="AW220" i="17"/>
  <c r="P219" i="17" l="1"/>
  <c r="O220" i="17"/>
  <c r="BJ220" i="17" s="1"/>
  <c r="H220" i="17"/>
  <c r="F221" i="17"/>
  <c r="R219" i="17"/>
  <c r="C222" i="17"/>
  <c r="G222" i="17" s="1"/>
  <c r="AW221" i="17"/>
  <c r="B221" i="17"/>
  <c r="AQ220" i="17"/>
  <c r="AM220" i="17"/>
  <c r="AI220" i="17"/>
  <c r="AP220" i="17"/>
  <c r="AL220" i="17"/>
  <c r="AH220" i="17"/>
  <c r="AS220" i="17"/>
  <c r="AO220" i="17"/>
  <c r="AK220" i="17"/>
  <c r="AN220" i="17"/>
  <c r="AJ220" i="17"/>
  <c r="AR220" i="17"/>
  <c r="P220" i="17" l="1"/>
  <c r="O221" i="17"/>
  <c r="BJ221" i="17" s="1"/>
  <c r="H221" i="17"/>
  <c r="F222" i="17"/>
  <c r="R220" i="17"/>
  <c r="AP221" i="17"/>
  <c r="AL221" i="17"/>
  <c r="AH221" i="17"/>
  <c r="AS221" i="17"/>
  <c r="AO221" i="17"/>
  <c r="AK221" i="17"/>
  <c r="AR221" i="17"/>
  <c r="AN221" i="17"/>
  <c r="AJ221" i="17"/>
  <c r="AM221" i="17"/>
  <c r="AI221" i="17"/>
  <c r="AQ221" i="17"/>
  <c r="C223" i="17"/>
  <c r="G223" i="17" s="1"/>
  <c r="AW222" i="17"/>
  <c r="B222" i="17"/>
  <c r="P221" i="17" l="1"/>
  <c r="O222" i="17"/>
  <c r="BJ222" i="17" s="1"/>
  <c r="H222" i="17"/>
  <c r="F223" i="17"/>
  <c r="R221" i="17"/>
  <c r="AS222" i="17"/>
  <c r="AO222" i="17"/>
  <c r="AK222" i="17"/>
  <c r="AR222" i="17"/>
  <c r="AN222" i="17"/>
  <c r="AJ222" i="17"/>
  <c r="AQ222" i="17"/>
  <c r="AM222" i="17"/>
  <c r="AI222" i="17"/>
  <c r="AL222" i="17"/>
  <c r="AH222" i="17"/>
  <c r="AP222" i="17"/>
  <c r="B223" i="17"/>
  <c r="AW223" i="17"/>
  <c r="C224" i="17"/>
  <c r="G224" i="17" s="1"/>
  <c r="P222" i="17" l="1"/>
  <c r="O223" i="17"/>
  <c r="BJ223" i="17" s="1"/>
  <c r="H223" i="17"/>
  <c r="F224" i="17"/>
  <c r="R222" i="17"/>
  <c r="B224" i="17"/>
  <c r="C225" i="17"/>
  <c r="G225" i="17" s="1"/>
  <c r="AW224" i="17"/>
  <c r="AR223" i="17"/>
  <c r="AN223" i="17"/>
  <c r="AJ223" i="17"/>
  <c r="AQ223" i="17"/>
  <c r="AM223" i="17"/>
  <c r="AI223" i="17"/>
  <c r="AP223" i="17"/>
  <c r="AL223" i="17"/>
  <c r="AH223" i="17"/>
  <c r="AO223" i="17"/>
  <c r="AK223" i="17"/>
  <c r="AS223" i="17"/>
  <c r="P223" i="17" l="1"/>
  <c r="O224" i="17"/>
  <c r="P224" i="17" s="1"/>
  <c r="H224" i="17"/>
  <c r="BJ224" i="17"/>
  <c r="F225" i="17"/>
  <c r="R223" i="17"/>
  <c r="C226" i="17"/>
  <c r="G226" i="17" s="1"/>
  <c r="AW225" i="17"/>
  <c r="B225" i="17"/>
  <c r="AQ224" i="17"/>
  <c r="AM224" i="17"/>
  <c r="AI224" i="17"/>
  <c r="AP224" i="17"/>
  <c r="AL224" i="17"/>
  <c r="AH224" i="17"/>
  <c r="AS224" i="17"/>
  <c r="AO224" i="17"/>
  <c r="AK224" i="17"/>
  <c r="AJ224" i="17"/>
  <c r="AR224" i="17"/>
  <c r="AN224" i="17"/>
  <c r="O225" i="17" l="1"/>
  <c r="H225" i="17"/>
  <c r="P225" i="17"/>
  <c r="BJ225" i="17"/>
  <c r="F226" i="17"/>
  <c r="R224" i="17"/>
  <c r="AP225" i="17"/>
  <c r="AL225" i="17"/>
  <c r="AH225" i="17"/>
  <c r="AS225" i="17"/>
  <c r="AO225" i="17"/>
  <c r="AK225" i="17"/>
  <c r="AR225" i="17"/>
  <c r="AN225" i="17"/>
  <c r="AJ225" i="17"/>
  <c r="AI225" i="17"/>
  <c r="AQ225" i="17"/>
  <c r="AM225" i="17"/>
  <c r="C227" i="17"/>
  <c r="G227" i="17" s="1"/>
  <c r="AW226" i="17"/>
  <c r="B226" i="17"/>
  <c r="O226" i="17" l="1"/>
  <c r="P226" i="17" s="1"/>
  <c r="H226" i="17"/>
  <c r="BJ226" i="17"/>
  <c r="F227" i="17"/>
  <c r="R225" i="17"/>
  <c r="AS226" i="17"/>
  <c r="AO226" i="17"/>
  <c r="AK226" i="17"/>
  <c r="AR226" i="17"/>
  <c r="AN226" i="17"/>
  <c r="AJ226" i="17"/>
  <c r="AQ226" i="17"/>
  <c r="AM226" i="17"/>
  <c r="AI226" i="17"/>
  <c r="AH226" i="17"/>
  <c r="AP226" i="17"/>
  <c r="AL226" i="17"/>
  <c r="B227" i="17"/>
  <c r="AW227" i="17"/>
  <c r="C228" i="17"/>
  <c r="G228" i="17" s="1"/>
  <c r="O227" i="17" l="1"/>
  <c r="P227" i="17" s="1"/>
  <c r="H227" i="17"/>
  <c r="F228" i="17"/>
  <c r="R226" i="17"/>
  <c r="B228" i="17"/>
  <c r="C229" i="17"/>
  <c r="G229" i="17" s="1"/>
  <c r="AW228" i="17"/>
  <c r="AR227" i="17"/>
  <c r="AN227" i="17"/>
  <c r="AJ227" i="17"/>
  <c r="AQ227" i="17"/>
  <c r="AM227" i="17"/>
  <c r="AI227" i="17"/>
  <c r="AP227" i="17"/>
  <c r="AL227" i="17"/>
  <c r="AH227" i="17"/>
  <c r="AK227" i="17"/>
  <c r="AS227" i="17"/>
  <c r="AO227" i="17"/>
  <c r="BJ227" i="17" l="1"/>
  <c r="O228" i="17"/>
  <c r="BJ228" i="17" s="1"/>
  <c r="H228" i="17"/>
  <c r="F229" i="17"/>
  <c r="R227" i="17"/>
  <c r="C230" i="17"/>
  <c r="G230" i="17" s="1"/>
  <c r="AW229" i="17"/>
  <c r="B229" i="17"/>
  <c r="AQ228" i="17"/>
  <c r="AM228" i="17"/>
  <c r="AI228" i="17"/>
  <c r="AP228" i="17"/>
  <c r="AL228" i="17"/>
  <c r="AH228" i="17"/>
  <c r="AS228" i="17"/>
  <c r="AO228" i="17"/>
  <c r="AK228" i="17"/>
  <c r="AR228" i="17"/>
  <c r="AN228" i="17"/>
  <c r="AJ228" i="17"/>
  <c r="P228" i="17" l="1"/>
  <c r="O229" i="17"/>
  <c r="BJ229" i="17" s="1"/>
  <c r="H229" i="17"/>
  <c r="F230" i="17"/>
  <c r="R228" i="17"/>
  <c r="AP229" i="17"/>
  <c r="AL229" i="17"/>
  <c r="AH229" i="17"/>
  <c r="AS229" i="17"/>
  <c r="AO229" i="17"/>
  <c r="AK229" i="17"/>
  <c r="AR229" i="17"/>
  <c r="AN229" i="17"/>
  <c r="AJ229" i="17"/>
  <c r="AQ229" i="17"/>
  <c r="AM229" i="17"/>
  <c r="AI229" i="17"/>
  <c r="C231" i="17"/>
  <c r="G231" i="17" s="1"/>
  <c r="AW230" i="17"/>
  <c r="B230" i="17"/>
  <c r="P229" i="17" l="1"/>
  <c r="O230" i="17"/>
  <c r="BJ230" i="17" s="1"/>
  <c r="H230" i="17"/>
  <c r="F231" i="17"/>
  <c r="R229" i="17"/>
  <c r="AS230" i="17"/>
  <c r="AO230" i="17"/>
  <c r="AK230" i="17"/>
  <c r="AR230" i="17"/>
  <c r="AN230" i="17"/>
  <c r="AJ230" i="17"/>
  <c r="AQ230" i="17"/>
  <c r="AM230" i="17"/>
  <c r="AI230" i="17"/>
  <c r="AP230" i="17"/>
  <c r="AL230" i="17"/>
  <c r="AH230" i="17"/>
  <c r="B231" i="17"/>
  <c r="AW231" i="17"/>
  <c r="C232" i="17"/>
  <c r="G232" i="17" s="1"/>
  <c r="P230" i="17" l="1"/>
  <c r="O231" i="17"/>
  <c r="BJ231" i="17" s="1"/>
  <c r="H231" i="17"/>
  <c r="F232" i="17"/>
  <c r="R230" i="17"/>
  <c r="AR231" i="17"/>
  <c r="AN231" i="17"/>
  <c r="AJ231" i="17"/>
  <c r="AQ231" i="17"/>
  <c r="AM231" i="17"/>
  <c r="AI231" i="17"/>
  <c r="AP231" i="17"/>
  <c r="AL231" i="17"/>
  <c r="AH231" i="17"/>
  <c r="AS231" i="17"/>
  <c r="AO231" i="17"/>
  <c r="AK231" i="17"/>
  <c r="B232" i="17"/>
  <c r="C233" i="17"/>
  <c r="G233" i="17" s="1"/>
  <c r="AW232" i="17"/>
  <c r="P231" i="17" l="1"/>
  <c r="R231" i="17" s="1"/>
  <c r="O232" i="17"/>
  <c r="BJ232" i="17" s="1"/>
  <c r="H232" i="17"/>
  <c r="P232" i="17"/>
  <c r="F233" i="17"/>
  <c r="AQ232" i="17"/>
  <c r="AM232" i="17"/>
  <c r="AI232" i="17"/>
  <c r="AP232" i="17"/>
  <c r="AL232" i="17"/>
  <c r="AH232" i="17"/>
  <c r="AS232" i="17"/>
  <c r="AO232" i="17"/>
  <c r="AK232" i="17"/>
  <c r="AR232" i="17"/>
  <c r="AN232" i="17"/>
  <c r="AJ232" i="17"/>
  <c r="C234" i="17"/>
  <c r="G234" i="17" s="1"/>
  <c r="AW233" i="17"/>
  <c r="B233" i="17"/>
  <c r="O233" i="17" l="1"/>
  <c r="P233" i="17" s="1"/>
  <c r="H233" i="17"/>
  <c r="F234" i="17"/>
  <c r="R232" i="17"/>
  <c r="AP233" i="17"/>
  <c r="AL233" i="17"/>
  <c r="AH233" i="17"/>
  <c r="AS233" i="17"/>
  <c r="AO233" i="17"/>
  <c r="AK233" i="17"/>
  <c r="AR233" i="17"/>
  <c r="AN233" i="17"/>
  <c r="AJ233" i="17"/>
  <c r="AQ233" i="17"/>
  <c r="AM233" i="17"/>
  <c r="AI233" i="17"/>
  <c r="C235" i="17"/>
  <c r="G235" i="17" s="1"/>
  <c r="AW234" i="17"/>
  <c r="B234" i="17"/>
  <c r="BJ233" i="17" l="1"/>
  <c r="O234" i="17"/>
  <c r="BJ234" i="17" s="1"/>
  <c r="H234" i="17"/>
  <c r="P234" i="17"/>
  <c r="F235" i="17"/>
  <c r="R233" i="17"/>
  <c r="AS234" i="17"/>
  <c r="AO234" i="17"/>
  <c r="AK234" i="17"/>
  <c r="AR234" i="17"/>
  <c r="AN234" i="17"/>
  <c r="AJ234" i="17"/>
  <c r="AQ234" i="17"/>
  <c r="AM234" i="17"/>
  <c r="AI234" i="17"/>
  <c r="AP234" i="17"/>
  <c r="AL234" i="17"/>
  <c r="AH234" i="17"/>
  <c r="B235" i="17"/>
  <c r="C236" i="17"/>
  <c r="G236" i="17" s="1"/>
  <c r="AW235" i="17"/>
  <c r="O235" i="17" l="1"/>
  <c r="P235" i="17" s="1"/>
  <c r="H235" i="17"/>
  <c r="F236" i="17"/>
  <c r="R234" i="17"/>
  <c r="B236" i="17"/>
  <c r="C237" i="17"/>
  <c r="G237" i="17" s="1"/>
  <c r="AW236" i="17"/>
  <c r="AR235" i="17"/>
  <c r="AN235" i="17"/>
  <c r="AJ235" i="17"/>
  <c r="AQ235" i="17"/>
  <c r="AM235" i="17"/>
  <c r="AI235" i="17"/>
  <c r="AP235" i="17"/>
  <c r="AL235" i="17"/>
  <c r="AH235" i="17"/>
  <c r="AS235" i="17"/>
  <c r="AO235" i="17"/>
  <c r="AK235" i="17"/>
  <c r="BJ235" i="17" l="1"/>
  <c r="O236" i="17"/>
  <c r="BJ236" i="17" s="1"/>
  <c r="H236" i="17"/>
  <c r="P236" i="17"/>
  <c r="F237" i="17"/>
  <c r="R235" i="17"/>
  <c r="C238" i="17"/>
  <c r="G238" i="17" s="1"/>
  <c r="AW237" i="17"/>
  <c r="B237" i="17"/>
  <c r="AQ236" i="17"/>
  <c r="AM236" i="17"/>
  <c r="AI236" i="17"/>
  <c r="AP236" i="17"/>
  <c r="AL236" i="17"/>
  <c r="AH236" i="17"/>
  <c r="AS236" i="17"/>
  <c r="AO236" i="17"/>
  <c r="AK236" i="17"/>
  <c r="AN236" i="17"/>
  <c r="AJ236" i="17"/>
  <c r="AR236" i="17"/>
  <c r="O237" i="17" l="1"/>
  <c r="P237" i="17" s="1"/>
  <c r="H237" i="17"/>
  <c r="F238" i="17"/>
  <c r="R236" i="17"/>
  <c r="AP237" i="17"/>
  <c r="AL237" i="17"/>
  <c r="AH237" i="17"/>
  <c r="AS237" i="17"/>
  <c r="AO237" i="17"/>
  <c r="AK237" i="17"/>
  <c r="AR237" i="17"/>
  <c r="AN237" i="17"/>
  <c r="AJ237" i="17"/>
  <c r="AM237" i="17"/>
  <c r="AI237" i="17"/>
  <c r="AQ237" i="17"/>
  <c r="C239" i="17"/>
  <c r="G239" i="17" s="1"/>
  <c r="AW238" i="17"/>
  <c r="B238" i="17"/>
  <c r="BJ237" i="17" l="1"/>
  <c r="O238" i="17"/>
  <c r="H238" i="17"/>
  <c r="P238" i="17"/>
  <c r="BJ238" i="17"/>
  <c r="F239" i="17"/>
  <c r="R237" i="17"/>
  <c r="AS238" i="17"/>
  <c r="AO238" i="17"/>
  <c r="AK238" i="17"/>
  <c r="AR238" i="17"/>
  <c r="AN238" i="17"/>
  <c r="AJ238" i="17"/>
  <c r="AQ238" i="17"/>
  <c r="AM238" i="17"/>
  <c r="AI238" i="17"/>
  <c r="AL238" i="17"/>
  <c r="AH238" i="17"/>
  <c r="AP238" i="17"/>
  <c r="B239" i="17"/>
  <c r="AW239" i="17"/>
  <c r="C240" i="17"/>
  <c r="G240" i="17" s="1"/>
  <c r="O239" i="17" l="1"/>
  <c r="P239" i="17" s="1"/>
  <c r="H239" i="17"/>
  <c r="BJ239" i="17"/>
  <c r="F240" i="17"/>
  <c r="R238" i="17"/>
  <c r="AR239" i="17"/>
  <c r="AN239" i="17"/>
  <c r="AJ239" i="17"/>
  <c r="AQ239" i="17"/>
  <c r="AM239" i="17"/>
  <c r="AI239" i="17"/>
  <c r="AP239" i="17"/>
  <c r="AL239" i="17"/>
  <c r="AH239" i="17"/>
  <c r="AO239" i="17"/>
  <c r="AK239" i="17"/>
  <c r="AS239" i="17"/>
  <c r="B240" i="17"/>
  <c r="C241" i="17"/>
  <c r="G241" i="17" s="1"/>
  <c r="AW240" i="17"/>
  <c r="O240" i="17" l="1"/>
  <c r="P240" i="17" s="1"/>
  <c r="H240" i="17"/>
  <c r="F241" i="17"/>
  <c r="R239" i="17"/>
  <c r="AQ240" i="17"/>
  <c r="AM240" i="17"/>
  <c r="AI240" i="17"/>
  <c r="AP240" i="17"/>
  <c r="AL240" i="17"/>
  <c r="AH240" i="17"/>
  <c r="AS240" i="17"/>
  <c r="AO240" i="17"/>
  <c r="AK240" i="17"/>
  <c r="AJ240" i="17"/>
  <c r="AR240" i="17"/>
  <c r="AN240" i="17"/>
  <c r="C242" i="17"/>
  <c r="G242" i="17" s="1"/>
  <c r="AW241" i="17"/>
  <c r="B241" i="17"/>
  <c r="BJ240" i="17" l="1"/>
  <c r="O241" i="17"/>
  <c r="P241" i="17" s="1"/>
  <c r="H241" i="17"/>
  <c r="BJ241" i="17"/>
  <c r="F242" i="17"/>
  <c r="R240" i="17"/>
  <c r="AP241" i="17"/>
  <c r="AL241" i="17"/>
  <c r="AH241" i="17"/>
  <c r="AS241" i="17"/>
  <c r="AO241" i="17"/>
  <c r="AK241" i="17"/>
  <c r="AR241" i="17"/>
  <c r="AN241" i="17"/>
  <c r="AJ241" i="17"/>
  <c r="AI241" i="17"/>
  <c r="AQ241" i="17"/>
  <c r="AM241" i="17"/>
  <c r="C243" i="17"/>
  <c r="G243" i="17" s="1"/>
  <c r="AW242" i="17"/>
  <c r="B242" i="17"/>
  <c r="O242" i="17" l="1"/>
  <c r="P242" i="17" s="1"/>
  <c r="H242" i="17"/>
  <c r="BJ242" i="17"/>
  <c r="F243" i="17"/>
  <c r="R241" i="17"/>
  <c r="AS242" i="17"/>
  <c r="AO242" i="17"/>
  <c r="AK242" i="17"/>
  <c r="AR242" i="17"/>
  <c r="AN242" i="17"/>
  <c r="AJ242" i="17"/>
  <c r="AQ242" i="17"/>
  <c r="AM242" i="17"/>
  <c r="AI242" i="17"/>
  <c r="AH242" i="17"/>
  <c r="AP242" i="17"/>
  <c r="AL242" i="17"/>
  <c r="B243" i="17"/>
  <c r="AW243" i="17"/>
  <c r="C244" i="17"/>
  <c r="G244" i="17" s="1"/>
  <c r="O243" i="17" l="1"/>
  <c r="P243" i="17" s="1"/>
  <c r="H243" i="17"/>
  <c r="F244" i="17"/>
  <c r="R242" i="17"/>
  <c r="B244" i="17"/>
  <c r="C245" i="17"/>
  <c r="G245" i="17" s="1"/>
  <c r="AW244" i="17"/>
  <c r="AR243" i="17"/>
  <c r="AN243" i="17"/>
  <c r="AJ243" i="17"/>
  <c r="AQ243" i="17"/>
  <c r="AM243" i="17"/>
  <c r="AI243" i="17"/>
  <c r="AP243" i="17"/>
  <c r="AL243" i="17"/>
  <c r="AH243" i="17"/>
  <c r="AK243" i="17"/>
  <c r="AS243" i="17"/>
  <c r="AO243" i="17"/>
  <c r="BJ243" i="17" l="1"/>
  <c r="O244" i="17"/>
  <c r="BJ244" i="17" s="1"/>
  <c r="H244" i="17"/>
  <c r="P244" i="17"/>
  <c r="F245" i="17"/>
  <c r="R243" i="17"/>
  <c r="C246" i="17"/>
  <c r="G246" i="17" s="1"/>
  <c r="AW245" i="17"/>
  <c r="B245" i="17"/>
  <c r="AQ244" i="17"/>
  <c r="AM244" i="17"/>
  <c r="AI244" i="17"/>
  <c r="AP244" i="17"/>
  <c r="AL244" i="17"/>
  <c r="AH244" i="17"/>
  <c r="AS244" i="17"/>
  <c r="AO244" i="17"/>
  <c r="AK244" i="17"/>
  <c r="AJ244" i="17"/>
  <c r="AR244" i="17"/>
  <c r="AN244" i="17"/>
  <c r="O245" i="17" l="1"/>
  <c r="P245" i="17" s="1"/>
  <c r="H245" i="17"/>
  <c r="F246" i="17"/>
  <c r="R244" i="17"/>
  <c r="AP245" i="17"/>
  <c r="AL245" i="17"/>
  <c r="AH245" i="17"/>
  <c r="AS245" i="17"/>
  <c r="AO245" i="17"/>
  <c r="AK245" i="17"/>
  <c r="AR245" i="17"/>
  <c r="AN245" i="17"/>
  <c r="AJ245" i="17"/>
  <c r="AI245" i="17"/>
  <c r="AM245" i="17"/>
  <c r="AQ245" i="17"/>
  <c r="C247" i="17"/>
  <c r="G247" i="17" s="1"/>
  <c r="AW246" i="17"/>
  <c r="B246" i="17"/>
  <c r="BJ245" i="17" l="1"/>
  <c r="O246" i="17"/>
  <c r="BJ246" i="17" s="1"/>
  <c r="H246" i="17"/>
  <c r="P246" i="17"/>
  <c r="F247" i="17"/>
  <c r="R245" i="17"/>
  <c r="AS246" i="17"/>
  <c r="AO246" i="17"/>
  <c r="AK246" i="17"/>
  <c r="AR246" i="17"/>
  <c r="AN246" i="17"/>
  <c r="AJ246" i="17"/>
  <c r="AQ246" i="17"/>
  <c r="AM246" i="17"/>
  <c r="AI246" i="17"/>
  <c r="AP246" i="17"/>
  <c r="AH246" i="17"/>
  <c r="AL246" i="17"/>
  <c r="B247" i="17"/>
  <c r="C248" i="17"/>
  <c r="G248" i="17" s="1"/>
  <c r="AW247" i="17"/>
  <c r="O247" i="17" l="1"/>
  <c r="P247" i="17" s="1"/>
  <c r="H247" i="17"/>
  <c r="BJ247" i="17"/>
  <c r="F248" i="17"/>
  <c r="R246" i="17"/>
  <c r="AR247" i="17"/>
  <c r="AN247" i="17"/>
  <c r="AJ247" i="17"/>
  <c r="AQ247" i="17"/>
  <c r="AM247" i="17"/>
  <c r="AI247" i="17"/>
  <c r="AP247" i="17"/>
  <c r="AL247" i="17"/>
  <c r="AH247" i="17"/>
  <c r="AS247" i="17"/>
  <c r="AK247" i="17"/>
  <c r="AO247" i="17"/>
  <c r="B248" i="17"/>
  <c r="C249" i="17"/>
  <c r="G249" i="17" s="1"/>
  <c r="AW248" i="17"/>
  <c r="O248" i="17" l="1"/>
  <c r="P248" i="17" s="1"/>
  <c r="H248" i="17"/>
  <c r="F249" i="17"/>
  <c r="R247" i="17"/>
  <c r="AQ248" i="17"/>
  <c r="AM248" i="17"/>
  <c r="AI248" i="17"/>
  <c r="AP248" i="17"/>
  <c r="AL248" i="17"/>
  <c r="AH248" i="17"/>
  <c r="AS248" i="17"/>
  <c r="AO248" i="17"/>
  <c r="AK248" i="17"/>
  <c r="AN248" i="17"/>
  <c r="AR248" i="17"/>
  <c r="AJ248" i="17"/>
  <c r="C250" i="17"/>
  <c r="G250" i="17" s="1"/>
  <c r="AW249" i="17"/>
  <c r="B249" i="17"/>
  <c r="BJ248" i="17" l="1"/>
  <c r="O249" i="17"/>
  <c r="P249" i="17" s="1"/>
  <c r="H249" i="17"/>
  <c r="BJ249" i="17"/>
  <c r="F250" i="17"/>
  <c r="R248" i="17"/>
  <c r="AP249" i="17"/>
  <c r="AL249" i="17"/>
  <c r="AH249" i="17"/>
  <c r="AS249" i="17"/>
  <c r="AO249" i="17"/>
  <c r="AK249" i="17"/>
  <c r="AR249" i="17"/>
  <c r="AN249" i="17"/>
  <c r="AJ249" i="17"/>
  <c r="AM249" i="17"/>
  <c r="AQ249" i="17"/>
  <c r="AI249" i="17"/>
  <c r="C251" i="17"/>
  <c r="G251" i="17" s="1"/>
  <c r="AW250" i="17"/>
  <c r="B250" i="17"/>
  <c r="O250" i="17" l="1"/>
  <c r="H250" i="17"/>
  <c r="P250" i="17"/>
  <c r="BJ250" i="17"/>
  <c r="F251" i="17"/>
  <c r="R249" i="17"/>
  <c r="AS250" i="17"/>
  <c r="AO250" i="17"/>
  <c r="AK250" i="17"/>
  <c r="AR250" i="17"/>
  <c r="AN250" i="17"/>
  <c r="AJ250" i="17"/>
  <c r="AQ250" i="17"/>
  <c r="AM250" i="17"/>
  <c r="AI250" i="17"/>
  <c r="AL250" i="17"/>
  <c r="AP250" i="17"/>
  <c r="AH250" i="17"/>
  <c r="B251" i="17"/>
  <c r="AW251" i="17"/>
  <c r="C252" i="17"/>
  <c r="G252" i="17" s="1"/>
  <c r="O251" i="17" l="1"/>
  <c r="H251" i="17"/>
  <c r="P251" i="17"/>
  <c r="BJ251" i="17"/>
  <c r="F252" i="17"/>
  <c r="R250" i="17"/>
  <c r="AR251" i="17"/>
  <c r="AN251" i="17"/>
  <c r="AJ251" i="17"/>
  <c r="AQ251" i="17"/>
  <c r="AM251" i="17"/>
  <c r="AI251" i="17"/>
  <c r="AP251" i="17"/>
  <c r="AL251" i="17"/>
  <c r="AH251" i="17"/>
  <c r="AO251" i="17"/>
  <c r="AS251" i="17"/>
  <c r="AK251" i="17"/>
  <c r="B252" i="17"/>
  <c r="C253" i="17"/>
  <c r="G253" i="17" s="1"/>
  <c r="AW252" i="17"/>
  <c r="O252" i="17" l="1"/>
  <c r="P252" i="17" s="1"/>
  <c r="H252" i="17"/>
  <c r="F253" i="17"/>
  <c r="R251" i="17"/>
  <c r="C254" i="17"/>
  <c r="G254" i="17" s="1"/>
  <c r="AW253" i="17"/>
  <c r="B253" i="17"/>
  <c r="AQ252" i="17"/>
  <c r="AM252" i="17"/>
  <c r="AI252" i="17"/>
  <c r="AP252" i="17"/>
  <c r="AL252" i="17"/>
  <c r="AH252" i="17"/>
  <c r="AS252" i="17"/>
  <c r="AO252" i="17"/>
  <c r="AK252" i="17"/>
  <c r="AJ252" i="17"/>
  <c r="AR252" i="17"/>
  <c r="AN252" i="17"/>
  <c r="BJ252" i="17" l="1"/>
  <c r="O253" i="17"/>
  <c r="BJ253" i="17" s="1"/>
  <c r="H253" i="17"/>
  <c r="P253" i="17"/>
  <c r="F254" i="17"/>
  <c r="R252" i="17"/>
  <c r="AP253" i="17"/>
  <c r="AL253" i="17"/>
  <c r="AH253" i="17"/>
  <c r="AS253" i="17"/>
  <c r="AO253" i="17"/>
  <c r="AK253" i="17"/>
  <c r="AR253" i="17"/>
  <c r="AN253" i="17"/>
  <c r="AJ253" i="17"/>
  <c r="AI253" i="17"/>
  <c r="AQ253" i="17"/>
  <c r="AM253" i="17"/>
  <c r="C255" i="17"/>
  <c r="G255" i="17" s="1"/>
  <c r="AW254" i="17"/>
  <c r="B254" i="17"/>
  <c r="O254" i="17" l="1"/>
  <c r="P254" i="17" s="1"/>
  <c r="H254" i="17"/>
  <c r="F255" i="17"/>
  <c r="R253" i="17"/>
  <c r="B255" i="17"/>
  <c r="C256" i="17"/>
  <c r="G256" i="17" s="1"/>
  <c r="AW255" i="17"/>
  <c r="AS254" i="17"/>
  <c r="AO254" i="17"/>
  <c r="AK254" i="17"/>
  <c r="AR254" i="17"/>
  <c r="AN254" i="17"/>
  <c r="AJ254" i="17"/>
  <c r="AQ254" i="17"/>
  <c r="AM254" i="17"/>
  <c r="AI254" i="17"/>
  <c r="AH254" i="17"/>
  <c r="AP254" i="17"/>
  <c r="AL254" i="17"/>
  <c r="BJ254" i="17" l="1"/>
  <c r="O255" i="17"/>
  <c r="P255" i="17" s="1"/>
  <c r="H255" i="17"/>
  <c r="F256" i="17"/>
  <c r="R254" i="17"/>
  <c r="AR255" i="17"/>
  <c r="AN255" i="17"/>
  <c r="AJ255" i="17"/>
  <c r="AQ255" i="17"/>
  <c r="AM255" i="17"/>
  <c r="AI255" i="17"/>
  <c r="AP255" i="17"/>
  <c r="AL255" i="17"/>
  <c r="AH255" i="17"/>
  <c r="AK255" i="17"/>
  <c r="AS255" i="17"/>
  <c r="AO255" i="17"/>
  <c r="B256" i="17"/>
  <c r="C257" i="17"/>
  <c r="G257" i="17" s="1"/>
  <c r="AW256" i="17"/>
  <c r="BJ255" i="17" l="1"/>
  <c r="O256" i="17"/>
  <c r="BJ256" i="17" s="1"/>
  <c r="H256" i="17"/>
  <c r="P256" i="17"/>
  <c r="F257" i="17"/>
  <c r="R255" i="17"/>
  <c r="C258" i="17"/>
  <c r="G258" i="17" s="1"/>
  <c r="AW257" i="17"/>
  <c r="B257" i="17"/>
  <c r="AQ256" i="17"/>
  <c r="AM256" i="17"/>
  <c r="AI256" i="17"/>
  <c r="AP256" i="17"/>
  <c r="AL256" i="17"/>
  <c r="AH256" i="17"/>
  <c r="AS256" i="17"/>
  <c r="AO256" i="17"/>
  <c r="AK256" i="17"/>
  <c r="AN256" i="17"/>
  <c r="AR256" i="17"/>
  <c r="AJ256" i="17"/>
  <c r="O257" i="17" l="1"/>
  <c r="P257" i="17" s="1"/>
  <c r="H257" i="17"/>
  <c r="F258" i="17"/>
  <c r="R256" i="17"/>
  <c r="AP257" i="17"/>
  <c r="AL257" i="17"/>
  <c r="AH257" i="17"/>
  <c r="AS257" i="17"/>
  <c r="AO257" i="17"/>
  <c r="AK257" i="17"/>
  <c r="AR257" i="17"/>
  <c r="AN257" i="17"/>
  <c r="AJ257" i="17"/>
  <c r="AM257" i="17"/>
  <c r="AQ257" i="17"/>
  <c r="AI257" i="17"/>
  <c r="C259" i="17"/>
  <c r="G259" i="17" s="1"/>
  <c r="AW258" i="17"/>
  <c r="B258" i="17"/>
  <c r="BJ257" i="17" l="1"/>
  <c r="O258" i="17"/>
  <c r="BJ258" i="17" s="1"/>
  <c r="H258" i="17"/>
  <c r="P258" i="17"/>
  <c r="F259" i="17"/>
  <c r="R257" i="17"/>
  <c r="AS258" i="17"/>
  <c r="AO258" i="17"/>
  <c r="AK258" i="17"/>
  <c r="AR258" i="17"/>
  <c r="AN258" i="17"/>
  <c r="AJ258" i="17"/>
  <c r="AQ258" i="17"/>
  <c r="AM258" i="17"/>
  <c r="AI258" i="17"/>
  <c r="AL258" i="17"/>
  <c r="AP258" i="17"/>
  <c r="AH258" i="17"/>
  <c r="B259" i="17"/>
  <c r="AW259" i="17"/>
  <c r="C260" i="17"/>
  <c r="G260" i="17" s="1"/>
  <c r="O259" i="17" l="1"/>
  <c r="P259" i="17" s="1"/>
  <c r="H259" i="17"/>
  <c r="F260" i="17"/>
  <c r="R258" i="17"/>
  <c r="B260" i="17"/>
  <c r="C261" i="17"/>
  <c r="G261" i="17" s="1"/>
  <c r="AW260" i="17"/>
  <c r="AR259" i="17"/>
  <c r="AN259" i="17"/>
  <c r="AJ259" i="17"/>
  <c r="AQ259" i="17"/>
  <c r="AM259" i="17"/>
  <c r="AI259" i="17"/>
  <c r="AP259" i="17"/>
  <c r="AL259" i="17"/>
  <c r="AH259" i="17"/>
  <c r="AO259" i="17"/>
  <c r="AS259" i="17"/>
  <c r="AK259" i="17"/>
  <c r="BJ259" i="17" l="1"/>
  <c r="O260" i="17"/>
  <c r="P260" i="17" s="1"/>
  <c r="H260" i="17"/>
  <c r="F261" i="17"/>
  <c r="R259" i="17"/>
  <c r="C262" i="17"/>
  <c r="G262" i="17" s="1"/>
  <c r="AW261" i="17"/>
  <c r="B261" i="17"/>
  <c r="AQ260" i="17"/>
  <c r="AM260" i="17"/>
  <c r="AI260" i="17"/>
  <c r="AP260" i="17"/>
  <c r="AL260" i="17"/>
  <c r="AH260" i="17"/>
  <c r="AS260" i="17"/>
  <c r="AO260" i="17"/>
  <c r="AK260" i="17"/>
  <c r="AR260" i="17"/>
  <c r="AJ260" i="17"/>
  <c r="AN260" i="17"/>
  <c r="BJ260" i="17" l="1"/>
  <c r="O261" i="17"/>
  <c r="BJ261" i="17" s="1"/>
  <c r="H261" i="17"/>
  <c r="F262" i="17"/>
  <c r="R260" i="17"/>
  <c r="AP261" i="17"/>
  <c r="AL261" i="17"/>
  <c r="AH261" i="17"/>
  <c r="AS261" i="17"/>
  <c r="AO261" i="17"/>
  <c r="AK261" i="17"/>
  <c r="AR261" i="17"/>
  <c r="AN261" i="17"/>
  <c r="AJ261" i="17"/>
  <c r="AQ261" i="17"/>
  <c r="AI261" i="17"/>
  <c r="AM261" i="17"/>
  <c r="C263" i="17"/>
  <c r="G263" i="17" s="1"/>
  <c r="AW262" i="17"/>
  <c r="B262" i="17"/>
  <c r="P261" i="17" l="1"/>
  <c r="O262" i="17"/>
  <c r="BJ262" i="17" s="1"/>
  <c r="H262" i="17"/>
  <c r="F263" i="17"/>
  <c r="R261" i="17"/>
  <c r="B263" i="17"/>
  <c r="C264" i="17"/>
  <c r="G264" i="17" s="1"/>
  <c r="AW263" i="17"/>
  <c r="AS262" i="17"/>
  <c r="AO262" i="17"/>
  <c r="AK262" i="17"/>
  <c r="AR262" i="17"/>
  <c r="AN262" i="17"/>
  <c r="AJ262" i="17"/>
  <c r="AQ262" i="17"/>
  <c r="AM262" i="17"/>
  <c r="AI262" i="17"/>
  <c r="AP262" i="17"/>
  <c r="AH262" i="17"/>
  <c r="AL262" i="17"/>
  <c r="P262" i="17" l="1"/>
  <c r="O263" i="17"/>
  <c r="BJ263" i="17" s="1"/>
  <c r="H263" i="17"/>
  <c r="F264" i="17"/>
  <c r="R262" i="17"/>
  <c r="AR263" i="17"/>
  <c r="AN263" i="17"/>
  <c r="AJ263" i="17"/>
  <c r="AQ263" i="17"/>
  <c r="AM263" i="17"/>
  <c r="AI263" i="17"/>
  <c r="AP263" i="17"/>
  <c r="AL263" i="17"/>
  <c r="AH263" i="17"/>
  <c r="AS263" i="17"/>
  <c r="AK263" i="17"/>
  <c r="AO263" i="17"/>
  <c r="B264" i="17"/>
  <c r="C265" i="17"/>
  <c r="G265" i="17" s="1"/>
  <c r="AW264" i="17"/>
  <c r="P263" i="17" l="1"/>
  <c r="O264" i="17"/>
  <c r="BJ264" i="17" s="1"/>
  <c r="H264" i="17"/>
  <c r="P264" i="17"/>
  <c r="F265" i="17"/>
  <c r="R263" i="17"/>
  <c r="C266" i="17"/>
  <c r="G266" i="17" s="1"/>
  <c r="AW265" i="17"/>
  <c r="B265" i="17"/>
  <c r="AQ264" i="17"/>
  <c r="AM264" i="17"/>
  <c r="AI264" i="17"/>
  <c r="AP264" i="17"/>
  <c r="AL264" i="17"/>
  <c r="AH264" i="17"/>
  <c r="AS264" i="17"/>
  <c r="AO264" i="17"/>
  <c r="AK264" i="17"/>
  <c r="AN264" i="17"/>
  <c r="AJ264" i="17"/>
  <c r="AR264" i="17"/>
  <c r="O265" i="17" l="1"/>
  <c r="P265" i="17" s="1"/>
  <c r="H265" i="17"/>
  <c r="F266" i="17"/>
  <c r="R264" i="17"/>
  <c r="AP265" i="17"/>
  <c r="AL265" i="17"/>
  <c r="AH265" i="17"/>
  <c r="AS265" i="17"/>
  <c r="AO265" i="17"/>
  <c r="AK265" i="17"/>
  <c r="AR265" i="17"/>
  <c r="AN265" i="17"/>
  <c r="AJ265" i="17"/>
  <c r="AM265" i="17"/>
  <c r="AI265" i="17"/>
  <c r="AQ265" i="17"/>
  <c r="C267" i="17"/>
  <c r="G267" i="17" s="1"/>
  <c r="AW266" i="17"/>
  <c r="B266" i="17"/>
  <c r="BJ265" i="17" l="1"/>
  <c r="O266" i="17"/>
  <c r="P266" i="17" s="1"/>
  <c r="H266" i="17"/>
  <c r="AG266" i="17"/>
  <c r="F267" i="17"/>
  <c r="R265" i="17"/>
  <c r="AS266" i="17"/>
  <c r="AO266" i="17"/>
  <c r="AK266" i="17"/>
  <c r="AR266" i="17"/>
  <c r="AN266" i="17"/>
  <c r="AJ266" i="17"/>
  <c r="AQ266" i="17"/>
  <c r="AM266" i="17"/>
  <c r="AI266" i="17"/>
  <c r="AL266" i="17"/>
  <c r="AH266" i="17"/>
  <c r="AP266" i="17"/>
  <c r="B267" i="17"/>
  <c r="AW267" i="17"/>
  <c r="C268" i="17"/>
  <c r="G268" i="17" s="1"/>
  <c r="BJ266" i="17" l="1"/>
  <c r="O267" i="17"/>
  <c r="P267" i="17" s="1"/>
  <c r="H267" i="17"/>
  <c r="BJ267" i="17"/>
  <c r="F268" i="17"/>
  <c r="R266" i="17"/>
  <c r="B268" i="17"/>
  <c r="C269" i="17"/>
  <c r="G269" i="17" s="1"/>
  <c r="AW268" i="17"/>
  <c r="AR267" i="17"/>
  <c r="AN267" i="17"/>
  <c r="AJ267" i="17"/>
  <c r="AQ267" i="17"/>
  <c r="AM267" i="17"/>
  <c r="AI267" i="17"/>
  <c r="AP267" i="17"/>
  <c r="AL267" i="17"/>
  <c r="AH267" i="17"/>
  <c r="AO267" i="17"/>
  <c r="AS267" i="17"/>
  <c r="AK267" i="17"/>
  <c r="O268" i="17" l="1"/>
  <c r="P268" i="17" s="1"/>
  <c r="H268" i="17"/>
  <c r="BJ268" i="17"/>
  <c r="F269" i="17"/>
  <c r="R267" i="17"/>
  <c r="AQ268" i="17"/>
  <c r="AM268" i="17"/>
  <c r="AI268" i="17"/>
  <c r="AP268" i="17"/>
  <c r="AL268" i="17"/>
  <c r="AH268" i="17"/>
  <c r="AS268" i="17"/>
  <c r="AO268" i="17"/>
  <c r="AK268" i="17"/>
  <c r="AJ268" i="17"/>
  <c r="AR268" i="17"/>
  <c r="AN268" i="17"/>
  <c r="C270" i="17"/>
  <c r="G270" i="17" s="1"/>
  <c r="AW269" i="17"/>
  <c r="B269" i="17"/>
  <c r="O269" i="17" l="1"/>
  <c r="P269" i="17" s="1"/>
  <c r="H269" i="17"/>
  <c r="BJ269" i="17"/>
  <c r="F270" i="17"/>
  <c r="R268" i="17"/>
  <c r="AP269" i="17"/>
  <c r="AL269" i="17"/>
  <c r="AH269" i="17"/>
  <c r="AS269" i="17"/>
  <c r="AO269" i="17"/>
  <c r="AK269" i="17"/>
  <c r="AR269" i="17"/>
  <c r="AN269" i="17"/>
  <c r="AJ269" i="17"/>
  <c r="AI269" i="17"/>
  <c r="AQ269" i="17"/>
  <c r="AM269" i="17"/>
  <c r="C271" i="17"/>
  <c r="G271" i="17" s="1"/>
  <c r="AW270" i="17"/>
  <c r="B270" i="17"/>
  <c r="O270" i="17" l="1"/>
  <c r="P270" i="17" s="1"/>
  <c r="H270" i="17"/>
  <c r="F271" i="17"/>
  <c r="R269" i="17"/>
  <c r="B271" i="17"/>
  <c r="C272" i="17"/>
  <c r="G272" i="17" s="1"/>
  <c r="AW271" i="17"/>
  <c r="AS270" i="17"/>
  <c r="AO270" i="17"/>
  <c r="AK270" i="17"/>
  <c r="AR270" i="17"/>
  <c r="AN270" i="17"/>
  <c r="AJ270" i="17"/>
  <c r="AQ270" i="17"/>
  <c r="AM270" i="17"/>
  <c r="AI270" i="17"/>
  <c r="AH270" i="17"/>
  <c r="AP270" i="17"/>
  <c r="AL270" i="17"/>
  <c r="BJ270" i="17" l="1"/>
  <c r="O271" i="17"/>
  <c r="BJ271" i="17" s="1"/>
  <c r="H271" i="17"/>
  <c r="F272" i="17"/>
  <c r="R270" i="17"/>
  <c r="B272" i="17"/>
  <c r="C273" i="17"/>
  <c r="G273" i="17" s="1"/>
  <c r="AW272" i="17"/>
  <c r="AR271" i="17"/>
  <c r="AN271" i="17"/>
  <c r="AJ271" i="17"/>
  <c r="AQ271" i="17"/>
  <c r="AM271" i="17"/>
  <c r="AI271" i="17"/>
  <c r="AP271" i="17"/>
  <c r="AL271" i="17"/>
  <c r="AH271" i="17"/>
  <c r="AK271" i="17"/>
  <c r="AS271" i="17"/>
  <c r="AO271" i="17"/>
  <c r="P271" i="17" l="1"/>
  <c r="O272" i="17"/>
  <c r="P272" i="17" s="1"/>
  <c r="H272" i="17"/>
  <c r="F273" i="17"/>
  <c r="R271" i="17"/>
  <c r="AQ272" i="17"/>
  <c r="AM272" i="17"/>
  <c r="AI272" i="17"/>
  <c r="AP272" i="17"/>
  <c r="AL272" i="17"/>
  <c r="AH272" i="17"/>
  <c r="AS272" i="17"/>
  <c r="AO272" i="17"/>
  <c r="AK272" i="17"/>
  <c r="AN272" i="17"/>
  <c r="AR272" i="17"/>
  <c r="AJ272" i="17"/>
  <c r="C274" i="17"/>
  <c r="G274" i="17" s="1"/>
  <c r="AW273" i="17"/>
  <c r="B273" i="17"/>
  <c r="BJ272" i="17" l="1"/>
  <c r="O273" i="17"/>
  <c r="P273" i="17" s="1"/>
  <c r="H273" i="17"/>
  <c r="F274" i="17"/>
  <c r="R272" i="17"/>
  <c r="AP273" i="17"/>
  <c r="AL273" i="17"/>
  <c r="AH273" i="17"/>
  <c r="AS273" i="17"/>
  <c r="AO273" i="17"/>
  <c r="AK273" i="17"/>
  <c r="AR273" i="17"/>
  <c r="AN273" i="17"/>
  <c r="AJ273" i="17"/>
  <c r="AM273" i="17"/>
  <c r="AQ273" i="17"/>
  <c r="AI273" i="17"/>
  <c r="C275" i="17"/>
  <c r="G275" i="17" s="1"/>
  <c r="AW274" i="17"/>
  <c r="B274" i="17"/>
  <c r="BJ273" i="17" l="1"/>
  <c r="O274" i="17"/>
  <c r="P274" i="17" s="1"/>
  <c r="H274" i="17"/>
  <c r="F275" i="17"/>
  <c r="R273" i="17"/>
  <c r="AS274" i="17"/>
  <c r="AO274" i="17"/>
  <c r="AK274" i="17"/>
  <c r="AR274" i="17"/>
  <c r="AN274" i="17"/>
  <c r="AJ274" i="17"/>
  <c r="AQ274" i="17"/>
  <c r="AM274" i="17"/>
  <c r="AI274" i="17"/>
  <c r="AL274" i="17"/>
  <c r="AP274" i="17"/>
  <c r="AH274" i="17"/>
  <c r="B275" i="17"/>
  <c r="AW275" i="17"/>
  <c r="C276" i="17"/>
  <c r="G276" i="17" s="1"/>
  <c r="BJ274" i="17" l="1"/>
  <c r="O275" i="17"/>
  <c r="P275" i="17" s="1"/>
  <c r="H275" i="17"/>
  <c r="F276" i="17"/>
  <c r="R274" i="17"/>
  <c r="AR275" i="17"/>
  <c r="AN275" i="17"/>
  <c r="AJ275" i="17"/>
  <c r="AQ275" i="17"/>
  <c r="AM275" i="17"/>
  <c r="AI275" i="17"/>
  <c r="AP275" i="17"/>
  <c r="AL275" i="17"/>
  <c r="AH275" i="17"/>
  <c r="AO275" i="17"/>
  <c r="AK275" i="17"/>
  <c r="AS275" i="17"/>
  <c r="B276" i="17"/>
  <c r="C277" i="17"/>
  <c r="G277" i="17" s="1"/>
  <c r="AW276" i="17"/>
  <c r="BJ275" i="17" l="1"/>
  <c r="O276" i="17"/>
  <c r="P276" i="17" s="1"/>
  <c r="H276" i="17"/>
  <c r="F277" i="17"/>
  <c r="R275" i="17"/>
  <c r="C278" i="17"/>
  <c r="G278" i="17" s="1"/>
  <c r="AW277" i="17"/>
  <c r="B277" i="17"/>
  <c r="AQ276" i="17"/>
  <c r="AM276" i="17"/>
  <c r="AI276" i="17"/>
  <c r="AP276" i="17"/>
  <c r="AL276" i="17"/>
  <c r="AH276" i="17"/>
  <c r="AS276" i="17"/>
  <c r="AO276" i="17"/>
  <c r="AK276" i="17"/>
  <c r="AR276" i="17"/>
  <c r="AJ276" i="17"/>
  <c r="AN276" i="17"/>
  <c r="BJ276" i="17" l="1"/>
  <c r="O277" i="17"/>
  <c r="P277" i="17" s="1"/>
  <c r="H277" i="17"/>
  <c r="F278" i="17"/>
  <c r="R276" i="17"/>
  <c r="AP277" i="17"/>
  <c r="AL277" i="17"/>
  <c r="AH277" i="17"/>
  <c r="AS277" i="17"/>
  <c r="AO277" i="17"/>
  <c r="AK277" i="17"/>
  <c r="AR277" i="17"/>
  <c r="AN277" i="17"/>
  <c r="AJ277" i="17"/>
  <c r="AQ277" i="17"/>
  <c r="AI277" i="17"/>
  <c r="AM277" i="17"/>
  <c r="C279" i="17"/>
  <c r="G279" i="17" s="1"/>
  <c r="AW278" i="17"/>
  <c r="B278" i="17"/>
  <c r="BJ277" i="17" l="1"/>
  <c r="O278" i="17"/>
  <c r="BJ278" i="17" s="1"/>
  <c r="H278" i="17"/>
  <c r="F279" i="17"/>
  <c r="R277" i="17"/>
  <c r="AS278" i="17"/>
  <c r="AO278" i="17"/>
  <c r="AK278" i="17"/>
  <c r="AR278" i="17"/>
  <c r="AN278" i="17"/>
  <c r="AJ278" i="17"/>
  <c r="AQ278" i="17"/>
  <c r="AM278" i="17"/>
  <c r="AI278" i="17"/>
  <c r="AP278" i="17"/>
  <c r="AH278" i="17"/>
  <c r="AL278" i="17"/>
  <c r="B279" i="17"/>
  <c r="C280" i="17"/>
  <c r="G280" i="17" s="1"/>
  <c r="AW279" i="17"/>
  <c r="P278" i="17" l="1"/>
  <c r="O279" i="17"/>
  <c r="P279" i="17" s="1"/>
  <c r="H279" i="17"/>
  <c r="F280" i="17"/>
  <c r="R278" i="17"/>
  <c r="B280" i="17"/>
  <c r="C281" i="17"/>
  <c r="G281" i="17" s="1"/>
  <c r="AW280" i="17"/>
  <c r="AR279" i="17"/>
  <c r="AN279" i="17"/>
  <c r="AJ279" i="17"/>
  <c r="AQ279" i="17"/>
  <c r="AM279" i="17"/>
  <c r="AI279" i="17"/>
  <c r="AP279" i="17"/>
  <c r="AL279" i="17"/>
  <c r="AH279" i="17"/>
  <c r="AS279" i="17"/>
  <c r="AK279" i="17"/>
  <c r="AO279" i="17"/>
  <c r="BJ279" i="17" l="1"/>
  <c r="O280" i="17"/>
  <c r="BJ280" i="17" s="1"/>
  <c r="H280" i="17"/>
  <c r="F281" i="17"/>
  <c r="R279" i="17"/>
  <c r="C282" i="17"/>
  <c r="G282" i="17" s="1"/>
  <c r="AW281" i="17"/>
  <c r="B281" i="17"/>
  <c r="AQ280" i="17"/>
  <c r="AM280" i="17"/>
  <c r="AI280" i="17"/>
  <c r="AP280" i="17"/>
  <c r="AL280" i="17"/>
  <c r="AH280" i="17"/>
  <c r="AS280" i="17"/>
  <c r="AO280" i="17"/>
  <c r="AK280" i="17"/>
  <c r="AN280" i="17"/>
  <c r="AR280" i="17"/>
  <c r="AJ280" i="17"/>
  <c r="P280" i="17" l="1"/>
  <c r="O281" i="17"/>
  <c r="BJ281" i="17" s="1"/>
  <c r="H281" i="17"/>
  <c r="F282" i="17"/>
  <c r="R280" i="17"/>
  <c r="AP281" i="17"/>
  <c r="AL281" i="17"/>
  <c r="AH281" i="17"/>
  <c r="AS281" i="17"/>
  <c r="AO281" i="17"/>
  <c r="AK281" i="17"/>
  <c r="AR281" i="17"/>
  <c r="AN281" i="17"/>
  <c r="AJ281" i="17"/>
  <c r="AM281" i="17"/>
  <c r="AQ281" i="17"/>
  <c r="AI281" i="17"/>
  <c r="C283" i="17"/>
  <c r="G283" i="17" s="1"/>
  <c r="AW282" i="17"/>
  <c r="B282" i="17"/>
  <c r="P281" i="17" l="1"/>
  <c r="R281" i="17" s="1"/>
  <c r="O282" i="17"/>
  <c r="BJ282" i="17" s="1"/>
  <c r="H282" i="17"/>
  <c r="F283" i="17"/>
  <c r="AS282" i="17"/>
  <c r="AO282" i="17"/>
  <c r="AK282" i="17"/>
  <c r="AR282" i="17"/>
  <c r="AN282" i="17"/>
  <c r="AJ282" i="17"/>
  <c r="AQ282" i="17"/>
  <c r="AM282" i="17"/>
  <c r="AI282" i="17"/>
  <c r="AL282" i="17"/>
  <c r="AP282" i="17"/>
  <c r="AH282" i="17"/>
  <c r="B283" i="17"/>
  <c r="AW283" i="17"/>
  <c r="C284" i="17"/>
  <c r="G284" i="17" s="1"/>
  <c r="P282" i="17" l="1"/>
  <c r="R282" i="17" s="1"/>
  <c r="O283" i="17"/>
  <c r="BJ283" i="17" s="1"/>
  <c r="H283" i="17"/>
  <c r="F284" i="17"/>
  <c r="B284" i="17"/>
  <c r="C285" i="17"/>
  <c r="G285" i="17" s="1"/>
  <c r="AW284" i="17"/>
  <c r="AR283" i="17"/>
  <c r="AN283" i="17"/>
  <c r="AJ283" i="17"/>
  <c r="AQ283" i="17"/>
  <c r="AM283" i="17"/>
  <c r="AI283" i="17"/>
  <c r="AP283" i="17"/>
  <c r="AL283" i="17"/>
  <c r="AH283" i="17"/>
  <c r="AO283" i="17"/>
  <c r="AS283" i="17"/>
  <c r="AK283" i="17"/>
  <c r="P283" i="17" l="1"/>
  <c r="R283" i="17" s="1"/>
  <c r="O284" i="17"/>
  <c r="BJ284" i="17" s="1"/>
  <c r="H284" i="17"/>
  <c r="F285" i="17"/>
  <c r="C286" i="17"/>
  <c r="G286" i="17" s="1"/>
  <c r="AW285" i="17"/>
  <c r="B285" i="17"/>
  <c r="AQ284" i="17"/>
  <c r="AM284" i="17"/>
  <c r="AI284" i="17"/>
  <c r="AP284" i="17"/>
  <c r="AL284" i="17"/>
  <c r="AH284" i="17"/>
  <c r="AS284" i="17"/>
  <c r="AO284" i="17"/>
  <c r="AK284" i="17"/>
  <c r="AJ284" i="17"/>
  <c r="AR284" i="17"/>
  <c r="AN284" i="17"/>
  <c r="P284" i="17" l="1"/>
  <c r="O285" i="17"/>
  <c r="BJ285" i="17" s="1"/>
  <c r="H285" i="17"/>
  <c r="F286" i="17"/>
  <c r="R284" i="17"/>
  <c r="AP285" i="17"/>
  <c r="AL285" i="17"/>
  <c r="AH285" i="17"/>
  <c r="AS285" i="17"/>
  <c r="AO285" i="17"/>
  <c r="AK285" i="17"/>
  <c r="AR285" i="17"/>
  <c r="AN285" i="17"/>
  <c r="AJ285" i="17"/>
  <c r="AI285" i="17"/>
  <c r="AQ285" i="17"/>
  <c r="AM285" i="17"/>
  <c r="C287" i="17"/>
  <c r="G287" i="17" s="1"/>
  <c r="AW286" i="17"/>
  <c r="B286" i="17"/>
  <c r="P285" i="17" l="1"/>
  <c r="O286" i="17"/>
  <c r="P286" i="17" s="1"/>
  <c r="H286" i="17"/>
  <c r="F287" i="17"/>
  <c r="R285" i="17"/>
  <c r="B287" i="17"/>
  <c r="C288" i="17"/>
  <c r="G288" i="17" s="1"/>
  <c r="AW287" i="17"/>
  <c r="AS286" i="17"/>
  <c r="AO286" i="17"/>
  <c r="AK286" i="17"/>
  <c r="AR286" i="17"/>
  <c r="AN286" i="17"/>
  <c r="AJ286" i="17"/>
  <c r="AQ286" i="17"/>
  <c r="AM286" i="17"/>
  <c r="AI286" i="17"/>
  <c r="AH286" i="17"/>
  <c r="AP286" i="17"/>
  <c r="AL286" i="17"/>
  <c r="BJ286" i="17" l="1"/>
  <c r="O287" i="17"/>
  <c r="P287" i="17" s="1"/>
  <c r="H287" i="17"/>
  <c r="F288" i="17"/>
  <c r="R286" i="17"/>
  <c r="AR287" i="17"/>
  <c r="AN287" i="17"/>
  <c r="AJ287" i="17"/>
  <c r="AQ287" i="17"/>
  <c r="AM287" i="17"/>
  <c r="AI287" i="17"/>
  <c r="AP287" i="17"/>
  <c r="AL287" i="17"/>
  <c r="AH287" i="17"/>
  <c r="AK287" i="17"/>
  <c r="AS287" i="17"/>
  <c r="AO287" i="17"/>
  <c r="B288" i="17"/>
  <c r="C289" i="17"/>
  <c r="G289" i="17" s="1"/>
  <c r="AW288" i="17"/>
  <c r="BJ287" i="17" l="1"/>
  <c r="O288" i="17"/>
  <c r="P288" i="17" s="1"/>
  <c r="H288" i="17"/>
  <c r="F289" i="17"/>
  <c r="R287" i="17"/>
  <c r="C290" i="17"/>
  <c r="G290" i="17" s="1"/>
  <c r="AW289" i="17"/>
  <c r="B289" i="17"/>
  <c r="AQ288" i="17"/>
  <c r="AM288" i="17"/>
  <c r="AI288" i="17"/>
  <c r="AP288" i="17"/>
  <c r="AL288" i="17"/>
  <c r="AH288" i="17"/>
  <c r="AS288" i="17"/>
  <c r="AO288" i="17"/>
  <c r="AK288" i="17"/>
  <c r="AN288" i="17"/>
  <c r="AR288" i="17"/>
  <c r="AJ288" i="17"/>
  <c r="BJ288" i="17" l="1"/>
  <c r="O289" i="17"/>
  <c r="P289" i="17" s="1"/>
  <c r="H289" i="17"/>
  <c r="F290" i="17"/>
  <c r="R288" i="17"/>
  <c r="AP289" i="17"/>
  <c r="AL289" i="17"/>
  <c r="AH289" i="17"/>
  <c r="AS289" i="17"/>
  <c r="AO289" i="17"/>
  <c r="AK289" i="17"/>
  <c r="AR289" i="17"/>
  <c r="AN289" i="17"/>
  <c r="AJ289" i="17"/>
  <c r="AM289" i="17"/>
  <c r="AQ289" i="17"/>
  <c r="AI289" i="17"/>
  <c r="C291" i="17"/>
  <c r="G291" i="17" s="1"/>
  <c r="AW290" i="17"/>
  <c r="B290" i="17"/>
  <c r="BJ289" i="17" l="1"/>
  <c r="O290" i="17"/>
  <c r="BJ290" i="17" s="1"/>
  <c r="H290" i="17"/>
  <c r="F291" i="17"/>
  <c r="R289" i="17"/>
  <c r="AS290" i="17"/>
  <c r="AO290" i="17"/>
  <c r="AK290" i="17"/>
  <c r="AR290" i="17"/>
  <c r="AN290" i="17"/>
  <c r="AJ290" i="17"/>
  <c r="AQ290" i="17"/>
  <c r="AM290" i="17"/>
  <c r="AI290" i="17"/>
  <c r="AL290" i="17"/>
  <c r="AP290" i="17"/>
  <c r="AH290" i="17"/>
  <c r="B291" i="17"/>
  <c r="AW291" i="17"/>
  <c r="C292" i="17"/>
  <c r="G292" i="17" s="1"/>
  <c r="P290" i="17" l="1"/>
  <c r="O291" i="17"/>
  <c r="BJ291" i="17" s="1"/>
  <c r="H291" i="17"/>
  <c r="F292" i="17"/>
  <c r="R290" i="17"/>
  <c r="B292" i="17"/>
  <c r="C293" i="17"/>
  <c r="G293" i="17" s="1"/>
  <c r="AW292" i="17"/>
  <c r="AR291" i="17"/>
  <c r="AN291" i="17"/>
  <c r="AJ291" i="17"/>
  <c r="AQ291" i="17"/>
  <c r="AM291" i="17"/>
  <c r="AI291" i="17"/>
  <c r="AP291" i="17"/>
  <c r="AL291" i="17"/>
  <c r="AH291" i="17"/>
  <c r="AO291" i="17"/>
  <c r="AS291" i="17"/>
  <c r="AK291" i="17"/>
  <c r="P291" i="17" l="1"/>
  <c r="O292" i="17"/>
  <c r="P292" i="17" s="1"/>
  <c r="H292" i="17"/>
  <c r="F293" i="17"/>
  <c r="R291" i="17"/>
  <c r="C294" i="17"/>
  <c r="G294" i="17" s="1"/>
  <c r="AW293" i="17"/>
  <c r="B293" i="17"/>
  <c r="AQ292" i="17"/>
  <c r="AM292" i="17"/>
  <c r="AI292" i="17"/>
  <c r="AP292" i="17"/>
  <c r="AL292" i="17"/>
  <c r="AH292" i="17"/>
  <c r="AS292" i="17"/>
  <c r="AO292" i="17"/>
  <c r="AK292" i="17"/>
  <c r="AR292" i="17"/>
  <c r="AJ292" i="17"/>
  <c r="AN292" i="17"/>
  <c r="BJ292" i="17" l="1"/>
  <c r="O293" i="17"/>
  <c r="P293" i="17" s="1"/>
  <c r="H293" i="17"/>
  <c r="BJ293" i="17"/>
  <c r="F294" i="17"/>
  <c r="R292" i="17"/>
  <c r="AP293" i="17"/>
  <c r="AL293" i="17"/>
  <c r="AH293" i="17"/>
  <c r="AS293" i="17"/>
  <c r="AO293" i="17"/>
  <c r="AK293" i="17"/>
  <c r="AR293" i="17"/>
  <c r="AN293" i="17"/>
  <c r="AJ293" i="17"/>
  <c r="AQ293" i="17"/>
  <c r="AI293" i="17"/>
  <c r="AM293" i="17"/>
  <c r="C295" i="17"/>
  <c r="G295" i="17" s="1"/>
  <c r="AW294" i="17"/>
  <c r="B294" i="17"/>
  <c r="O294" i="17" l="1"/>
  <c r="P294" i="17" s="1"/>
  <c r="H294" i="17"/>
  <c r="F295" i="17"/>
  <c r="R293" i="17"/>
  <c r="AS294" i="17"/>
  <c r="AO294" i="17"/>
  <c r="AK294" i="17"/>
  <c r="AR294" i="17"/>
  <c r="AN294" i="17"/>
  <c r="AJ294" i="17"/>
  <c r="AQ294" i="17"/>
  <c r="AM294" i="17"/>
  <c r="AI294" i="17"/>
  <c r="AP294" i="17"/>
  <c r="AH294" i="17"/>
  <c r="AL294" i="17"/>
  <c r="B295" i="17"/>
  <c r="C296" i="17"/>
  <c r="G296" i="17" s="1"/>
  <c r="AW295" i="17"/>
  <c r="BJ294" i="17" l="1"/>
  <c r="O295" i="17"/>
  <c r="P295" i="17" s="1"/>
  <c r="H295" i="17"/>
  <c r="BJ295" i="17"/>
  <c r="F296" i="17"/>
  <c r="R294" i="17"/>
  <c r="B296" i="17"/>
  <c r="C297" i="17"/>
  <c r="G297" i="17" s="1"/>
  <c r="AW296" i="17"/>
  <c r="AR295" i="17"/>
  <c r="AN295" i="17"/>
  <c r="AJ295" i="17"/>
  <c r="AQ295" i="17"/>
  <c r="AM295" i="17"/>
  <c r="AI295" i="17"/>
  <c r="AP295" i="17"/>
  <c r="AL295" i="17"/>
  <c r="AH295" i="17"/>
  <c r="AS295" i="17"/>
  <c r="AK295" i="17"/>
  <c r="AO295" i="17"/>
  <c r="O296" i="17" l="1"/>
  <c r="P296" i="17" s="1"/>
  <c r="H296" i="17"/>
  <c r="F297" i="17"/>
  <c r="R295" i="17"/>
  <c r="C298" i="17"/>
  <c r="G298" i="17" s="1"/>
  <c r="AW297" i="17"/>
  <c r="B297" i="17"/>
  <c r="AQ296" i="17"/>
  <c r="AM296" i="17"/>
  <c r="AI296" i="17"/>
  <c r="AP296" i="17"/>
  <c r="AL296" i="17"/>
  <c r="AH296" i="17"/>
  <c r="AS296" i="17"/>
  <c r="AO296" i="17"/>
  <c r="AK296" i="17"/>
  <c r="AN296" i="17"/>
  <c r="AJ296" i="17"/>
  <c r="AR296" i="17"/>
  <c r="BJ296" i="17" l="1"/>
  <c r="O297" i="17"/>
  <c r="P297" i="17" s="1"/>
  <c r="H297" i="17"/>
  <c r="F298" i="17"/>
  <c r="R296" i="17"/>
  <c r="AP297" i="17"/>
  <c r="AL297" i="17"/>
  <c r="AH297" i="17"/>
  <c r="AS297" i="17"/>
  <c r="AO297" i="17"/>
  <c r="AK297" i="17"/>
  <c r="AR297" i="17"/>
  <c r="AN297" i="17"/>
  <c r="AJ297" i="17"/>
  <c r="AM297" i="17"/>
  <c r="AI297" i="17"/>
  <c r="AQ297" i="17"/>
  <c r="C299" i="17"/>
  <c r="G299" i="17" s="1"/>
  <c r="AW298" i="17"/>
  <c r="B298" i="17"/>
  <c r="BJ297" i="17" l="1"/>
  <c r="O298" i="17"/>
  <c r="BJ298" i="17" s="1"/>
  <c r="H298" i="17"/>
  <c r="F299" i="17"/>
  <c r="R297" i="17"/>
  <c r="AS298" i="17"/>
  <c r="AO298" i="17"/>
  <c r="AK298" i="17"/>
  <c r="AR298" i="17"/>
  <c r="AN298" i="17"/>
  <c r="AJ298" i="17"/>
  <c r="AQ298" i="17"/>
  <c r="AM298" i="17"/>
  <c r="AI298" i="17"/>
  <c r="AL298" i="17"/>
  <c r="AH298" i="17"/>
  <c r="AP298" i="17"/>
  <c r="B299" i="17"/>
  <c r="AW299" i="17"/>
  <c r="C300" i="17"/>
  <c r="G300" i="17" s="1"/>
  <c r="P298" i="17" l="1"/>
  <c r="O299" i="17"/>
  <c r="BJ299" i="17" s="1"/>
  <c r="H299" i="17"/>
  <c r="F300" i="17"/>
  <c r="R298" i="17"/>
  <c r="B300" i="17"/>
  <c r="C301" i="17"/>
  <c r="G301" i="17" s="1"/>
  <c r="AW300" i="17"/>
  <c r="AR299" i="17"/>
  <c r="AN299" i="17"/>
  <c r="AJ299" i="17"/>
  <c r="AQ299" i="17"/>
  <c r="AM299" i="17"/>
  <c r="AI299" i="17"/>
  <c r="AP299" i="17"/>
  <c r="AL299" i="17"/>
  <c r="AH299" i="17"/>
  <c r="AO299" i="17"/>
  <c r="AS299" i="17"/>
  <c r="AK299" i="17"/>
  <c r="P299" i="17" l="1"/>
  <c r="O300" i="17"/>
  <c r="P300" i="17" s="1"/>
  <c r="H300" i="17"/>
  <c r="F301" i="17"/>
  <c r="R299" i="17"/>
  <c r="C302" i="17"/>
  <c r="G302" i="17" s="1"/>
  <c r="AW301" i="17"/>
  <c r="B301" i="17"/>
  <c r="AQ300" i="17"/>
  <c r="AM300" i="17"/>
  <c r="AI300" i="17"/>
  <c r="AP300" i="17"/>
  <c r="AL300" i="17"/>
  <c r="AH300" i="17"/>
  <c r="AS300" i="17"/>
  <c r="AO300" i="17"/>
  <c r="AK300" i="17"/>
  <c r="AJ300" i="17"/>
  <c r="AR300" i="17"/>
  <c r="AN300" i="17"/>
  <c r="BJ300" i="17" l="1"/>
  <c r="O301" i="17"/>
  <c r="P301" i="17" s="1"/>
  <c r="H301" i="17"/>
  <c r="F302" i="17"/>
  <c r="R300" i="17"/>
  <c r="AP301" i="17"/>
  <c r="AL301" i="17"/>
  <c r="AH301" i="17"/>
  <c r="AS301" i="17"/>
  <c r="AO301" i="17"/>
  <c r="AK301" i="17"/>
  <c r="AR301" i="17"/>
  <c r="AN301" i="17"/>
  <c r="AJ301" i="17"/>
  <c r="AI301" i="17"/>
  <c r="AQ301" i="17"/>
  <c r="AM301" i="17"/>
  <c r="C303" i="17"/>
  <c r="G303" i="17" s="1"/>
  <c r="AW302" i="17"/>
  <c r="B302" i="17"/>
  <c r="BJ301" i="17" l="1"/>
  <c r="O302" i="17"/>
  <c r="P302" i="17" s="1"/>
  <c r="H302" i="17"/>
  <c r="F303" i="17"/>
  <c r="R301" i="17"/>
  <c r="AS302" i="17"/>
  <c r="AO302" i="17"/>
  <c r="AK302" i="17"/>
  <c r="AR302" i="17"/>
  <c r="AN302" i="17"/>
  <c r="AJ302" i="17"/>
  <c r="AQ302" i="17"/>
  <c r="AM302" i="17"/>
  <c r="AI302" i="17"/>
  <c r="AH302" i="17"/>
  <c r="AP302" i="17"/>
  <c r="AL302" i="17"/>
  <c r="B303" i="17"/>
  <c r="C304" i="17"/>
  <c r="G304" i="17" s="1"/>
  <c r="AW303" i="17"/>
  <c r="BJ302" i="17" l="1"/>
  <c r="O303" i="17"/>
  <c r="P303" i="17" s="1"/>
  <c r="H303" i="17"/>
  <c r="F304" i="17"/>
  <c r="R302" i="17"/>
  <c r="B304" i="17"/>
  <c r="C305" i="17"/>
  <c r="G305" i="17" s="1"/>
  <c r="AW304" i="17"/>
  <c r="AR303" i="17"/>
  <c r="AN303" i="17"/>
  <c r="AJ303" i="17"/>
  <c r="AQ303" i="17"/>
  <c r="AM303" i="17"/>
  <c r="AI303" i="17"/>
  <c r="AP303" i="17"/>
  <c r="AL303" i="17"/>
  <c r="AH303" i="17"/>
  <c r="AK303" i="17"/>
  <c r="AS303" i="17"/>
  <c r="AO303" i="17"/>
  <c r="BJ303" i="17" l="1"/>
  <c r="O304" i="17"/>
  <c r="P304" i="17" s="1"/>
  <c r="H304" i="17"/>
  <c r="F305" i="17"/>
  <c r="R303" i="17"/>
  <c r="C306" i="17"/>
  <c r="G306" i="17" s="1"/>
  <c r="AW305" i="17"/>
  <c r="B305" i="17"/>
  <c r="AQ304" i="17"/>
  <c r="AM304" i="17"/>
  <c r="AI304" i="17"/>
  <c r="AP304" i="17"/>
  <c r="AL304" i="17"/>
  <c r="AH304" i="17"/>
  <c r="AS304" i="17"/>
  <c r="AO304" i="17"/>
  <c r="AK304" i="17"/>
  <c r="AN304" i="17"/>
  <c r="AR304" i="17"/>
  <c r="AJ304" i="17"/>
  <c r="BJ304" i="17" l="1"/>
  <c r="O305" i="17"/>
  <c r="P305" i="17" s="1"/>
  <c r="H305" i="17"/>
  <c r="F306" i="17"/>
  <c r="R304" i="17"/>
  <c r="AP305" i="17"/>
  <c r="AL305" i="17"/>
  <c r="AH305" i="17"/>
  <c r="AS305" i="17"/>
  <c r="AO305" i="17"/>
  <c r="AK305" i="17"/>
  <c r="AR305" i="17"/>
  <c r="AN305" i="17"/>
  <c r="AJ305" i="17"/>
  <c r="AM305" i="17"/>
  <c r="AQ305" i="17"/>
  <c r="AI305" i="17"/>
  <c r="C307" i="17"/>
  <c r="G307" i="17" s="1"/>
  <c r="AW306" i="17"/>
  <c r="B306" i="17"/>
  <c r="BJ305" i="17" l="1"/>
  <c r="O306" i="17"/>
  <c r="P306" i="17" s="1"/>
  <c r="H306" i="17"/>
  <c r="F307" i="17"/>
  <c r="R305" i="17"/>
  <c r="AS306" i="17"/>
  <c r="AO306" i="17"/>
  <c r="AK306" i="17"/>
  <c r="AR306" i="17"/>
  <c r="AN306" i="17"/>
  <c r="AJ306" i="17"/>
  <c r="AQ306" i="17"/>
  <c r="AM306" i="17"/>
  <c r="AI306" i="17"/>
  <c r="AL306" i="17"/>
  <c r="AP306" i="17"/>
  <c r="AH306" i="17"/>
  <c r="B307" i="17"/>
  <c r="AW307" i="17"/>
  <c r="C308" i="17"/>
  <c r="G308" i="17" s="1"/>
  <c r="BJ306" i="17" l="1"/>
  <c r="O307" i="17"/>
  <c r="P307" i="17" s="1"/>
  <c r="H307" i="17"/>
  <c r="F308" i="17"/>
  <c r="R306" i="17"/>
  <c r="B308" i="17"/>
  <c r="C309" i="17"/>
  <c r="G309" i="17" s="1"/>
  <c r="AW308" i="17"/>
  <c r="AR307" i="17"/>
  <c r="AN307" i="17"/>
  <c r="AJ307" i="17"/>
  <c r="AQ307" i="17"/>
  <c r="AM307" i="17"/>
  <c r="AI307" i="17"/>
  <c r="AP307" i="17"/>
  <c r="AL307" i="17"/>
  <c r="AH307" i="17"/>
  <c r="AO307" i="17"/>
  <c r="AK307" i="17"/>
  <c r="AS307" i="17"/>
  <c r="BJ307" i="17" l="1"/>
  <c r="O308" i="17"/>
  <c r="P308" i="17" s="1"/>
  <c r="H308" i="17"/>
  <c r="F309" i="17"/>
  <c r="R307" i="17"/>
  <c r="C310" i="17"/>
  <c r="G310" i="17" s="1"/>
  <c r="AW309" i="17"/>
  <c r="B309" i="17"/>
  <c r="AQ308" i="17"/>
  <c r="AM308" i="17"/>
  <c r="AI308" i="17"/>
  <c r="AP308" i="17"/>
  <c r="AL308" i="17"/>
  <c r="AH308" i="17"/>
  <c r="AS308" i="17"/>
  <c r="AO308" i="17"/>
  <c r="AK308" i="17"/>
  <c r="AR308" i="17"/>
  <c r="AJ308" i="17"/>
  <c r="AN308" i="17"/>
  <c r="BJ308" i="17" l="1"/>
  <c r="O309" i="17"/>
  <c r="BJ309" i="17" s="1"/>
  <c r="H309" i="17"/>
  <c r="F310" i="17"/>
  <c r="R308" i="17"/>
  <c r="AP309" i="17"/>
  <c r="AL309" i="17"/>
  <c r="AH309" i="17"/>
  <c r="AS309" i="17"/>
  <c r="AO309" i="17"/>
  <c r="AK309" i="17"/>
  <c r="AR309" i="17"/>
  <c r="AN309" i="17"/>
  <c r="AJ309" i="17"/>
  <c r="AQ309" i="17"/>
  <c r="AI309" i="17"/>
  <c r="AM309" i="17"/>
  <c r="C311" i="17"/>
  <c r="G311" i="17" s="1"/>
  <c r="AW310" i="17"/>
  <c r="B310" i="17"/>
  <c r="P309" i="17" l="1"/>
  <c r="O310" i="17"/>
  <c r="P310" i="17" s="1"/>
  <c r="H310" i="17"/>
  <c r="F311" i="17"/>
  <c r="R309" i="17"/>
  <c r="AS310" i="17"/>
  <c r="AO310" i="17"/>
  <c r="AK310" i="17"/>
  <c r="AR310" i="17"/>
  <c r="AN310" i="17"/>
  <c r="AJ310" i="17"/>
  <c r="AQ310" i="17"/>
  <c r="AM310" i="17"/>
  <c r="AI310" i="17"/>
  <c r="AP310" i="17"/>
  <c r="AH310" i="17"/>
  <c r="AL310" i="17"/>
  <c r="B311" i="17"/>
  <c r="C312" i="17"/>
  <c r="G312" i="17" s="1"/>
  <c r="AW311" i="17"/>
  <c r="BJ310" i="17" l="1"/>
  <c r="O311" i="17"/>
  <c r="P311" i="17" s="1"/>
  <c r="H311" i="17"/>
  <c r="F312" i="17"/>
  <c r="R310" i="17"/>
  <c r="AR311" i="17"/>
  <c r="AN311" i="17"/>
  <c r="AJ311" i="17"/>
  <c r="AQ311" i="17"/>
  <c r="AM311" i="17"/>
  <c r="AI311" i="17"/>
  <c r="AP311" i="17"/>
  <c r="AL311" i="17"/>
  <c r="AH311" i="17"/>
  <c r="AS311" i="17"/>
  <c r="AK311" i="17"/>
  <c r="AO311" i="17"/>
  <c r="B312" i="17"/>
  <c r="C313" i="17"/>
  <c r="G313" i="17" s="1"/>
  <c r="AW312" i="17"/>
  <c r="BJ311" i="17" l="1"/>
  <c r="O312" i="17"/>
  <c r="P312" i="17" s="1"/>
  <c r="H312" i="17"/>
  <c r="BJ312" i="17"/>
  <c r="F313" i="17"/>
  <c r="R311" i="17"/>
  <c r="AQ312" i="17"/>
  <c r="AM312" i="17"/>
  <c r="AI312" i="17"/>
  <c r="AP312" i="17"/>
  <c r="AL312" i="17"/>
  <c r="AH312" i="17"/>
  <c r="AS312" i="17"/>
  <c r="AO312" i="17"/>
  <c r="AK312" i="17"/>
  <c r="AN312" i="17"/>
  <c r="AR312" i="17"/>
  <c r="AJ312" i="17"/>
  <c r="C314" i="17"/>
  <c r="G314" i="17" s="1"/>
  <c r="AW313" i="17"/>
  <c r="B313" i="17"/>
  <c r="O313" i="17" l="1"/>
  <c r="P313" i="17" s="1"/>
  <c r="H313" i="17"/>
  <c r="F314" i="17"/>
  <c r="R312" i="17"/>
  <c r="AP313" i="17"/>
  <c r="AL313" i="17"/>
  <c r="AH313" i="17"/>
  <c r="AS313" i="17"/>
  <c r="AO313" i="17"/>
  <c r="AK313" i="17"/>
  <c r="AR313" i="17"/>
  <c r="AN313" i="17"/>
  <c r="AJ313" i="17"/>
  <c r="AM313" i="17"/>
  <c r="AQ313" i="17"/>
  <c r="AI313" i="17"/>
  <c r="C315" i="17"/>
  <c r="G315" i="17" s="1"/>
  <c r="AW314" i="17"/>
  <c r="B314" i="17"/>
  <c r="BJ313" i="17" l="1"/>
  <c r="O314" i="17"/>
  <c r="P314" i="17" s="1"/>
  <c r="H314" i="17"/>
  <c r="F315" i="17"/>
  <c r="R313" i="17"/>
  <c r="AS314" i="17"/>
  <c r="AO314" i="17"/>
  <c r="AK314" i="17"/>
  <c r="AR314" i="17"/>
  <c r="AN314" i="17"/>
  <c r="AJ314" i="17"/>
  <c r="AQ314" i="17"/>
  <c r="AM314" i="17"/>
  <c r="AI314" i="17"/>
  <c r="AL314" i="17"/>
  <c r="AP314" i="17"/>
  <c r="AH314" i="17"/>
  <c r="B315" i="17"/>
  <c r="AW315" i="17"/>
  <c r="C316" i="17"/>
  <c r="G316" i="17" s="1"/>
  <c r="BJ314" i="17" l="1"/>
  <c r="O315" i="17"/>
  <c r="P315" i="17" s="1"/>
  <c r="H315" i="17"/>
  <c r="F316" i="17"/>
  <c r="R314" i="17"/>
  <c r="B316" i="17"/>
  <c r="C317" i="17"/>
  <c r="G317" i="17" s="1"/>
  <c r="AW316" i="17"/>
  <c r="AR315" i="17"/>
  <c r="AN315" i="17"/>
  <c r="AJ315" i="17"/>
  <c r="AQ315" i="17"/>
  <c r="AM315" i="17"/>
  <c r="AI315" i="17"/>
  <c r="AP315" i="17"/>
  <c r="AL315" i="17"/>
  <c r="AH315" i="17"/>
  <c r="AO315" i="17"/>
  <c r="AS315" i="17"/>
  <c r="AK315" i="17"/>
  <c r="BJ315" i="17" l="1"/>
  <c r="O316" i="17"/>
  <c r="BJ316" i="17" s="1"/>
  <c r="H316" i="17"/>
  <c r="F317" i="17"/>
  <c r="R315" i="17"/>
  <c r="C318" i="17"/>
  <c r="G318" i="17" s="1"/>
  <c r="AW317" i="17"/>
  <c r="B317" i="17"/>
  <c r="AQ316" i="17"/>
  <c r="AM316" i="17"/>
  <c r="AI316" i="17"/>
  <c r="AP316" i="17"/>
  <c r="AL316" i="17"/>
  <c r="AH316" i="17"/>
  <c r="AS316" i="17"/>
  <c r="AO316" i="17"/>
  <c r="AK316" i="17"/>
  <c r="AJ316" i="17"/>
  <c r="AR316" i="17"/>
  <c r="AN316" i="17"/>
  <c r="P316" i="17" l="1"/>
  <c r="O317" i="17"/>
  <c r="BJ317" i="17" s="1"/>
  <c r="H317" i="17"/>
  <c r="F318" i="17"/>
  <c r="R316" i="17"/>
  <c r="AP317" i="17"/>
  <c r="AL317" i="17"/>
  <c r="AH317" i="17"/>
  <c r="AS317" i="17"/>
  <c r="AO317" i="17"/>
  <c r="AK317" i="17"/>
  <c r="AR317" i="17"/>
  <c r="AN317" i="17"/>
  <c r="AJ317" i="17"/>
  <c r="AI317" i="17"/>
  <c r="AQ317" i="17"/>
  <c r="AM317" i="17"/>
  <c r="C319" i="17"/>
  <c r="G319" i="17" s="1"/>
  <c r="AW318" i="17"/>
  <c r="B318" i="17"/>
  <c r="P317" i="17" l="1"/>
  <c r="O318" i="17"/>
  <c r="P318" i="17" s="1"/>
  <c r="H318" i="17"/>
  <c r="F319" i="17"/>
  <c r="R317" i="17"/>
  <c r="AS318" i="17"/>
  <c r="AO318" i="17"/>
  <c r="AK318" i="17"/>
  <c r="AR318" i="17"/>
  <c r="AN318" i="17"/>
  <c r="AJ318" i="17"/>
  <c r="AQ318" i="17"/>
  <c r="AM318" i="17"/>
  <c r="AI318" i="17"/>
  <c r="AH318" i="17"/>
  <c r="AP318" i="17"/>
  <c r="AL318" i="17"/>
  <c r="B319" i="17"/>
  <c r="C320" i="17"/>
  <c r="G320" i="17" s="1"/>
  <c r="AW319" i="17"/>
  <c r="BJ318" i="17" l="1"/>
  <c r="O319" i="17"/>
  <c r="P319" i="17" s="1"/>
  <c r="H319" i="17"/>
  <c r="F320" i="17"/>
  <c r="R318" i="17"/>
  <c r="B320" i="17"/>
  <c r="C321" i="17"/>
  <c r="G321" i="17" s="1"/>
  <c r="AW320" i="17"/>
  <c r="AR319" i="17"/>
  <c r="AN319" i="17"/>
  <c r="AJ319" i="17"/>
  <c r="AQ319" i="17"/>
  <c r="AM319" i="17"/>
  <c r="AI319" i="17"/>
  <c r="AP319" i="17"/>
  <c r="AL319" i="17"/>
  <c r="AH319" i="17"/>
  <c r="AK319" i="17"/>
  <c r="AS319" i="17"/>
  <c r="AO319" i="17"/>
  <c r="BJ319" i="17" l="1"/>
  <c r="O320" i="17"/>
  <c r="P320" i="17" s="1"/>
  <c r="H320" i="17"/>
  <c r="BJ320" i="17"/>
  <c r="F321" i="17"/>
  <c r="R319" i="17"/>
  <c r="C322" i="17"/>
  <c r="G322" i="17" s="1"/>
  <c r="AW321" i="17"/>
  <c r="B321" i="17"/>
  <c r="AQ320" i="17"/>
  <c r="AM320" i="17"/>
  <c r="AI320" i="17"/>
  <c r="AP320" i="17"/>
  <c r="AL320" i="17"/>
  <c r="AH320" i="17"/>
  <c r="AS320" i="17"/>
  <c r="AO320" i="17"/>
  <c r="AK320" i="17"/>
  <c r="AN320" i="17"/>
  <c r="AR320" i="17"/>
  <c r="AJ320" i="17"/>
  <c r="O321" i="17" l="1"/>
  <c r="H321" i="17"/>
  <c r="P321" i="17"/>
  <c r="BJ321" i="17"/>
  <c r="F322" i="17"/>
  <c r="R320" i="17"/>
  <c r="C323" i="17"/>
  <c r="G323" i="17" s="1"/>
  <c r="AW322" i="17"/>
  <c r="B322" i="17"/>
  <c r="AP321" i="17"/>
  <c r="AL321" i="17"/>
  <c r="AH321" i="17"/>
  <c r="AS321" i="17"/>
  <c r="AO321" i="17"/>
  <c r="AK321" i="17"/>
  <c r="AR321" i="17"/>
  <c r="AN321" i="17"/>
  <c r="AJ321" i="17"/>
  <c r="AI321" i="17"/>
  <c r="AM321" i="17"/>
  <c r="AQ321" i="17"/>
  <c r="O322" i="17" l="1"/>
  <c r="H322" i="17"/>
  <c r="P322" i="17"/>
  <c r="BJ322" i="17"/>
  <c r="F323" i="17"/>
  <c r="R321" i="17"/>
  <c r="AS322" i="17"/>
  <c r="AO322" i="17"/>
  <c r="AK322" i="17"/>
  <c r="AR322" i="17"/>
  <c r="AN322" i="17"/>
  <c r="AJ322" i="17"/>
  <c r="AQ322" i="17"/>
  <c r="AM322" i="17"/>
  <c r="AI322" i="17"/>
  <c r="AH322" i="17"/>
  <c r="AL322" i="17"/>
  <c r="AP322" i="17"/>
  <c r="B323" i="17"/>
  <c r="AW323" i="17"/>
  <c r="C324" i="17"/>
  <c r="G324" i="17" s="1"/>
  <c r="O323" i="17" l="1"/>
  <c r="P323" i="17" s="1"/>
  <c r="H323" i="17"/>
  <c r="BJ323" i="17"/>
  <c r="F324" i="17"/>
  <c r="R322" i="17"/>
  <c r="AR323" i="17"/>
  <c r="AN323" i="17"/>
  <c r="AJ323" i="17"/>
  <c r="AQ323" i="17"/>
  <c r="AM323" i="17"/>
  <c r="AI323" i="17"/>
  <c r="AP323" i="17"/>
  <c r="AL323" i="17"/>
  <c r="AH323" i="17"/>
  <c r="AK323" i="17"/>
  <c r="AS323" i="17"/>
  <c r="AO323" i="17"/>
  <c r="B324" i="17"/>
  <c r="C325" i="17"/>
  <c r="G325" i="17" s="1"/>
  <c r="AW324" i="17"/>
  <c r="O324" i="17" l="1"/>
  <c r="P324" i="17" s="1"/>
  <c r="H324" i="17"/>
  <c r="BJ324" i="17"/>
  <c r="F325" i="17"/>
  <c r="R323" i="17"/>
  <c r="C326" i="17"/>
  <c r="G326" i="17" s="1"/>
  <c r="AW325" i="17"/>
  <c r="B325" i="17"/>
  <c r="AQ324" i="17"/>
  <c r="AM324" i="17"/>
  <c r="AI324" i="17"/>
  <c r="AP324" i="17"/>
  <c r="AL324" i="17"/>
  <c r="AH324" i="17"/>
  <c r="AS324" i="17"/>
  <c r="AO324" i="17"/>
  <c r="AK324" i="17"/>
  <c r="AR324" i="17"/>
  <c r="AN324" i="17"/>
  <c r="AJ324" i="17"/>
  <c r="O325" i="17" l="1"/>
  <c r="P325" i="17" s="1"/>
  <c r="H325" i="17"/>
  <c r="BJ325" i="17"/>
  <c r="F326" i="17"/>
  <c r="R324" i="17"/>
  <c r="AP325" i="17"/>
  <c r="AL325" i="17"/>
  <c r="AH325" i="17"/>
  <c r="AS325" i="17"/>
  <c r="AO325" i="17"/>
  <c r="AK325" i="17"/>
  <c r="AR325" i="17"/>
  <c r="AN325" i="17"/>
  <c r="AJ325" i="17"/>
  <c r="AQ325" i="17"/>
  <c r="AM325" i="17"/>
  <c r="AI325" i="17"/>
  <c r="C327" i="17"/>
  <c r="G327" i="17" s="1"/>
  <c r="AW326" i="17"/>
  <c r="B326" i="17"/>
  <c r="O326" i="17" l="1"/>
  <c r="H326" i="17"/>
  <c r="P326" i="17"/>
  <c r="BJ326" i="17"/>
  <c r="F327" i="17"/>
  <c r="R325" i="17"/>
  <c r="B327" i="17"/>
  <c r="AW327" i="17"/>
  <c r="C328" i="17"/>
  <c r="G328" i="17" s="1"/>
  <c r="AS326" i="17"/>
  <c r="AO326" i="17"/>
  <c r="AK326" i="17"/>
  <c r="AR326" i="17"/>
  <c r="AN326" i="17"/>
  <c r="AJ326" i="17"/>
  <c r="AQ326" i="17"/>
  <c r="AM326" i="17"/>
  <c r="AI326" i="17"/>
  <c r="AP326" i="17"/>
  <c r="AL326" i="17"/>
  <c r="AH326" i="17"/>
  <c r="O327" i="17" l="1"/>
  <c r="H327" i="17"/>
  <c r="P327" i="17"/>
  <c r="BJ327" i="17"/>
  <c r="F328" i="17"/>
  <c r="R326" i="17"/>
  <c r="AR327" i="17"/>
  <c r="AN327" i="17"/>
  <c r="AJ327" i="17"/>
  <c r="AQ327" i="17"/>
  <c r="AM327" i="17"/>
  <c r="AI327" i="17"/>
  <c r="AP327" i="17"/>
  <c r="AL327" i="17"/>
  <c r="AH327" i="17"/>
  <c r="AS327" i="17"/>
  <c r="AO327" i="17"/>
  <c r="AK327" i="17"/>
  <c r="B328" i="17"/>
  <c r="C329" i="17"/>
  <c r="G329" i="17" s="1"/>
  <c r="AW328" i="17"/>
  <c r="O328" i="17" l="1"/>
  <c r="P328" i="17" s="1"/>
  <c r="H328" i="17"/>
  <c r="F329" i="17"/>
  <c r="R327" i="17"/>
  <c r="AQ328" i="17"/>
  <c r="AM328" i="17"/>
  <c r="AI328" i="17"/>
  <c r="AP328" i="17"/>
  <c r="AL328" i="17"/>
  <c r="AH328" i="17"/>
  <c r="AS328" i="17"/>
  <c r="AO328" i="17"/>
  <c r="AK328" i="17"/>
  <c r="AR328" i="17"/>
  <c r="AN328" i="17"/>
  <c r="AJ328" i="17"/>
  <c r="C330" i="17"/>
  <c r="G330" i="17" s="1"/>
  <c r="AW329" i="17"/>
  <c r="B329" i="17"/>
  <c r="BJ328" i="17" l="1"/>
  <c r="O329" i="17"/>
  <c r="P329" i="17" s="1"/>
  <c r="H329" i="17"/>
  <c r="F330" i="17"/>
  <c r="R328" i="17"/>
  <c r="C331" i="17"/>
  <c r="G331" i="17" s="1"/>
  <c r="AW330" i="17"/>
  <c r="B330" i="17"/>
  <c r="AP329" i="17"/>
  <c r="AL329" i="17"/>
  <c r="AH329" i="17"/>
  <c r="AS329" i="17"/>
  <c r="AO329" i="17"/>
  <c r="AK329" i="17"/>
  <c r="AR329" i="17"/>
  <c r="AN329" i="17"/>
  <c r="AJ329" i="17"/>
  <c r="AQ329" i="17"/>
  <c r="AM329" i="17"/>
  <c r="AI329" i="17"/>
  <c r="BJ329" i="17" l="1"/>
  <c r="O330" i="17"/>
  <c r="BJ330" i="17" s="1"/>
  <c r="H330" i="17"/>
  <c r="F331" i="17"/>
  <c r="R329" i="17"/>
  <c r="AS330" i="17"/>
  <c r="AO330" i="17"/>
  <c r="AK330" i="17"/>
  <c r="AR330" i="17"/>
  <c r="AN330" i="17"/>
  <c r="AJ330" i="17"/>
  <c r="AQ330" i="17"/>
  <c r="AM330" i="17"/>
  <c r="AI330" i="17"/>
  <c r="AP330" i="17"/>
  <c r="AL330" i="17"/>
  <c r="AH330" i="17"/>
  <c r="B331" i="17"/>
  <c r="C332" i="17"/>
  <c r="G332" i="17" s="1"/>
  <c r="AW331" i="17"/>
  <c r="P330" i="17" l="1"/>
  <c r="O331" i="17"/>
  <c r="P331" i="17" s="1"/>
  <c r="H331" i="17"/>
  <c r="F332" i="17"/>
  <c r="R330" i="17"/>
  <c r="B332" i="17"/>
  <c r="C333" i="17"/>
  <c r="G333" i="17" s="1"/>
  <c r="AW332" i="17"/>
  <c r="AR331" i="17"/>
  <c r="AN331" i="17"/>
  <c r="AJ331" i="17"/>
  <c r="AQ331" i="17"/>
  <c r="AM331" i="17"/>
  <c r="AI331" i="17"/>
  <c r="AP331" i="17"/>
  <c r="AL331" i="17"/>
  <c r="AH331" i="17"/>
  <c r="AS331" i="17"/>
  <c r="AO331" i="17"/>
  <c r="AK331" i="17"/>
  <c r="BJ331" i="17" l="1"/>
  <c r="O332" i="17"/>
  <c r="P332" i="17" s="1"/>
  <c r="H332" i="17"/>
  <c r="F333" i="17"/>
  <c r="R331" i="17"/>
  <c r="AQ332" i="17"/>
  <c r="AM332" i="17"/>
  <c r="AI332" i="17"/>
  <c r="AP332" i="17"/>
  <c r="AL332" i="17"/>
  <c r="AH332" i="17"/>
  <c r="AS332" i="17"/>
  <c r="AO332" i="17"/>
  <c r="AK332" i="17"/>
  <c r="AN332" i="17"/>
  <c r="AJ332" i="17"/>
  <c r="AR332" i="17"/>
  <c r="C334" i="17"/>
  <c r="G334" i="17" s="1"/>
  <c r="AW333" i="17"/>
  <c r="B333" i="17"/>
  <c r="BJ332" i="17" l="1"/>
  <c r="O333" i="17"/>
  <c r="BJ333" i="17" s="1"/>
  <c r="H333" i="17"/>
  <c r="F334" i="17"/>
  <c r="R332" i="17"/>
  <c r="AP333" i="17"/>
  <c r="AL333" i="17"/>
  <c r="AH333" i="17"/>
  <c r="AS333" i="17"/>
  <c r="AO333" i="17"/>
  <c r="AK333" i="17"/>
  <c r="AR333" i="17"/>
  <c r="AN333" i="17"/>
  <c r="AJ333" i="17"/>
  <c r="AM333" i="17"/>
  <c r="AI333" i="17"/>
  <c r="AQ333" i="17"/>
  <c r="C335" i="17"/>
  <c r="G335" i="17" s="1"/>
  <c r="AW334" i="17"/>
  <c r="B334" i="17"/>
  <c r="P333" i="17" l="1"/>
  <c r="O334" i="17"/>
  <c r="H334" i="17"/>
  <c r="P334" i="17"/>
  <c r="BJ334" i="17"/>
  <c r="F335" i="17"/>
  <c r="R333" i="17"/>
  <c r="AS334" i="17"/>
  <c r="AO334" i="17"/>
  <c r="AK334" i="17"/>
  <c r="AR334" i="17"/>
  <c r="AN334" i="17"/>
  <c r="AJ334" i="17"/>
  <c r="AQ334" i="17"/>
  <c r="AM334" i="17"/>
  <c r="AI334" i="17"/>
  <c r="AL334" i="17"/>
  <c r="AH334" i="17"/>
  <c r="AP334" i="17"/>
  <c r="B335" i="17"/>
  <c r="AW335" i="17"/>
  <c r="C336" i="17"/>
  <c r="G336" i="17" s="1"/>
  <c r="O335" i="17" l="1"/>
  <c r="P335" i="17" s="1"/>
  <c r="H335" i="17"/>
  <c r="BJ335" i="17"/>
  <c r="F336" i="17"/>
  <c r="R334" i="17"/>
  <c r="B336" i="17"/>
  <c r="C337" i="17"/>
  <c r="G337" i="17" s="1"/>
  <c r="AW336" i="17"/>
  <c r="AR335" i="17"/>
  <c r="AN335" i="17"/>
  <c r="AJ335" i="17"/>
  <c r="AQ335" i="17"/>
  <c r="AM335" i="17"/>
  <c r="AI335" i="17"/>
  <c r="AP335" i="17"/>
  <c r="AL335" i="17"/>
  <c r="AH335" i="17"/>
  <c r="AO335" i="17"/>
  <c r="AK335" i="17"/>
  <c r="AS335" i="17"/>
  <c r="O336" i="17" l="1"/>
  <c r="H336" i="17"/>
  <c r="P336" i="17"/>
  <c r="BJ336" i="17"/>
  <c r="F337" i="17"/>
  <c r="R335" i="17"/>
  <c r="C338" i="17"/>
  <c r="G338" i="17" s="1"/>
  <c r="AW337" i="17"/>
  <c r="B337" i="17"/>
  <c r="AQ336" i="17"/>
  <c r="AM336" i="17"/>
  <c r="AI336" i="17"/>
  <c r="AP336" i="17"/>
  <c r="AL336" i="17"/>
  <c r="AH336" i="17"/>
  <c r="AS336" i="17"/>
  <c r="AO336" i="17"/>
  <c r="AK336" i="17"/>
  <c r="AJ336" i="17"/>
  <c r="AR336" i="17"/>
  <c r="AN336" i="17"/>
  <c r="O337" i="17" l="1"/>
  <c r="H337" i="17"/>
  <c r="P337" i="17"/>
  <c r="BJ337" i="17"/>
  <c r="F338" i="17"/>
  <c r="R336" i="17"/>
  <c r="C339" i="17"/>
  <c r="G339" i="17" s="1"/>
  <c r="AW338" i="17"/>
  <c r="B338" i="17"/>
  <c r="AP337" i="17"/>
  <c r="AL337" i="17"/>
  <c r="AH337" i="17"/>
  <c r="AS337" i="17"/>
  <c r="AO337" i="17"/>
  <c r="AK337" i="17"/>
  <c r="AR337" i="17"/>
  <c r="AN337" i="17"/>
  <c r="AJ337" i="17"/>
  <c r="AI337" i="17"/>
  <c r="AQ337" i="17"/>
  <c r="AM337" i="17"/>
  <c r="O338" i="17" l="1"/>
  <c r="P338" i="17" s="1"/>
  <c r="H338" i="17"/>
  <c r="F339" i="17"/>
  <c r="R337" i="17"/>
  <c r="AS338" i="17"/>
  <c r="AO338" i="17"/>
  <c r="AK338" i="17"/>
  <c r="AR338" i="17"/>
  <c r="AN338" i="17"/>
  <c r="AJ338" i="17"/>
  <c r="AQ338" i="17"/>
  <c r="AM338" i="17"/>
  <c r="AI338" i="17"/>
  <c r="AH338" i="17"/>
  <c r="AP338" i="17"/>
  <c r="AL338" i="17"/>
  <c r="B339" i="17"/>
  <c r="AW339" i="17"/>
  <c r="C340" i="17"/>
  <c r="G340" i="17" s="1"/>
  <c r="BJ338" i="17" l="1"/>
  <c r="O339" i="17"/>
  <c r="P339" i="17" s="1"/>
  <c r="H339" i="17"/>
  <c r="F340" i="17"/>
  <c r="R338" i="17"/>
  <c r="AR339" i="17"/>
  <c r="AN339" i="17"/>
  <c r="AJ339" i="17"/>
  <c r="AQ339" i="17"/>
  <c r="AM339" i="17"/>
  <c r="AI339" i="17"/>
  <c r="AP339" i="17"/>
  <c r="AL339" i="17"/>
  <c r="AH339" i="17"/>
  <c r="AK339" i="17"/>
  <c r="AS339" i="17"/>
  <c r="AO339" i="17"/>
  <c r="B340" i="17"/>
  <c r="C341" i="17"/>
  <c r="G341" i="17" s="1"/>
  <c r="AW340" i="17"/>
  <c r="BJ339" i="17" l="1"/>
  <c r="O340" i="17"/>
  <c r="BJ340" i="17" s="1"/>
  <c r="H340" i="17"/>
  <c r="F341" i="17"/>
  <c r="R339" i="17"/>
  <c r="AQ340" i="17"/>
  <c r="AM340" i="17"/>
  <c r="AI340" i="17"/>
  <c r="AP340" i="17"/>
  <c r="AL340" i="17"/>
  <c r="AH340" i="17"/>
  <c r="AS340" i="17"/>
  <c r="AO340" i="17"/>
  <c r="AK340" i="17"/>
  <c r="AR340" i="17"/>
  <c r="AN340" i="17"/>
  <c r="AJ340" i="17"/>
  <c r="C342" i="17"/>
  <c r="G342" i="17" s="1"/>
  <c r="AW341" i="17"/>
  <c r="B341" i="17"/>
  <c r="P340" i="17" l="1"/>
  <c r="R340" i="17" s="1"/>
  <c r="O341" i="17"/>
  <c r="BJ341" i="17" s="1"/>
  <c r="H341" i="17"/>
  <c r="F342" i="17"/>
  <c r="AP341" i="17"/>
  <c r="AL341" i="17"/>
  <c r="AH341" i="17"/>
  <c r="AS341" i="17"/>
  <c r="AO341" i="17"/>
  <c r="AK341" i="17"/>
  <c r="AR341" i="17"/>
  <c r="AN341" i="17"/>
  <c r="AJ341" i="17"/>
  <c r="AQ341" i="17"/>
  <c r="AM341" i="17"/>
  <c r="AI341" i="17"/>
  <c r="C343" i="17"/>
  <c r="G343" i="17" s="1"/>
  <c r="AW342" i="17"/>
  <c r="B342" i="17"/>
  <c r="P341" i="17" l="1"/>
  <c r="O342" i="17"/>
  <c r="BJ342" i="17" s="1"/>
  <c r="H342" i="17"/>
  <c r="F343" i="17"/>
  <c r="R341" i="17"/>
  <c r="AS342" i="17"/>
  <c r="AO342" i="17"/>
  <c r="AK342" i="17"/>
  <c r="AR342" i="17"/>
  <c r="AN342" i="17"/>
  <c r="AJ342" i="17"/>
  <c r="AQ342" i="17"/>
  <c r="AM342" i="17"/>
  <c r="AI342" i="17"/>
  <c r="AP342" i="17"/>
  <c r="AL342" i="17"/>
  <c r="AH342" i="17"/>
  <c r="B343" i="17"/>
  <c r="AW343" i="17"/>
  <c r="C344" i="17"/>
  <c r="G344" i="17" s="1"/>
  <c r="P342" i="17" l="1"/>
  <c r="O343" i="17"/>
  <c r="BJ343" i="17" s="1"/>
  <c r="H343" i="17"/>
  <c r="F344" i="17"/>
  <c r="R342" i="17"/>
  <c r="AR343" i="17"/>
  <c r="AN343" i="17"/>
  <c r="AJ343" i="17"/>
  <c r="AQ343" i="17"/>
  <c r="AM343" i="17"/>
  <c r="AI343" i="17"/>
  <c r="AP343" i="17"/>
  <c r="AL343" i="17"/>
  <c r="AH343" i="17"/>
  <c r="AS343" i="17"/>
  <c r="AO343" i="17"/>
  <c r="AK343" i="17"/>
  <c r="B344" i="17"/>
  <c r="C345" i="17"/>
  <c r="G345" i="17" s="1"/>
  <c r="AW344" i="17"/>
  <c r="P343" i="17" l="1"/>
  <c r="O344" i="17"/>
  <c r="P344" i="17" s="1"/>
  <c r="H344" i="17"/>
  <c r="F345" i="17"/>
  <c r="R343" i="17"/>
  <c r="C346" i="17"/>
  <c r="G346" i="17" s="1"/>
  <c r="AW345" i="17"/>
  <c r="B345" i="17"/>
  <c r="AQ344" i="17"/>
  <c r="AM344" i="17"/>
  <c r="AI344" i="17"/>
  <c r="AP344" i="17"/>
  <c r="AL344" i="17"/>
  <c r="AH344" i="17"/>
  <c r="AS344" i="17"/>
  <c r="AO344" i="17"/>
  <c r="AK344" i="17"/>
  <c r="AR344" i="17"/>
  <c r="AN344" i="17"/>
  <c r="AJ344" i="17"/>
  <c r="BJ344" i="17" l="1"/>
  <c r="O345" i="17"/>
  <c r="BJ345" i="17" s="1"/>
  <c r="H345" i="17"/>
  <c r="F346" i="17"/>
  <c r="R344" i="17"/>
  <c r="AP345" i="17"/>
  <c r="AL345" i="17"/>
  <c r="AH345" i="17"/>
  <c r="AS345" i="17"/>
  <c r="AO345" i="17"/>
  <c r="AK345" i="17"/>
  <c r="AR345" i="17"/>
  <c r="AN345" i="17"/>
  <c r="AJ345" i="17"/>
  <c r="AQ345" i="17"/>
  <c r="AM345" i="17"/>
  <c r="AI345" i="17"/>
  <c r="C347" i="17"/>
  <c r="G347" i="17" s="1"/>
  <c r="AW346" i="17"/>
  <c r="B346" i="17"/>
  <c r="P345" i="17" l="1"/>
  <c r="O346" i="17"/>
  <c r="BJ346" i="17" s="1"/>
  <c r="H346" i="17"/>
  <c r="F347" i="17"/>
  <c r="R345" i="17"/>
  <c r="AS346" i="17"/>
  <c r="AO346" i="17"/>
  <c r="AK346" i="17"/>
  <c r="AR346" i="17"/>
  <c r="AN346" i="17"/>
  <c r="AJ346" i="17"/>
  <c r="AQ346" i="17"/>
  <c r="AM346" i="17"/>
  <c r="AI346" i="17"/>
  <c r="AP346" i="17"/>
  <c r="AL346" i="17"/>
  <c r="AH346" i="17"/>
  <c r="B347" i="17"/>
  <c r="C348" i="17"/>
  <c r="G348" i="17" s="1"/>
  <c r="AW347" i="17"/>
  <c r="P346" i="17" l="1"/>
  <c r="O347" i="17"/>
  <c r="BJ347" i="17" s="1"/>
  <c r="H347" i="17"/>
  <c r="F348" i="17"/>
  <c r="R346" i="17"/>
  <c r="AR347" i="17"/>
  <c r="AN347" i="17"/>
  <c r="AJ347" i="17"/>
  <c r="AQ347" i="17"/>
  <c r="AM347" i="17"/>
  <c r="AI347" i="17"/>
  <c r="AP347" i="17"/>
  <c r="AL347" i="17"/>
  <c r="AH347" i="17"/>
  <c r="AS347" i="17"/>
  <c r="AO347" i="17"/>
  <c r="AK347" i="17"/>
  <c r="B348" i="17"/>
  <c r="C349" i="17"/>
  <c r="G349" i="17" s="1"/>
  <c r="AW348" i="17"/>
  <c r="P347" i="17" l="1"/>
  <c r="O348" i="17"/>
  <c r="BJ348" i="17" s="1"/>
  <c r="H348" i="17"/>
  <c r="F349" i="17"/>
  <c r="R347" i="17"/>
  <c r="AQ348" i="17"/>
  <c r="AM348" i="17"/>
  <c r="AI348" i="17"/>
  <c r="AP348" i="17"/>
  <c r="AL348" i="17"/>
  <c r="AH348" i="17"/>
  <c r="AS348" i="17"/>
  <c r="AO348" i="17"/>
  <c r="AK348" i="17"/>
  <c r="AN348" i="17"/>
  <c r="AJ348" i="17"/>
  <c r="AR348" i="17"/>
  <c r="C350" i="17"/>
  <c r="G350" i="17" s="1"/>
  <c r="AW349" i="17"/>
  <c r="B349" i="17"/>
  <c r="P348" i="17" l="1"/>
  <c r="O349" i="17"/>
  <c r="BJ349" i="17" s="1"/>
  <c r="H349" i="17"/>
  <c r="F350" i="17"/>
  <c r="R348" i="17"/>
  <c r="AP349" i="17"/>
  <c r="AL349" i="17"/>
  <c r="AH349" i="17"/>
  <c r="AS349" i="17"/>
  <c r="AO349" i="17"/>
  <c r="AK349" i="17"/>
  <c r="AR349" i="17"/>
  <c r="AN349" i="17"/>
  <c r="AJ349" i="17"/>
  <c r="AM349" i="17"/>
  <c r="AI349" i="17"/>
  <c r="AQ349" i="17"/>
  <c r="C351" i="17"/>
  <c r="G351" i="17" s="1"/>
  <c r="AW350" i="17"/>
  <c r="B350" i="17"/>
  <c r="P349" i="17" l="1"/>
  <c r="O350" i="17"/>
  <c r="BJ350" i="17" s="1"/>
  <c r="H350" i="17"/>
  <c r="F351" i="17"/>
  <c r="R349" i="17"/>
  <c r="AS350" i="17"/>
  <c r="AO350" i="17"/>
  <c r="AK350" i="17"/>
  <c r="AR350" i="17"/>
  <c r="AN350" i="17"/>
  <c r="AJ350" i="17"/>
  <c r="AQ350" i="17"/>
  <c r="AM350" i="17"/>
  <c r="AI350" i="17"/>
  <c r="AL350" i="17"/>
  <c r="AH350" i="17"/>
  <c r="AP350" i="17"/>
  <c r="B351" i="17"/>
  <c r="AW351" i="17"/>
  <c r="C352" i="17"/>
  <c r="G352" i="17" s="1"/>
  <c r="P350" i="17" l="1"/>
  <c r="O351" i="17"/>
  <c r="BJ351" i="17" s="1"/>
  <c r="H351" i="17"/>
  <c r="F352" i="17"/>
  <c r="R350" i="17"/>
  <c r="AR351" i="17"/>
  <c r="AN351" i="17"/>
  <c r="AJ351" i="17"/>
  <c r="AQ351" i="17"/>
  <c r="AM351" i="17"/>
  <c r="AI351" i="17"/>
  <c r="AP351" i="17"/>
  <c r="AL351" i="17"/>
  <c r="AH351" i="17"/>
  <c r="AO351" i="17"/>
  <c r="AK351" i="17"/>
  <c r="AS351" i="17"/>
  <c r="B352" i="17"/>
  <c r="C353" i="17"/>
  <c r="G353" i="17" s="1"/>
  <c r="AW352" i="17"/>
  <c r="P351" i="17" l="1"/>
  <c r="O352" i="17"/>
  <c r="BJ352" i="17" s="1"/>
  <c r="H352" i="17"/>
  <c r="F353" i="17"/>
  <c r="R351" i="17"/>
  <c r="AQ352" i="17"/>
  <c r="AM352" i="17"/>
  <c r="AI352" i="17"/>
  <c r="AP352" i="17"/>
  <c r="AL352" i="17"/>
  <c r="AH352" i="17"/>
  <c r="AS352" i="17"/>
  <c r="AO352" i="17"/>
  <c r="AK352" i="17"/>
  <c r="AJ352" i="17"/>
  <c r="AR352" i="17"/>
  <c r="AN352" i="17"/>
  <c r="C354" i="17"/>
  <c r="G354" i="17" s="1"/>
  <c r="AW353" i="17"/>
  <c r="B353" i="17"/>
  <c r="P352" i="17" l="1"/>
  <c r="O353" i="17"/>
  <c r="P353" i="17" s="1"/>
  <c r="H353" i="17"/>
  <c r="F354" i="17"/>
  <c r="R352" i="17"/>
  <c r="AP353" i="17"/>
  <c r="AL353" i="17"/>
  <c r="AH353" i="17"/>
  <c r="AS353" i="17"/>
  <c r="AO353" i="17"/>
  <c r="AK353" i="17"/>
  <c r="AR353" i="17"/>
  <c r="AN353" i="17"/>
  <c r="AJ353" i="17"/>
  <c r="AI353" i="17"/>
  <c r="AQ353" i="17"/>
  <c r="AM353" i="17"/>
  <c r="C355" i="17"/>
  <c r="G355" i="17" s="1"/>
  <c r="AW354" i="17"/>
  <c r="B354" i="17"/>
  <c r="BJ353" i="17" l="1"/>
  <c r="O354" i="17"/>
  <c r="BJ354" i="17" s="1"/>
  <c r="H354" i="17"/>
  <c r="F355" i="17"/>
  <c r="R353" i="17"/>
  <c r="AS354" i="17"/>
  <c r="AO354" i="17"/>
  <c r="AK354" i="17"/>
  <c r="AR354" i="17"/>
  <c r="AN354" i="17"/>
  <c r="AJ354" i="17"/>
  <c r="AQ354" i="17"/>
  <c r="AM354" i="17"/>
  <c r="AI354" i="17"/>
  <c r="AH354" i="17"/>
  <c r="AP354" i="17"/>
  <c r="AL354" i="17"/>
  <c r="B355" i="17"/>
  <c r="AW355" i="17"/>
  <c r="C356" i="17"/>
  <c r="G356" i="17" s="1"/>
  <c r="P354" i="17" l="1"/>
  <c r="R354" i="17" s="1"/>
  <c r="O355" i="17"/>
  <c r="BJ355" i="17" s="1"/>
  <c r="H355" i="17"/>
  <c r="F356" i="17"/>
  <c r="AR355" i="17"/>
  <c r="AN355" i="17"/>
  <c r="AJ355" i="17"/>
  <c r="AQ355" i="17"/>
  <c r="AM355" i="17"/>
  <c r="AI355" i="17"/>
  <c r="AP355" i="17"/>
  <c r="AL355" i="17"/>
  <c r="AH355" i="17"/>
  <c r="AK355" i="17"/>
  <c r="AS355" i="17"/>
  <c r="AO355" i="17"/>
  <c r="B356" i="17"/>
  <c r="C357" i="17"/>
  <c r="G357" i="17" s="1"/>
  <c r="AW356" i="17"/>
  <c r="P355" i="17" l="1"/>
  <c r="O356" i="17"/>
  <c r="BJ356" i="17" s="1"/>
  <c r="H356" i="17"/>
  <c r="F357" i="17"/>
  <c r="R355" i="17"/>
  <c r="AQ356" i="17"/>
  <c r="AM356" i="17"/>
  <c r="AI356" i="17"/>
  <c r="AP356" i="17"/>
  <c r="AL356" i="17"/>
  <c r="AH356" i="17"/>
  <c r="AS356" i="17"/>
  <c r="AO356" i="17"/>
  <c r="AK356" i="17"/>
  <c r="AR356" i="17"/>
  <c r="AN356" i="17"/>
  <c r="AJ356" i="17"/>
  <c r="C358" i="17"/>
  <c r="G358" i="17" s="1"/>
  <c r="AW357" i="17"/>
  <c r="B357" i="17"/>
  <c r="P356" i="17" l="1"/>
  <c r="O357" i="17"/>
  <c r="BJ357" i="17" s="1"/>
  <c r="H357" i="17"/>
  <c r="F358" i="17"/>
  <c r="R356" i="17"/>
  <c r="AP357" i="17"/>
  <c r="AL357" i="17"/>
  <c r="AH357" i="17"/>
  <c r="AS357" i="17"/>
  <c r="AO357" i="17"/>
  <c r="AK357" i="17"/>
  <c r="AR357" i="17"/>
  <c r="AN357" i="17"/>
  <c r="AJ357" i="17"/>
  <c r="AQ357" i="17"/>
  <c r="AM357" i="17"/>
  <c r="AI357" i="17"/>
  <c r="C359" i="17"/>
  <c r="G359" i="17" s="1"/>
  <c r="AW358" i="17"/>
  <c r="B358" i="17"/>
  <c r="P357" i="17" l="1"/>
  <c r="O358" i="17"/>
  <c r="BJ358" i="17" s="1"/>
  <c r="H358" i="17"/>
  <c r="F359" i="17"/>
  <c r="R357" i="17"/>
  <c r="AS358" i="17"/>
  <c r="AO358" i="17"/>
  <c r="AK358" i="17"/>
  <c r="AR358" i="17"/>
  <c r="AN358" i="17"/>
  <c r="AJ358" i="17"/>
  <c r="AQ358" i="17"/>
  <c r="AM358" i="17"/>
  <c r="AI358" i="17"/>
  <c r="AP358" i="17"/>
  <c r="AL358" i="17"/>
  <c r="AH358" i="17"/>
  <c r="B359" i="17"/>
  <c r="AW359" i="17"/>
  <c r="C360" i="17"/>
  <c r="G360" i="17" s="1"/>
  <c r="P358" i="17" l="1"/>
  <c r="O359" i="17"/>
  <c r="BJ359" i="17" s="1"/>
  <c r="H359" i="17"/>
  <c r="F360" i="17"/>
  <c r="R358" i="17"/>
  <c r="AR359" i="17"/>
  <c r="AN359" i="17"/>
  <c r="AJ359" i="17"/>
  <c r="AQ359" i="17"/>
  <c r="AM359" i="17"/>
  <c r="AI359" i="17"/>
  <c r="AP359" i="17"/>
  <c r="AL359" i="17"/>
  <c r="AH359" i="17"/>
  <c r="AS359" i="17"/>
  <c r="AO359" i="17"/>
  <c r="AK359" i="17"/>
  <c r="B360" i="17"/>
  <c r="C361" i="17"/>
  <c r="G361" i="17" s="1"/>
  <c r="AW360" i="17"/>
  <c r="P359" i="17" l="1"/>
  <c r="O360" i="17"/>
  <c r="BJ360" i="17" s="1"/>
  <c r="H360" i="17"/>
  <c r="F361" i="17"/>
  <c r="R359" i="17"/>
  <c r="C362" i="17"/>
  <c r="G362" i="17" s="1"/>
  <c r="AW361" i="17"/>
  <c r="B361" i="17"/>
  <c r="AQ360" i="17"/>
  <c r="AM360" i="17"/>
  <c r="AI360" i="17"/>
  <c r="AP360" i="17"/>
  <c r="AL360" i="17"/>
  <c r="AH360" i="17"/>
  <c r="AS360" i="17"/>
  <c r="AO360" i="17"/>
  <c r="AK360" i="17"/>
  <c r="AR360" i="17"/>
  <c r="AN360" i="17"/>
  <c r="AJ360" i="17"/>
  <c r="P360" i="17" l="1"/>
  <c r="O361" i="17"/>
  <c r="BJ361" i="17" s="1"/>
  <c r="H361" i="17"/>
  <c r="F362" i="17"/>
  <c r="R360" i="17"/>
  <c r="AP361" i="17"/>
  <c r="AL361" i="17"/>
  <c r="AH361" i="17"/>
  <c r="AS361" i="17"/>
  <c r="AO361" i="17"/>
  <c r="AK361" i="17"/>
  <c r="AR361" i="17"/>
  <c r="AN361" i="17"/>
  <c r="AJ361" i="17"/>
  <c r="AQ361" i="17"/>
  <c r="AM361" i="17"/>
  <c r="AI361" i="17"/>
  <c r="C363" i="17"/>
  <c r="G363" i="17" s="1"/>
  <c r="AW362" i="17"/>
  <c r="B362" i="17"/>
  <c r="P361" i="17" l="1"/>
  <c r="R361" i="17" s="1"/>
  <c r="O362" i="17"/>
  <c r="BJ362" i="17" s="1"/>
  <c r="H362" i="17"/>
  <c r="AG362" i="17"/>
  <c r="F363" i="17"/>
  <c r="AS362" i="17"/>
  <c r="AO362" i="17"/>
  <c r="AK362" i="17"/>
  <c r="AR362" i="17"/>
  <c r="AN362" i="17"/>
  <c r="AJ362" i="17"/>
  <c r="AQ362" i="17"/>
  <c r="AM362" i="17"/>
  <c r="AI362" i="17"/>
  <c r="AP362" i="17"/>
  <c r="AL362" i="17"/>
  <c r="AH362" i="17"/>
  <c r="B363" i="17"/>
  <c r="C364" i="17"/>
  <c r="G364" i="17" s="1"/>
  <c r="AW363" i="17"/>
  <c r="P362" i="17" l="1"/>
  <c r="O363" i="17"/>
  <c r="BJ363" i="17" s="1"/>
  <c r="H363" i="17"/>
  <c r="F364" i="17"/>
  <c r="R362" i="17"/>
  <c r="B364" i="17"/>
  <c r="C365" i="17"/>
  <c r="G365" i="17" s="1"/>
  <c r="AW364" i="17"/>
  <c r="AR363" i="17"/>
  <c r="AN363" i="17"/>
  <c r="AJ363" i="17"/>
  <c r="AQ363" i="17"/>
  <c r="AM363" i="17"/>
  <c r="AI363" i="17"/>
  <c r="AP363" i="17"/>
  <c r="AL363" i="17"/>
  <c r="AH363" i="17"/>
  <c r="AS363" i="17"/>
  <c r="AO363" i="17"/>
  <c r="AK363" i="17"/>
  <c r="P363" i="17" l="1"/>
  <c r="O364" i="17"/>
  <c r="BJ364" i="17" s="1"/>
  <c r="H364" i="17"/>
  <c r="F365" i="17"/>
  <c r="R363" i="17"/>
  <c r="AQ364" i="17"/>
  <c r="AM364" i="17"/>
  <c r="AI364" i="17"/>
  <c r="AP364" i="17"/>
  <c r="AL364" i="17"/>
  <c r="AH364" i="17"/>
  <c r="AS364" i="17"/>
  <c r="AO364" i="17"/>
  <c r="AK364" i="17"/>
  <c r="AN364" i="17"/>
  <c r="AJ364" i="17"/>
  <c r="AR364" i="17"/>
  <c r="C366" i="17"/>
  <c r="G366" i="17" s="1"/>
  <c r="AW365" i="17"/>
  <c r="B365" i="17"/>
  <c r="P364" i="17" l="1"/>
  <c r="O365" i="17"/>
  <c r="BJ365" i="17" s="1"/>
  <c r="H365" i="17"/>
  <c r="F366" i="17"/>
  <c r="R364" i="17"/>
  <c r="AP365" i="17"/>
  <c r="AL365" i="17"/>
  <c r="AH365" i="17"/>
  <c r="AS365" i="17"/>
  <c r="AO365" i="17"/>
  <c r="AK365" i="17"/>
  <c r="AR365" i="17"/>
  <c r="AN365" i="17"/>
  <c r="AJ365" i="17"/>
  <c r="AM365" i="17"/>
  <c r="AI365" i="17"/>
  <c r="AQ365" i="17"/>
  <c r="C367" i="17"/>
  <c r="G367" i="17" s="1"/>
  <c r="AW366" i="17"/>
  <c r="B366" i="17"/>
  <c r="P365" i="17" l="1"/>
  <c r="O366" i="17"/>
  <c r="BJ366" i="17" s="1"/>
  <c r="H366" i="17"/>
  <c r="F367" i="17"/>
  <c r="R365" i="17"/>
  <c r="AS366" i="17"/>
  <c r="AO366" i="17"/>
  <c r="AK366" i="17"/>
  <c r="AR366" i="17"/>
  <c r="AN366" i="17"/>
  <c r="AJ366" i="17"/>
  <c r="AQ366" i="17"/>
  <c r="AM366" i="17"/>
  <c r="AI366" i="17"/>
  <c r="AL366" i="17"/>
  <c r="AH366" i="17"/>
  <c r="AP366" i="17"/>
  <c r="B367" i="17"/>
  <c r="AW367" i="17"/>
  <c r="C368" i="17"/>
  <c r="G368" i="17" s="1"/>
  <c r="P366" i="17" l="1"/>
  <c r="O367" i="17"/>
  <c r="BJ367" i="17" s="1"/>
  <c r="H367" i="17"/>
  <c r="F368" i="17"/>
  <c r="R366" i="17"/>
  <c r="AR367" i="17"/>
  <c r="AN367" i="17"/>
  <c r="AJ367" i="17"/>
  <c r="AQ367" i="17"/>
  <c r="AM367" i="17"/>
  <c r="AI367" i="17"/>
  <c r="AP367" i="17"/>
  <c r="AL367" i="17"/>
  <c r="AH367" i="17"/>
  <c r="AO367" i="17"/>
  <c r="AK367" i="17"/>
  <c r="AS367" i="17"/>
  <c r="B368" i="17"/>
  <c r="C369" i="17"/>
  <c r="G369" i="17" s="1"/>
  <c r="AW368" i="17"/>
  <c r="P367" i="17" l="1"/>
  <c r="O368" i="17"/>
  <c r="BJ368" i="17" s="1"/>
  <c r="H368" i="17"/>
  <c r="F369" i="17"/>
  <c r="R367" i="17"/>
  <c r="C370" i="17"/>
  <c r="G370" i="17" s="1"/>
  <c r="AW369" i="17"/>
  <c r="B369" i="17"/>
  <c r="AQ368" i="17"/>
  <c r="AM368" i="17"/>
  <c r="AI368" i="17"/>
  <c r="AP368" i="17"/>
  <c r="AL368" i="17"/>
  <c r="AH368" i="17"/>
  <c r="AS368" i="17"/>
  <c r="AO368" i="17"/>
  <c r="AK368" i="17"/>
  <c r="AJ368" i="17"/>
  <c r="AR368" i="17"/>
  <c r="AN368" i="17"/>
  <c r="P368" i="17" l="1"/>
  <c r="O369" i="17"/>
  <c r="BJ369" i="17" s="1"/>
  <c r="H369" i="17"/>
  <c r="F370" i="17"/>
  <c r="R368" i="17"/>
  <c r="AP369" i="17"/>
  <c r="AL369" i="17"/>
  <c r="AH369" i="17"/>
  <c r="AS369" i="17"/>
  <c r="AO369" i="17"/>
  <c r="AK369" i="17"/>
  <c r="AR369" i="17"/>
  <c r="AN369" i="17"/>
  <c r="AJ369" i="17"/>
  <c r="AI369" i="17"/>
  <c r="AQ369" i="17"/>
  <c r="AM369" i="17"/>
  <c r="C371" i="17"/>
  <c r="G371" i="17" s="1"/>
  <c r="AW370" i="17"/>
  <c r="B370" i="17"/>
  <c r="P369" i="17" l="1"/>
  <c r="O370" i="17"/>
  <c r="BJ370" i="17" s="1"/>
  <c r="H370" i="17"/>
  <c r="F371" i="17"/>
  <c r="R369" i="17"/>
  <c r="AS370" i="17"/>
  <c r="AO370" i="17"/>
  <c r="AK370" i="17"/>
  <c r="AR370" i="17"/>
  <c r="AN370" i="17"/>
  <c r="AJ370" i="17"/>
  <c r="AQ370" i="17"/>
  <c r="AM370" i="17"/>
  <c r="AI370" i="17"/>
  <c r="AH370" i="17"/>
  <c r="AP370" i="17"/>
  <c r="AL370" i="17"/>
  <c r="B371" i="17"/>
  <c r="AW371" i="17"/>
  <c r="C372" i="17"/>
  <c r="G372" i="17" s="1"/>
  <c r="P370" i="17" l="1"/>
  <c r="O371" i="17"/>
  <c r="BJ371" i="17" s="1"/>
  <c r="H371" i="17"/>
  <c r="F372" i="17"/>
  <c r="R370" i="17"/>
  <c r="AR371" i="17"/>
  <c r="AN371" i="17"/>
  <c r="AJ371" i="17"/>
  <c r="AQ371" i="17"/>
  <c r="AM371" i="17"/>
  <c r="AI371" i="17"/>
  <c r="AP371" i="17"/>
  <c r="AL371" i="17"/>
  <c r="AH371" i="17"/>
  <c r="AK371" i="17"/>
  <c r="AS371" i="17"/>
  <c r="AO371" i="17"/>
  <c r="B372" i="17"/>
  <c r="C373" i="17"/>
  <c r="G373" i="17" s="1"/>
  <c r="AW372" i="17"/>
  <c r="P371" i="17" l="1"/>
  <c r="O372" i="17"/>
  <c r="BJ372" i="17" s="1"/>
  <c r="H372" i="17"/>
  <c r="F373" i="17"/>
  <c r="R371" i="17"/>
  <c r="C374" i="17"/>
  <c r="G374" i="17" s="1"/>
  <c r="AW373" i="17"/>
  <c r="B373" i="17"/>
  <c r="AQ372" i="17"/>
  <c r="AM372" i="17"/>
  <c r="AI372" i="17"/>
  <c r="AP372" i="17"/>
  <c r="AL372" i="17"/>
  <c r="AH372" i="17"/>
  <c r="AS372" i="17"/>
  <c r="AO372" i="17"/>
  <c r="AK372" i="17"/>
  <c r="AR372" i="17"/>
  <c r="AN372" i="17"/>
  <c r="AJ372" i="17"/>
  <c r="P372" i="17" l="1"/>
  <c r="O373" i="17"/>
  <c r="BJ373" i="17" s="1"/>
  <c r="H373" i="17"/>
  <c r="F374" i="17"/>
  <c r="R372" i="17"/>
  <c r="AP373" i="17"/>
  <c r="AL373" i="17"/>
  <c r="AH373" i="17"/>
  <c r="AS373" i="17"/>
  <c r="AO373" i="17"/>
  <c r="AK373" i="17"/>
  <c r="AR373" i="17"/>
  <c r="AN373" i="17"/>
  <c r="AJ373" i="17"/>
  <c r="AQ373" i="17"/>
  <c r="AM373" i="17"/>
  <c r="AI373" i="17"/>
  <c r="C375" i="17"/>
  <c r="G375" i="17" s="1"/>
  <c r="AW374" i="17"/>
  <c r="B374" i="17"/>
  <c r="P373" i="17" l="1"/>
  <c r="R373" i="17" s="1"/>
  <c r="O374" i="17"/>
  <c r="BJ374" i="17" s="1"/>
  <c r="H374" i="17"/>
  <c r="F375" i="17"/>
  <c r="AS374" i="17"/>
  <c r="AO374" i="17"/>
  <c r="AK374" i="17"/>
  <c r="AR374" i="17"/>
  <c r="AN374" i="17"/>
  <c r="AJ374" i="17"/>
  <c r="AQ374" i="17"/>
  <c r="AM374" i="17"/>
  <c r="AI374" i="17"/>
  <c r="AP374" i="17"/>
  <c r="AL374" i="17"/>
  <c r="AH374" i="17"/>
  <c r="B375" i="17"/>
  <c r="AW375" i="17"/>
  <c r="C376" i="17"/>
  <c r="G376" i="17" s="1"/>
  <c r="P374" i="17" l="1"/>
  <c r="O375" i="17"/>
  <c r="BJ375" i="17" s="1"/>
  <c r="H375" i="17"/>
  <c r="F376" i="17"/>
  <c r="R374" i="17"/>
  <c r="AR375" i="17"/>
  <c r="AN375" i="17"/>
  <c r="AJ375" i="17"/>
  <c r="AQ375" i="17"/>
  <c r="AM375" i="17"/>
  <c r="AI375" i="17"/>
  <c r="AP375" i="17"/>
  <c r="AL375" i="17"/>
  <c r="AH375" i="17"/>
  <c r="AO375" i="17"/>
  <c r="AS375" i="17"/>
  <c r="AK375" i="17"/>
  <c r="B376" i="17"/>
  <c r="C377" i="17"/>
  <c r="G377" i="17" s="1"/>
  <c r="AW376" i="17"/>
  <c r="P375" i="17" l="1"/>
  <c r="O376" i="17"/>
  <c r="BJ376" i="17" s="1"/>
  <c r="H376" i="17"/>
  <c r="F377" i="17"/>
  <c r="R375" i="17"/>
  <c r="C378" i="17"/>
  <c r="G378" i="17" s="1"/>
  <c r="AW377" i="17"/>
  <c r="B377" i="17"/>
  <c r="AQ376" i="17"/>
  <c r="AM376" i="17"/>
  <c r="AI376" i="17"/>
  <c r="AP376" i="17"/>
  <c r="AL376" i="17"/>
  <c r="AH376" i="17"/>
  <c r="AS376" i="17"/>
  <c r="AO376" i="17"/>
  <c r="AK376" i="17"/>
  <c r="AJ376" i="17"/>
  <c r="AN376" i="17"/>
  <c r="AR376" i="17"/>
  <c r="P376" i="17" l="1"/>
  <c r="R376" i="17" s="1"/>
  <c r="O377" i="17"/>
  <c r="BJ377" i="17" s="1"/>
  <c r="H377" i="17"/>
  <c r="F378" i="17"/>
  <c r="AP377" i="17"/>
  <c r="AL377" i="17"/>
  <c r="AH377" i="17"/>
  <c r="AS377" i="17"/>
  <c r="AO377" i="17"/>
  <c r="AK377" i="17"/>
  <c r="AR377" i="17"/>
  <c r="AN377" i="17"/>
  <c r="AJ377" i="17"/>
  <c r="AI377" i="17"/>
  <c r="AQ377" i="17"/>
  <c r="AM377" i="17"/>
  <c r="C379" i="17"/>
  <c r="G379" i="17" s="1"/>
  <c r="AW378" i="17"/>
  <c r="B378" i="17"/>
  <c r="P377" i="17" l="1"/>
  <c r="O378" i="17"/>
  <c r="BJ378" i="17" s="1"/>
  <c r="H378" i="17"/>
  <c r="F379" i="17"/>
  <c r="R377" i="17"/>
  <c r="AS378" i="17"/>
  <c r="AO378" i="17"/>
  <c r="AK378" i="17"/>
  <c r="AR378" i="17"/>
  <c r="AN378" i="17"/>
  <c r="AJ378" i="17"/>
  <c r="AQ378" i="17"/>
  <c r="AM378" i="17"/>
  <c r="AI378" i="17"/>
  <c r="AH378" i="17"/>
  <c r="AP378" i="17"/>
  <c r="AL378" i="17"/>
  <c r="B379" i="17"/>
  <c r="C380" i="17"/>
  <c r="G380" i="17" s="1"/>
  <c r="AW379" i="17"/>
  <c r="P378" i="17" l="1"/>
  <c r="O379" i="17"/>
  <c r="BJ379" i="17" s="1"/>
  <c r="H379" i="17"/>
  <c r="F380" i="17"/>
  <c r="R378" i="17"/>
  <c r="B380" i="17"/>
  <c r="C381" i="17"/>
  <c r="G381" i="17" s="1"/>
  <c r="AW380" i="17"/>
  <c r="AR379" i="17"/>
  <c r="AN379" i="17"/>
  <c r="AJ379" i="17"/>
  <c r="AQ379" i="17"/>
  <c r="AM379" i="17"/>
  <c r="AI379" i="17"/>
  <c r="AP379" i="17"/>
  <c r="AL379" i="17"/>
  <c r="AH379" i="17"/>
  <c r="AK379" i="17"/>
  <c r="AS379" i="17"/>
  <c r="AO379" i="17"/>
  <c r="P379" i="17" l="1"/>
  <c r="R379" i="17" s="1"/>
  <c r="O380" i="17"/>
  <c r="BJ380" i="17" s="1"/>
  <c r="H380" i="17"/>
  <c r="F381" i="17"/>
  <c r="C382" i="17"/>
  <c r="G382" i="17" s="1"/>
  <c r="AW381" i="17"/>
  <c r="B381" i="17"/>
  <c r="AQ380" i="17"/>
  <c r="AM380" i="17"/>
  <c r="AI380" i="17"/>
  <c r="AP380" i="17"/>
  <c r="AL380" i="17"/>
  <c r="AH380" i="17"/>
  <c r="AS380" i="17"/>
  <c r="AO380" i="17"/>
  <c r="AK380" i="17"/>
  <c r="AN380" i="17"/>
  <c r="AR380" i="17"/>
  <c r="AJ380" i="17"/>
  <c r="P380" i="17" l="1"/>
  <c r="O381" i="17"/>
  <c r="P381" i="17" s="1"/>
  <c r="H381" i="17"/>
  <c r="F382" i="17"/>
  <c r="R380" i="17"/>
  <c r="AP381" i="17"/>
  <c r="AL381" i="17"/>
  <c r="AH381" i="17"/>
  <c r="AS381" i="17"/>
  <c r="AO381" i="17"/>
  <c r="AK381" i="17"/>
  <c r="AR381" i="17"/>
  <c r="AN381" i="17"/>
  <c r="AJ381" i="17"/>
  <c r="AM381" i="17"/>
  <c r="AQ381" i="17"/>
  <c r="AI381" i="17"/>
  <c r="C383" i="17"/>
  <c r="G383" i="17" s="1"/>
  <c r="AW382" i="17"/>
  <c r="B382" i="17"/>
  <c r="BJ381" i="17" l="1"/>
  <c r="O382" i="17"/>
  <c r="BJ382" i="17" s="1"/>
  <c r="H382" i="17"/>
  <c r="F383" i="17"/>
  <c r="R381" i="17"/>
  <c r="B383" i="17"/>
  <c r="AW383" i="17"/>
  <c r="C384" i="17"/>
  <c r="G384" i="17" s="1"/>
  <c r="AS382" i="17"/>
  <c r="AO382" i="17"/>
  <c r="AK382" i="17"/>
  <c r="AR382" i="17"/>
  <c r="AN382" i="17"/>
  <c r="AJ382" i="17"/>
  <c r="AQ382" i="17"/>
  <c r="AM382" i="17"/>
  <c r="AI382" i="17"/>
  <c r="AL382" i="17"/>
  <c r="AP382" i="17"/>
  <c r="AH382" i="17"/>
  <c r="P382" i="17" l="1"/>
  <c r="O383" i="17"/>
  <c r="BJ383" i="17" s="1"/>
  <c r="H383" i="17"/>
  <c r="F384" i="17"/>
  <c r="R382" i="17"/>
  <c r="AR383" i="17"/>
  <c r="AN383" i="17"/>
  <c r="AJ383" i="17"/>
  <c r="AQ383" i="17"/>
  <c r="AM383" i="17"/>
  <c r="AI383" i="17"/>
  <c r="AP383" i="17"/>
  <c r="AL383" i="17"/>
  <c r="AH383" i="17"/>
  <c r="AO383" i="17"/>
  <c r="AS383" i="17"/>
  <c r="AK383" i="17"/>
  <c r="B384" i="17"/>
  <c r="C385" i="17"/>
  <c r="G385" i="17" s="1"/>
  <c r="AW384" i="17"/>
  <c r="P383" i="17" l="1"/>
  <c r="O384" i="17"/>
  <c r="P384" i="17" s="1"/>
  <c r="H384" i="17"/>
  <c r="F385" i="17"/>
  <c r="R383" i="17"/>
  <c r="C386" i="17"/>
  <c r="G386" i="17" s="1"/>
  <c r="AW385" i="17"/>
  <c r="B385" i="17"/>
  <c r="AQ384" i="17"/>
  <c r="AM384" i="17"/>
  <c r="AI384" i="17"/>
  <c r="AP384" i="17"/>
  <c r="AL384" i="17"/>
  <c r="AH384" i="17"/>
  <c r="AS384" i="17"/>
  <c r="AO384" i="17"/>
  <c r="AK384" i="17"/>
  <c r="AR384" i="17"/>
  <c r="AJ384" i="17"/>
  <c r="AN384" i="17"/>
  <c r="BJ384" i="17" l="1"/>
  <c r="O385" i="17"/>
  <c r="BJ385" i="17" s="1"/>
  <c r="H385" i="17"/>
  <c r="F386" i="17"/>
  <c r="R384" i="17"/>
  <c r="AP385" i="17"/>
  <c r="AL385" i="17"/>
  <c r="AH385" i="17"/>
  <c r="AS385" i="17"/>
  <c r="AO385" i="17"/>
  <c r="AK385" i="17"/>
  <c r="AR385" i="17"/>
  <c r="AN385" i="17"/>
  <c r="AJ385" i="17"/>
  <c r="AQ385" i="17"/>
  <c r="AI385" i="17"/>
  <c r="AM385" i="17"/>
  <c r="C387" i="17"/>
  <c r="G387" i="17" s="1"/>
  <c r="AW386" i="17"/>
  <c r="B386" i="17"/>
  <c r="P385" i="17" l="1"/>
  <c r="O386" i="17"/>
  <c r="P386" i="17" s="1"/>
  <c r="H386" i="17"/>
  <c r="F387" i="17"/>
  <c r="R385" i="17"/>
  <c r="AS386" i="17"/>
  <c r="AO386" i="17"/>
  <c r="AK386" i="17"/>
  <c r="AR386" i="17"/>
  <c r="AN386" i="17"/>
  <c r="AJ386" i="17"/>
  <c r="AQ386" i="17"/>
  <c r="AM386" i="17"/>
  <c r="AI386" i="17"/>
  <c r="AP386" i="17"/>
  <c r="AH386" i="17"/>
  <c r="AL386" i="17"/>
  <c r="B387" i="17"/>
  <c r="C388" i="17"/>
  <c r="G388" i="17" s="1"/>
  <c r="AW387" i="17"/>
  <c r="BJ386" i="17" l="1"/>
  <c r="O387" i="17"/>
  <c r="BJ387" i="17" s="1"/>
  <c r="H387" i="17"/>
  <c r="F388" i="17"/>
  <c r="R386" i="17"/>
  <c r="B388" i="17"/>
  <c r="C389" i="17"/>
  <c r="G389" i="17" s="1"/>
  <c r="AW388" i="17"/>
  <c r="AR387" i="17"/>
  <c r="AN387" i="17"/>
  <c r="AJ387" i="17"/>
  <c r="AQ387" i="17"/>
  <c r="AM387" i="17"/>
  <c r="AI387" i="17"/>
  <c r="AP387" i="17"/>
  <c r="AL387" i="17"/>
  <c r="AH387" i="17"/>
  <c r="AS387" i="17"/>
  <c r="AK387" i="17"/>
  <c r="AO387" i="17"/>
  <c r="P387" i="17" l="1"/>
  <c r="O388" i="17"/>
  <c r="BJ388" i="17" s="1"/>
  <c r="H388" i="17"/>
  <c r="F389" i="17"/>
  <c r="R387" i="17"/>
  <c r="C390" i="17"/>
  <c r="G390" i="17" s="1"/>
  <c r="AW389" i="17"/>
  <c r="B389" i="17"/>
  <c r="AQ388" i="17"/>
  <c r="AM388" i="17"/>
  <c r="AI388" i="17"/>
  <c r="AP388" i="17"/>
  <c r="AL388" i="17"/>
  <c r="AH388" i="17"/>
  <c r="AS388" i="17"/>
  <c r="AO388" i="17"/>
  <c r="AK388" i="17"/>
  <c r="AN388" i="17"/>
  <c r="AJ388" i="17"/>
  <c r="AR388" i="17"/>
  <c r="P388" i="17" l="1"/>
  <c r="O389" i="17"/>
  <c r="P389" i="17" s="1"/>
  <c r="H389" i="17"/>
  <c r="F390" i="17"/>
  <c r="R388" i="17"/>
  <c r="C391" i="17"/>
  <c r="G391" i="17" s="1"/>
  <c r="AW390" i="17"/>
  <c r="B390" i="17"/>
  <c r="AP389" i="17"/>
  <c r="AL389" i="17"/>
  <c r="AH389" i="17"/>
  <c r="AS389" i="17"/>
  <c r="AO389" i="17"/>
  <c r="AK389" i="17"/>
  <c r="AR389" i="17"/>
  <c r="AN389" i="17"/>
  <c r="AJ389" i="17"/>
  <c r="AM389" i="17"/>
  <c r="AI389" i="17"/>
  <c r="AQ389" i="17"/>
  <c r="BJ389" i="17" l="1"/>
  <c r="O390" i="17"/>
  <c r="BJ390" i="17" s="1"/>
  <c r="H390" i="17"/>
  <c r="F391" i="17"/>
  <c r="R389" i="17"/>
  <c r="AS390" i="17"/>
  <c r="AO390" i="17"/>
  <c r="AK390" i="17"/>
  <c r="AR390" i="17"/>
  <c r="AN390" i="17"/>
  <c r="AJ390" i="17"/>
  <c r="AQ390" i="17"/>
  <c r="AM390" i="17"/>
  <c r="AI390" i="17"/>
  <c r="AL390" i="17"/>
  <c r="AH390" i="17"/>
  <c r="AP390" i="17"/>
  <c r="B391" i="17"/>
  <c r="AW391" i="17"/>
  <c r="C392" i="17"/>
  <c r="G392" i="17" s="1"/>
  <c r="P390" i="17" l="1"/>
  <c r="O391" i="17"/>
  <c r="BJ391" i="17" s="1"/>
  <c r="H391" i="17"/>
  <c r="F392" i="17"/>
  <c r="R390" i="17"/>
  <c r="B392" i="17"/>
  <c r="C393" i="17"/>
  <c r="G393" i="17" s="1"/>
  <c r="AW392" i="17"/>
  <c r="AR391" i="17"/>
  <c r="AN391" i="17"/>
  <c r="AJ391" i="17"/>
  <c r="AQ391" i="17"/>
  <c r="AM391" i="17"/>
  <c r="AI391" i="17"/>
  <c r="AP391" i="17"/>
  <c r="AL391" i="17"/>
  <c r="AH391" i="17"/>
  <c r="AO391" i="17"/>
  <c r="AS391" i="17"/>
  <c r="AK391" i="17"/>
  <c r="P391" i="17" l="1"/>
  <c r="O392" i="17"/>
  <c r="BJ392" i="17" s="1"/>
  <c r="H392" i="17"/>
  <c r="F393" i="17"/>
  <c r="R391" i="17"/>
  <c r="AQ392" i="17"/>
  <c r="AM392" i="17"/>
  <c r="AI392" i="17"/>
  <c r="AP392" i="17"/>
  <c r="AL392" i="17"/>
  <c r="AH392" i="17"/>
  <c r="AS392" i="17"/>
  <c r="AO392" i="17"/>
  <c r="AK392" i="17"/>
  <c r="AJ392" i="17"/>
  <c r="AR392" i="17"/>
  <c r="AN392" i="17"/>
  <c r="C394" i="17"/>
  <c r="G394" i="17" s="1"/>
  <c r="AW393" i="17"/>
  <c r="B393" i="17"/>
  <c r="P392" i="17" l="1"/>
  <c r="R392" i="17" s="1"/>
  <c r="O393" i="17"/>
  <c r="BJ393" i="17" s="1"/>
  <c r="H393" i="17"/>
  <c r="F394" i="17"/>
  <c r="AP393" i="17"/>
  <c r="AL393" i="17"/>
  <c r="AH393" i="17"/>
  <c r="AS393" i="17"/>
  <c r="AO393" i="17"/>
  <c r="AK393" i="17"/>
  <c r="AR393" i="17"/>
  <c r="AN393" i="17"/>
  <c r="AJ393" i="17"/>
  <c r="AI393" i="17"/>
  <c r="AQ393" i="17"/>
  <c r="AM393" i="17"/>
  <c r="C395" i="17"/>
  <c r="G395" i="17" s="1"/>
  <c r="AW394" i="17"/>
  <c r="B394" i="17"/>
  <c r="P393" i="17" l="1"/>
  <c r="O394" i="17"/>
  <c r="P394" i="17" s="1"/>
  <c r="H394" i="17"/>
  <c r="F395" i="17"/>
  <c r="R393" i="17"/>
  <c r="AS394" i="17"/>
  <c r="AO394" i="17"/>
  <c r="AK394" i="17"/>
  <c r="AR394" i="17"/>
  <c r="AN394" i="17"/>
  <c r="AJ394" i="17"/>
  <c r="AQ394" i="17"/>
  <c r="AM394" i="17"/>
  <c r="AI394" i="17"/>
  <c r="AH394" i="17"/>
  <c r="AP394" i="17"/>
  <c r="AL394" i="17"/>
  <c r="B395" i="17"/>
  <c r="C396" i="17"/>
  <c r="G396" i="17" s="1"/>
  <c r="AW395" i="17"/>
  <c r="BJ394" i="17" l="1"/>
  <c r="O395" i="17"/>
  <c r="BJ395" i="17" s="1"/>
  <c r="H395" i="17"/>
  <c r="F396" i="17"/>
  <c r="R394" i="17"/>
  <c r="AR395" i="17"/>
  <c r="AN395" i="17"/>
  <c r="AJ395" i="17"/>
  <c r="AQ395" i="17"/>
  <c r="AM395" i="17"/>
  <c r="AI395" i="17"/>
  <c r="AP395" i="17"/>
  <c r="AL395" i="17"/>
  <c r="AH395" i="17"/>
  <c r="AK395" i="17"/>
  <c r="AS395" i="17"/>
  <c r="AO395" i="17"/>
  <c r="B396" i="17"/>
  <c r="C397" i="17"/>
  <c r="G397" i="17" s="1"/>
  <c r="AW396" i="17"/>
  <c r="P395" i="17" l="1"/>
  <c r="O396" i="17"/>
  <c r="BJ396" i="17" s="1"/>
  <c r="H396" i="17"/>
  <c r="F397" i="17"/>
  <c r="R395" i="17"/>
  <c r="AQ396" i="17"/>
  <c r="AM396" i="17"/>
  <c r="AI396" i="17"/>
  <c r="AP396" i="17"/>
  <c r="AL396" i="17"/>
  <c r="AH396" i="17"/>
  <c r="AS396" i="17"/>
  <c r="AO396" i="17"/>
  <c r="AK396" i="17"/>
  <c r="AN396" i="17"/>
  <c r="AR396" i="17"/>
  <c r="AJ396" i="17"/>
  <c r="C398" i="17"/>
  <c r="G398" i="17" s="1"/>
  <c r="AW397" i="17"/>
  <c r="B397" i="17"/>
  <c r="P396" i="17" l="1"/>
  <c r="O397" i="17"/>
  <c r="P397" i="17" s="1"/>
  <c r="H397" i="17"/>
  <c r="F398" i="17"/>
  <c r="R396" i="17"/>
  <c r="AP397" i="17"/>
  <c r="AL397" i="17"/>
  <c r="AH397" i="17"/>
  <c r="AS397" i="17"/>
  <c r="AO397" i="17"/>
  <c r="AK397" i="17"/>
  <c r="AR397" i="17"/>
  <c r="AN397" i="17"/>
  <c r="AJ397" i="17"/>
  <c r="AM397" i="17"/>
  <c r="AQ397" i="17"/>
  <c r="AI397" i="17"/>
  <c r="C399" i="17"/>
  <c r="G399" i="17" s="1"/>
  <c r="AW398" i="17"/>
  <c r="B398" i="17"/>
  <c r="BJ397" i="17" l="1"/>
  <c r="O398" i="17"/>
  <c r="P398" i="17" s="1"/>
  <c r="H398" i="17"/>
  <c r="F399" i="17"/>
  <c r="R397" i="17"/>
  <c r="AS398" i="17"/>
  <c r="AO398" i="17"/>
  <c r="AK398" i="17"/>
  <c r="AR398" i="17"/>
  <c r="AN398" i="17"/>
  <c r="AJ398" i="17"/>
  <c r="AQ398" i="17"/>
  <c r="AM398" i="17"/>
  <c r="AI398" i="17"/>
  <c r="AL398" i="17"/>
  <c r="AP398" i="17"/>
  <c r="AH398" i="17"/>
  <c r="B399" i="17"/>
  <c r="AW399" i="17"/>
  <c r="C400" i="17"/>
  <c r="G400" i="17" s="1"/>
  <c r="BJ398" i="17" l="1"/>
  <c r="O399" i="17"/>
  <c r="BJ399" i="17" s="1"/>
  <c r="H399" i="17"/>
  <c r="F400" i="17"/>
  <c r="R398" i="17"/>
  <c r="AR399" i="17"/>
  <c r="AN399" i="17"/>
  <c r="AJ399" i="17"/>
  <c r="AQ399" i="17"/>
  <c r="AM399" i="17"/>
  <c r="AI399" i="17"/>
  <c r="AP399" i="17"/>
  <c r="AL399" i="17"/>
  <c r="AH399" i="17"/>
  <c r="AO399" i="17"/>
  <c r="AK399" i="17"/>
  <c r="AS399" i="17"/>
  <c r="B400" i="17"/>
  <c r="C401" i="17"/>
  <c r="G401" i="17" s="1"/>
  <c r="AW400" i="17"/>
  <c r="P399" i="17" l="1"/>
  <c r="O400" i="17"/>
  <c r="P400" i="17" s="1"/>
  <c r="H400" i="17"/>
  <c r="F401" i="17"/>
  <c r="R399" i="17"/>
  <c r="C402" i="17"/>
  <c r="G402" i="17" s="1"/>
  <c r="AW401" i="17"/>
  <c r="B401" i="17"/>
  <c r="AQ400" i="17"/>
  <c r="AM400" i="17"/>
  <c r="AI400" i="17"/>
  <c r="AP400" i="17"/>
  <c r="AL400" i="17"/>
  <c r="AH400" i="17"/>
  <c r="AS400" i="17"/>
  <c r="AO400" i="17"/>
  <c r="AK400" i="17"/>
  <c r="AR400" i="17"/>
  <c r="AJ400" i="17"/>
  <c r="AN400" i="17"/>
  <c r="BJ400" i="17" l="1"/>
  <c r="O401" i="17"/>
  <c r="BJ401" i="17" s="1"/>
  <c r="H401" i="17"/>
  <c r="F402" i="17"/>
  <c r="R400" i="17"/>
  <c r="C403" i="17"/>
  <c r="G403" i="17" s="1"/>
  <c r="AW402" i="17"/>
  <c r="B402" i="17"/>
  <c r="AP401" i="17"/>
  <c r="AL401" i="17"/>
  <c r="AH401" i="17"/>
  <c r="AS401" i="17"/>
  <c r="AO401" i="17"/>
  <c r="AK401" i="17"/>
  <c r="AR401" i="17"/>
  <c r="AN401" i="17"/>
  <c r="AJ401" i="17"/>
  <c r="AQ401" i="17"/>
  <c r="AI401" i="17"/>
  <c r="AM401" i="17"/>
  <c r="P401" i="17" l="1"/>
  <c r="O402" i="17"/>
  <c r="BJ402" i="17" s="1"/>
  <c r="H402" i="17"/>
  <c r="F403" i="17"/>
  <c r="R401" i="17"/>
  <c r="AS402" i="17"/>
  <c r="AO402" i="17"/>
  <c r="AK402" i="17"/>
  <c r="AR402" i="17"/>
  <c r="AN402" i="17"/>
  <c r="AJ402" i="17"/>
  <c r="AQ402" i="17"/>
  <c r="AM402" i="17"/>
  <c r="AI402" i="17"/>
  <c r="AP402" i="17"/>
  <c r="AH402" i="17"/>
  <c r="AL402" i="17"/>
  <c r="B403" i="17"/>
  <c r="C404" i="17"/>
  <c r="G404" i="17" s="1"/>
  <c r="AW403" i="17"/>
  <c r="P402" i="17" l="1"/>
  <c r="R402" i="17" s="1"/>
  <c r="O403" i="17"/>
  <c r="BJ403" i="17" s="1"/>
  <c r="H403" i="17"/>
  <c r="P403" i="17"/>
  <c r="F404" i="17"/>
  <c r="B404" i="17"/>
  <c r="C405" i="17"/>
  <c r="G405" i="17" s="1"/>
  <c r="AW404" i="17"/>
  <c r="AR403" i="17"/>
  <c r="AN403" i="17"/>
  <c r="AJ403" i="17"/>
  <c r="AQ403" i="17"/>
  <c r="AM403" i="17"/>
  <c r="AI403" i="17"/>
  <c r="AP403" i="17"/>
  <c r="AL403" i="17"/>
  <c r="AH403" i="17"/>
  <c r="AS403" i="17"/>
  <c r="AK403" i="17"/>
  <c r="AO403" i="17"/>
  <c r="O404" i="17" l="1"/>
  <c r="P404" i="17" s="1"/>
  <c r="H404" i="17"/>
  <c r="F405" i="17"/>
  <c r="R403" i="17"/>
  <c r="C406" i="17"/>
  <c r="G406" i="17" s="1"/>
  <c r="AW405" i="17"/>
  <c r="B405" i="17"/>
  <c r="AQ404" i="17"/>
  <c r="AM404" i="17"/>
  <c r="AI404" i="17"/>
  <c r="AP404" i="17"/>
  <c r="AL404" i="17"/>
  <c r="AH404" i="17"/>
  <c r="AS404" i="17"/>
  <c r="AK404" i="17"/>
  <c r="AR404" i="17"/>
  <c r="AJ404" i="17"/>
  <c r="AO404" i="17"/>
  <c r="AN404" i="17"/>
  <c r="BJ404" i="17" l="1"/>
  <c r="O405" i="17"/>
  <c r="BJ405" i="17" s="1"/>
  <c r="H405" i="17"/>
  <c r="F406" i="17"/>
  <c r="R404" i="17"/>
  <c r="AP405" i="17"/>
  <c r="AL405" i="17"/>
  <c r="AH405" i="17"/>
  <c r="AS405" i="17"/>
  <c r="AO405" i="17"/>
  <c r="AK405" i="17"/>
  <c r="AQ405" i="17"/>
  <c r="AI405" i="17"/>
  <c r="AN405" i="17"/>
  <c r="AM405" i="17"/>
  <c r="AJ405" i="17"/>
  <c r="AR405" i="17"/>
  <c r="C407" i="17"/>
  <c r="G407" i="17" s="1"/>
  <c r="AW406" i="17"/>
  <c r="B406" i="17"/>
  <c r="P405" i="17" l="1"/>
  <c r="O406" i="17"/>
  <c r="BJ406" i="17" s="1"/>
  <c r="H406" i="17"/>
  <c r="F407" i="17"/>
  <c r="R405" i="17"/>
  <c r="B407" i="17"/>
  <c r="C408" i="17"/>
  <c r="G408" i="17" s="1"/>
  <c r="AW407" i="17"/>
  <c r="AS406" i="17"/>
  <c r="AO406" i="17"/>
  <c r="AK406" i="17"/>
  <c r="AR406" i="17"/>
  <c r="AN406" i="17"/>
  <c r="AJ406" i="17"/>
  <c r="AP406" i="17"/>
  <c r="AH406" i="17"/>
  <c r="AM406" i="17"/>
  <c r="AL406" i="17"/>
  <c r="AI406" i="17"/>
  <c r="AQ406" i="17"/>
  <c r="P406" i="17" l="1"/>
  <c r="O407" i="17"/>
  <c r="BJ407" i="17" s="1"/>
  <c r="H407" i="17"/>
  <c r="F408" i="17"/>
  <c r="R406" i="17"/>
  <c r="AR407" i="17"/>
  <c r="AN407" i="17"/>
  <c r="AJ407" i="17"/>
  <c r="AQ407" i="17"/>
  <c r="AM407" i="17"/>
  <c r="AI407" i="17"/>
  <c r="AP407" i="17"/>
  <c r="AH407" i="17"/>
  <c r="AO407" i="17"/>
  <c r="AL407" i="17"/>
  <c r="AK407" i="17"/>
  <c r="AS407" i="17"/>
  <c r="B408" i="17"/>
  <c r="AW408" i="17"/>
  <c r="C409" i="17"/>
  <c r="G409" i="17" s="1"/>
  <c r="P407" i="17" l="1"/>
  <c r="O408" i="17"/>
  <c r="P408" i="17" s="1"/>
  <c r="H408" i="17"/>
  <c r="F409" i="17"/>
  <c r="R407" i="17"/>
  <c r="C410" i="17"/>
  <c r="G410" i="17" s="1"/>
  <c r="AW409" i="17"/>
  <c r="B409" i="17"/>
  <c r="AQ408" i="17"/>
  <c r="AM408" i="17"/>
  <c r="AI408" i="17"/>
  <c r="AP408" i="17"/>
  <c r="AL408" i="17"/>
  <c r="AH408" i="17"/>
  <c r="AO408" i="17"/>
  <c r="AN408" i="17"/>
  <c r="AS408" i="17"/>
  <c r="AK408" i="17"/>
  <c r="AJ408" i="17"/>
  <c r="AR408" i="17"/>
  <c r="BJ408" i="17" l="1"/>
  <c r="O409" i="17"/>
  <c r="BJ409" i="17" s="1"/>
  <c r="H409" i="17"/>
  <c r="F410" i="17"/>
  <c r="R408" i="17"/>
  <c r="C411" i="17"/>
  <c r="G411" i="17" s="1"/>
  <c r="AW410" i="17"/>
  <c r="B410" i="17"/>
  <c r="AP409" i="17"/>
  <c r="AL409" i="17"/>
  <c r="AH409" i="17"/>
  <c r="AS409" i="17"/>
  <c r="AO409" i="17"/>
  <c r="AK409" i="17"/>
  <c r="AM409" i="17"/>
  <c r="AR409" i="17"/>
  <c r="AJ409" i="17"/>
  <c r="AQ409" i="17"/>
  <c r="AI409" i="17"/>
  <c r="AN409" i="17"/>
  <c r="P409" i="17" l="1"/>
  <c r="O410" i="17"/>
  <c r="BJ410" i="17" s="1"/>
  <c r="H410" i="17"/>
  <c r="F411" i="17"/>
  <c r="R409" i="17"/>
  <c r="B411" i="17"/>
  <c r="AW411" i="17"/>
  <c r="C412" i="17"/>
  <c r="G412" i="17" s="1"/>
  <c r="AS410" i="17"/>
  <c r="AO410" i="17"/>
  <c r="AK410" i="17"/>
  <c r="AR410" i="17"/>
  <c r="AN410" i="17"/>
  <c r="AJ410" i="17"/>
  <c r="AL410" i="17"/>
  <c r="AQ410" i="17"/>
  <c r="AI410" i="17"/>
  <c r="AP410" i="17"/>
  <c r="AH410" i="17"/>
  <c r="AM410" i="17"/>
  <c r="P410" i="17" l="1"/>
  <c r="O411" i="17"/>
  <c r="BJ411" i="17" s="1"/>
  <c r="H411" i="17"/>
  <c r="P411" i="17"/>
  <c r="F412" i="17"/>
  <c r="R410" i="17"/>
  <c r="AR411" i="17"/>
  <c r="AN411" i="17"/>
  <c r="AJ411" i="17"/>
  <c r="AQ411" i="17"/>
  <c r="AM411" i="17"/>
  <c r="AI411" i="17"/>
  <c r="AL411" i="17"/>
  <c r="AS411" i="17"/>
  <c r="AK411" i="17"/>
  <c r="AP411" i="17"/>
  <c r="AH411" i="17"/>
  <c r="AO411" i="17"/>
  <c r="B412" i="17"/>
  <c r="C413" i="17"/>
  <c r="G413" i="17" s="1"/>
  <c r="AW412" i="17"/>
  <c r="O412" i="17" l="1"/>
  <c r="P412" i="17" s="1"/>
  <c r="H412" i="17"/>
  <c r="F413" i="17"/>
  <c r="R411" i="17"/>
  <c r="C414" i="17"/>
  <c r="G414" i="17" s="1"/>
  <c r="AW413" i="17"/>
  <c r="B413" i="17"/>
  <c r="AQ412" i="17"/>
  <c r="AM412" i="17"/>
  <c r="AI412" i="17"/>
  <c r="AP412" i="17"/>
  <c r="AL412" i="17"/>
  <c r="AH412" i="17"/>
  <c r="AS412" i="17"/>
  <c r="AK412" i="17"/>
  <c r="AR412" i="17"/>
  <c r="AJ412" i="17"/>
  <c r="AO412" i="17"/>
  <c r="AN412" i="17"/>
  <c r="BJ412" i="17" l="1"/>
  <c r="O413" i="17"/>
  <c r="BJ413" i="17" s="1"/>
  <c r="H413" i="17"/>
  <c r="F414" i="17"/>
  <c r="R412" i="17"/>
  <c r="AP413" i="17"/>
  <c r="AL413" i="17"/>
  <c r="AH413" i="17"/>
  <c r="AS413" i="17"/>
  <c r="AO413" i="17"/>
  <c r="AK413" i="17"/>
  <c r="AQ413" i="17"/>
  <c r="AI413" i="17"/>
  <c r="AN413" i="17"/>
  <c r="AM413" i="17"/>
  <c r="AR413" i="17"/>
  <c r="AJ413" i="17"/>
  <c r="C415" i="17"/>
  <c r="G415" i="17" s="1"/>
  <c r="AW414" i="17"/>
  <c r="B414" i="17"/>
  <c r="P413" i="17" l="1"/>
  <c r="O414" i="17"/>
  <c r="P414" i="17" s="1"/>
  <c r="H414" i="17"/>
  <c r="F415" i="17"/>
  <c r="R413" i="17"/>
  <c r="B415" i="17"/>
  <c r="C416" i="17"/>
  <c r="G416" i="17" s="1"/>
  <c r="AW415" i="17"/>
  <c r="AS414" i="17"/>
  <c r="AO414" i="17"/>
  <c r="AK414" i="17"/>
  <c r="AR414" i="17"/>
  <c r="AN414" i="17"/>
  <c r="AJ414" i="17"/>
  <c r="AP414" i="17"/>
  <c r="AH414" i="17"/>
  <c r="AM414" i="17"/>
  <c r="AL414" i="17"/>
  <c r="AQ414" i="17"/>
  <c r="AI414" i="17"/>
  <c r="BJ414" i="17" l="1"/>
  <c r="O415" i="17"/>
  <c r="BJ415" i="17" s="1"/>
  <c r="H415" i="17"/>
  <c r="F416" i="17"/>
  <c r="R414" i="17"/>
  <c r="B416" i="17"/>
  <c r="AW416" i="17"/>
  <c r="C417" i="17"/>
  <c r="G417" i="17" s="1"/>
  <c r="AR415" i="17"/>
  <c r="AN415" i="17"/>
  <c r="AJ415" i="17"/>
  <c r="AQ415" i="17"/>
  <c r="AM415" i="17"/>
  <c r="AI415" i="17"/>
  <c r="AP415" i="17"/>
  <c r="AH415" i="17"/>
  <c r="AO415" i="17"/>
  <c r="AL415" i="17"/>
  <c r="AS415" i="17"/>
  <c r="AK415" i="17"/>
  <c r="P415" i="17" l="1"/>
  <c r="R415" i="17" s="1"/>
  <c r="O416" i="17"/>
  <c r="P416" i="17" s="1"/>
  <c r="H416" i="17"/>
  <c r="F417" i="17"/>
  <c r="AQ416" i="17"/>
  <c r="AM416" i="17"/>
  <c r="AI416" i="17"/>
  <c r="AP416" i="17"/>
  <c r="AL416" i="17"/>
  <c r="AH416" i="17"/>
  <c r="AO416" i="17"/>
  <c r="AN416" i="17"/>
  <c r="AS416" i="17"/>
  <c r="AK416" i="17"/>
  <c r="AR416" i="17"/>
  <c r="AJ416" i="17"/>
  <c r="C418" i="17"/>
  <c r="G418" i="17" s="1"/>
  <c r="AW417" i="17"/>
  <c r="B417" i="17"/>
  <c r="BJ416" i="17" l="1"/>
  <c r="O417" i="17"/>
  <c r="BJ417" i="17" s="1"/>
  <c r="H417" i="17"/>
  <c r="F418" i="17"/>
  <c r="R416" i="17"/>
  <c r="C419" i="17"/>
  <c r="G419" i="17" s="1"/>
  <c r="AW418" i="17"/>
  <c r="B418" i="17"/>
  <c r="AP417" i="17"/>
  <c r="AL417" i="17"/>
  <c r="AH417" i="17"/>
  <c r="AS417" i="17"/>
  <c r="AO417" i="17"/>
  <c r="AK417" i="17"/>
  <c r="AM417" i="17"/>
  <c r="AR417" i="17"/>
  <c r="AJ417" i="17"/>
  <c r="AQ417" i="17"/>
  <c r="AI417" i="17"/>
  <c r="AN417" i="17"/>
  <c r="P417" i="17" l="1"/>
  <c r="O418" i="17"/>
  <c r="BJ418" i="17" s="1"/>
  <c r="H418" i="17"/>
  <c r="F419" i="17"/>
  <c r="R417" i="17"/>
  <c r="B419" i="17"/>
  <c r="AW419" i="17"/>
  <c r="C420" i="17"/>
  <c r="G420" i="17" s="1"/>
  <c r="AS418" i="17"/>
  <c r="AO418" i="17"/>
  <c r="AK418" i="17"/>
  <c r="AR418" i="17"/>
  <c r="AN418" i="17"/>
  <c r="AJ418" i="17"/>
  <c r="AL418" i="17"/>
  <c r="AQ418" i="17"/>
  <c r="AI418" i="17"/>
  <c r="AP418" i="17"/>
  <c r="AH418" i="17"/>
  <c r="AM418" i="17"/>
  <c r="P418" i="17" l="1"/>
  <c r="O419" i="17"/>
  <c r="BJ419" i="17" s="1"/>
  <c r="H419" i="17"/>
  <c r="F420" i="17"/>
  <c r="R418" i="17"/>
  <c r="AR419" i="17"/>
  <c r="AN419" i="17"/>
  <c r="AJ419" i="17"/>
  <c r="AQ419" i="17"/>
  <c r="AM419" i="17"/>
  <c r="AI419" i="17"/>
  <c r="AL419" i="17"/>
  <c r="AS419" i="17"/>
  <c r="AK419" i="17"/>
  <c r="AP419" i="17"/>
  <c r="AH419" i="17"/>
  <c r="AO419" i="17"/>
  <c r="B420" i="17"/>
  <c r="C421" i="17"/>
  <c r="G421" i="17" s="1"/>
  <c r="AW420" i="17"/>
  <c r="P419" i="17" l="1"/>
  <c r="O420" i="17"/>
  <c r="BJ420" i="17" s="1"/>
  <c r="H420" i="17"/>
  <c r="F421" i="17"/>
  <c r="R419" i="17"/>
  <c r="C422" i="17"/>
  <c r="G422" i="17" s="1"/>
  <c r="AW421" i="17"/>
  <c r="B421" i="17"/>
  <c r="AQ420" i="17"/>
  <c r="AM420" i="17"/>
  <c r="AI420" i="17"/>
  <c r="AP420" i="17"/>
  <c r="AL420" i="17"/>
  <c r="AH420" i="17"/>
  <c r="AS420" i="17"/>
  <c r="AK420" i="17"/>
  <c r="AR420" i="17"/>
  <c r="AJ420" i="17"/>
  <c r="AO420" i="17"/>
  <c r="AN420" i="17"/>
  <c r="P420" i="17" l="1"/>
  <c r="O421" i="17"/>
  <c r="BJ421" i="17" s="1"/>
  <c r="H421" i="17"/>
  <c r="F422" i="17"/>
  <c r="R420" i="17"/>
  <c r="AP421" i="17"/>
  <c r="AL421" i="17"/>
  <c r="AH421" i="17"/>
  <c r="AS421" i="17"/>
  <c r="AO421" i="17"/>
  <c r="AK421" i="17"/>
  <c r="AR421" i="17"/>
  <c r="AN421" i="17"/>
  <c r="AJ421" i="17"/>
  <c r="AQ421" i="17"/>
  <c r="AM421" i="17"/>
  <c r="AI421" i="17"/>
  <c r="C423" i="17"/>
  <c r="G423" i="17" s="1"/>
  <c r="AW422" i="17"/>
  <c r="B422" i="17"/>
  <c r="P421" i="17" l="1"/>
  <c r="O422" i="17"/>
  <c r="BJ422" i="17" s="1"/>
  <c r="H422" i="17"/>
  <c r="F423" i="17"/>
  <c r="R421" i="17"/>
  <c r="AS422" i="17"/>
  <c r="AO422" i="17"/>
  <c r="AK422" i="17"/>
  <c r="AR422" i="17"/>
  <c r="AN422" i="17"/>
  <c r="AJ422" i="17"/>
  <c r="AQ422" i="17"/>
  <c r="AM422" i="17"/>
  <c r="AI422" i="17"/>
  <c r="AP422" i="17"/>
  <c r="AL422" i="17"/>
  <c r="AH422" i="17"/>
  <c r="B423" i="17"/>
  <c r="C424" i="17"/>
  <c r="G424" i="17" s="1"/>
  <c r="AW423" i="17"/>
  <c r="P422" i="17" l="1"/>
  <c r="O423" i="17"/>
  <c r="P423" i="17" s="1"/>
  <c r="H423" i="17"/>
  <c r="F424" i="17"/>
  <c r="R422" i="17"/>
  <c r="B424" i="17"/>
  <c r="C425" i="17"/>
  <c r="G425" i="17" s="1"/>
  <c r="AW424" i="17"/>
  <c r="AR423" i="17"/>
  <c r="AN423" i="17"/>
  <c r="AJ423" i="17"/>
  <c r="AQ423" i="17"/>
  <c r="AM423" i="17"/>
  <c r="AI423" i="17"/>
  <c r="AP423" i="17"/>
  <c r="AL423" i="17"/>
  <c r="AH423" i="17"/>
  <c r="AS423" i="17"/>
  <c r="AO423" i="17"/>
  <c r="AK423" i="17"/>
  <c r="BJ423" i="17" l="1"/>
  <c r="O424" i="17"/>
  <c r="BJ424" i="17" s="1"/>
  <c r="H424" i="17"/>
  <c r="F425" i="17"/>
  <c r="R423" i="17"/>
  <c r="C426" i="17"/>
  <c r="G426" i="17" s="1"/>
  <c r="AW425" i="17"/>
  <c r="B425" i="17"/>
  <c r="AQ424" i="17"/>
  <c r="AM424" i="17"/>
  <c r="AI424" i="17"/>
  <c r="AP424" i="17"/>
  <c r="AL424" i="17"/>
  <c r="AH424" i="17"/>
  <c r="AS424" i="17"/>
  <c r="AO424" i="17"/>
  <c r="AK424" i="17"/>
  <c r="AN424" i="17"/>
  <c r="AJ424" i="17"/>
  <c r="AR424" i="17"/>
  <c r="P424" i="17" l="1"/>
  <c r="O425" i="17"/>
  <c r="P425" i="17" s="1"/>
  <c r="H425" i="17"/>
  <c r="F426" i="17"/>
  <c r="R424" i="17"/>
  <c r="AP425" i="17"/>
  <c r="AL425" i="17"/>
  <c r="AH425" i="17"/>
  <c r="AS425" i="17"/>
  <c r="AO425" i="17"/>
  <c r="AK425" i="17"/>
  <c r="AR425" i="17"/>
  <c r="AN425" i="17"/>
  <c r="AJ425" i="17"/>
  <c r="AM425" i="17"/>
  <c r="AI425" i="17"/>
  <c r="AQ425" i="17"/>
  <c r="C427" i="17"/>
  <c r="G427" i="17" s="1"/>
  <c r="AW426" i="17"/>
  <c r="B426" i="17"/>
  <c r="BJ425" i="17" l="1"/>
  <c r="O426" i="17"/>
  <c r="BJ426" i="17" s="1"/>
  <c r="H426" i="17"/>
  <c r="F427" i="17"/>
  <c r="R425" i="17"/>
  <c r="AS426" i="17"/>
  <c r="AO426" i="17"/>
  <c r="AK426" i="17"/>
  <c r="AR426" i="17"/>
  <c r="AN426" i="17"/>
  <c r="AJ426" i="17"/>
  <c r="AQ426" i="17"/>
  <c r="AM426" i="17"/>
  <c r="AI426" i="17"/>
  <c r="AL426" i="17"/>
  <c r="AH426" i="17"/>
  <c r="AP426" i="17"/>
  <c r="B427" i="17"/>
  <c r="AW427" i="17"/>
  <c r="C428" i="17"/>
  <c r="G428" i="17" s="1"/>
  <c r="P426" i="17" l="1"/>
  <c r="O427" i="17"/>
  <c r="BJ427" i="17" s="1"/>
  <c r="H427" i="17"/>
  <c r="F428" i="17"/>
  <c r="R426" i="17"/>
  <c r="AR427" i="17"/>
  <c r="AN427" i="17"/>
  <c r="AJ427" i="17"/>
  <c r="AQ427" i="17"/>
  <c r="AM427" i="17"/>
  <c r="AI427" i="17"/>
  <c r="AP427" i="17"/>
  <c r="AL427" i="17"/>
  <c r="AH427" i="17"/>
  <c r="AO427" i="17"/>
  <c r="AK427" i="17"/>
  <c r="AS427" i="17"/>
  <c r="B428" i="17"/>
  <c r="C429" i="17"/>
  <c r="G429" i="17" s="1"/>
  <c r="AW428" i="17"/>
  <c r="P427" i="17" l="1"/>
  <c r="O428" i="17"/>
  <c r="BJ428" i="17" s="1"/>
  <c r="H428" i="17"/>
  <c r="F429" i="17"/>
  <c r="R427" i="17"/>
  <c r="C430" i="17"/>
  <c r="G430" i="17" s="1"/>
  <c r="AW429" i="17"/>
  <c r="B429" i="17"/>
  <c r="AQ428" i="17"/>
  <c r="AM428" i="17"/>
  <c r="AI428" i="17"/>
  <c r="AP428" i="17"/>
  <c r="AL428" i="17"/>
  <c r="AH428" i="17"/>
  <c r="AS428" i="17"/>
  <c r="AO428" i="17"/>
  <c r="AK428" i="17"/>
  <c r="AJ428" i="17"/>
  <c r="AR428" i="17"/>
  <c r="AN428" i="17"/>
  <c r="P428" i="17" l="1"/>
  <c r="O429" i="17"/>
  <c r="BJ429" i="17" s="1"/>
  <c r="H429" i="17"/>
  <c r="F430" i="17"/>
  <c r="R428" i="17"/>
  <c r="AP429" i="17"/>
  <c r="AL429" i="17"/>
  <c r="AH429" i="17"/>
  <c r="AS429" i="17"/>
  <c r="AO429" i="17"/>
  <c r="AK429" i="17"/>
  <c r="AR429" i="17"/>
  <c r="AN429" i="17"/>
  <c r="AJ429" i="17"/>
  <c r="AI429" i="17"/>
  <c r="AQ429" i="17"/>
  <c r="AM429" i="17"/>
  <c r="C431" i="17"/>
  <c r="G431" i="17" s="1"/>
  <c r="AW430" i="17"/>
  <c r="B430" i="17"/>
  <c r="P429" i="17" l="1"/>
  <c r="O430" i="17"/>
  <c r="BJ430" i="17" s="1"/>
  <c r="H430" i="17"/>
  <c r="F431" i="17"/>
  <c r="R429" i="17"/>
  <c r="AS430" i="17"/>
  <c r="AO430" i="17"/>
  <c r="AK430" i="17"/>
  <c r="AR430" i="17"/>
  <c r="AN430" i="17"/>
  <c r="AJ430" i="17"/>
  <c r="AQ430" i="17"/>
  <c r="AM430" i="17"/>
  <c r="AI430" i="17"/>
  <c r="AH430" i="17"/>
  <c r="AP430" i="17"/>
  <c r="AL430" i="17"/>
  <c r="B431" i="17"/>
  <c r="AW431" i="17"/>
  <c r="C432" i="17"/>
  <c r="G432" i="17" s="1"/>
  <c r="P430" i="17" l="1"/>
  <c r="O431" i="17"/>
  <c r="P431" i="17" s="1"/>
  <c r="H431" i="17"/>
  <c r="F432" i="17"/>
  <c r="R430" i="17"/>
  <c r="AR431" i="17"/>
  <c r="AN431" i="17"/>
  <c r="AJ431" i="17"/>
  <c r="AQ431" i="17"/>
  <c r="AM431" i="17"/>
  <c r="AI431" i="17"/>
  <c r="AP431" i="17"/>
  <c r="AL431" i="17"/>
  <c r="AH431" i="17"/>
  <c r="AK431" i="17"/>
  <c r="AS431" i="17"/>
  <c r="AO431" i="17"/>
  <c r="B432" i="17"/>
  <c r="C433" i="17"/>
  <c r="G433" i="17" s="1"/>
  <c r="AW432" i="17"/>
  <c r="BJ431" i="17" l="1"/>
  <c r="O432" i="17"/>
  <c r="BJ432" i="17" s="1"/>
  <c r="H432" i="17"/>
  <c r="F433" i="17"/>
  <c r="R431" i="17"/>
  <c r="AQ432" i="17"/>
  <c r="AM432" i="17"/>
  <c r="AI432" i="17"/>
  <c r="AP432" i="17"/>
  <c r="AL432" i="17"/>
  <c r="AH432" i="17"/>
  <c r="AS432" i="17"/>
  <c r="AO432" i="17"/>
  <c r="AK432" i="17"/>
  <c r="AR432" i="17"/>
  <c r="AN432" i="17"/>
  <c r="AJ432" i="17"/>
  <c r="C434" i="17"/>
  <c r="G434" i="17" s="1"/>
  <c r="AW433" i="17"/>
  <c r="B433" i="17"/>
  <c r="P432" i="17" l="1"/>
  <c r="R432" i="17" s="1"/>
  <c r="O433" i="17"/>
  <c r="BJ433" i="17" s="1"/>
  <c r="H433" i="17"/>
  <c r="F434" i="17"/>
  <c r="AP433" i="17"/>
  <c r="AL433" i="17"/>
  <c r="AH433" i="17"/>
  <c r="AS433" i="17"/>
  <c r="AO433" i="17"/>
  <c r="AK433" i="17"/>
  <c r="AR433" i="17"/>
  <c r="AN433" i="17"/>
  <c r="AJ433" i="17"/>
  <c r="AQ433" i="17"/>
  <c r="AM433" i="17"/>
  <c r="AI433" i="17"/>
  <c r="C435" i="17"/>
  <c r="G435" i="17" s="1"/>
  <c r="AW434" i="17"/>
  <c r="B434" i="17"/>
  <c r="P433" i="17" l="1"/>
  <c r="R433" i="17" s="1"/>
  <c r="O434" i="17"/>
  <c r="BJ434" i="17" s="1"/>
  <c r="H434" i="17"/>
  <c r="F435" i="17"/>
  <c r="AS434" i="17"/>
  <c r="AO434" i="17"/>
  <c r="AK434" i="17"/>
  <c r="AR434" i="17"/>
  <c r="AN434" i="17"/>
  <c r="AJ434" i="17"/>
  <c r="AQ434" i="17"/>
  <c r="AM434" i="17"/>
  <c r="AI434" i="17"/>
  <c r="AP434" i="17"/>
  <c r="AL434" i="17"/>
  <c r="AH434" i="17"/>
  <c r="B435" i="17"/>
  <c r="AW435" i="17"/>
  <c r="C436" i="17"/>
  <c r="G436" i="17" s="1"/>
  <c r="P434" i="17" l="1"/>
  <c r="R434" i="17" s="1"/>
  <c r="O435" i="17"/>
  <c r="BJ435" i="17" s="1"/>
  <c r="H435" i="17"/>
  <c r="F436" i="17"/>
  <c r="B436" i="17"/>
  <c r="C437" i="17"/>
  <c r="G437" i="17" s="1"/>
  <c r="AW436" i="17"/>
  <c r="AR435" i="17"/>
  <c r="AN435" i="17"/>
  <c r="AJ435" i="17"/>
  <c r="AQ435" i="17"/>
  <c r="AM435" i="17"/>
  <c r="AI435" i="17"/>
  <c r="AP435" i="17"/>
  <c r="AL435" i="17"/>
  <c r="AH435" i="17"/>
  <c r="AS435" i="17"/>
  <c r="AO435" i="17"/>
  <c r="AK435" i="17"/>
  <c r="P435" i="17" l="1"/>
  <c r="R435" i="17" s="1"/>
  <c r="O436" i="17"/>
  <c r="BJ436" i="17" s="1"/>
  <c r="H436" i="17"/>
  <c r="F437" i="17"/>
  <c r="C438" i="17"/>
  <c r="G438" i="17" s="1"/>
  <c r="AW437" i="17"/>
  <c r="B437" i="17"/>
  <c r="AQ436" i="17"/>
  <c r="AM436" i="17"/>
  <c r="AI436" i="17"/>
  <c r="AP436" i="17"/>
  <c r="AL436" i="17"/>
  <c r="AH436" i="17"/>
  <c r="AS436" i="17"/>
  <c r="AO436" i="17"/>
  <c r="AK436" i="17"/>
  <c r="AR436" i="17"/>
  <c r="AN436" i="17"/>
  <c r="AJ436" i="17"/>
  <c r="P436" i="17" l="1"/>
  <c r="R436" i="17" s="1"/>
  <c r="O437" i="17"/>
  <c r="BJ437" i="17" s="1"/>
  <c r="H437" i="17"/>
  <c r="F438" i="17"/>
  <c r="AP437" i="17"/>
  <c r="AL437" i="17"/>
  <c r="AH437" i="17"/>
  <c r="AS437" i="17"/>
  <c r="AO437" i="17"/>
  <c r="AK437" i="17"/>
  <c r="AR437" i="17"/>
  <c r="AN437" i="17"/>
  <c r="AJ437" i="17"/>
  <c r="AQ437" i="17"/>
  <c r="AM437" i="17"/>
  <c r="AI437" i="17"/>
  <c r="C439" i="17"/>
  <c r="G439" i="17" s="1"/>
  <c r="AW438" i="17"/>
  <c r="B438" i="17"/>
  <c r="P437" i="17" l="1"/>
  <c r="R437" i="17" s="1"/>
  <c r="O438" i="17"/>
  <c r="BJ438" i="17" s="1"/>
  <c r="H438" i="17"/>
  <c r="F439" i="17"/>
  <c r="AS438" i="17"/>
  <c r="AO438" i="17"/>
  <c r="AK438" i="17"/>
  <c r="AR438" i="17"/>
  <c r="AN438" i="17"/>
  <c r="AJ438" i="17"/>
  <c r="AQ438" i="17"/>
  <c r="AM438" i="17"/>
  <c r="AI438" i="17"/>
  <c r="AP438" i="17"/>
  <c r="AL438" i="17"/>
  <c r="AH438" i="17"/>
  <c r="B439" i="17"/>
  <c r="C440" i="17"/>
  <c r="G440" i="17" s="1"/>
  <c r="AW439" i="17"/>
  <c r="P438" i="17" l="1"/>
  <c r="R438" i="17" s="1"/>
  <c r="O439" i="17"/>
  <c r="BJ439" i="17" s="1"/>
  <c r="H439" i="17"/>
  <c r="F440" i="17"/>
  <c r="B440" i="17"/>
  <c r="C441" i="17"/>
  <c r="G441" i="17" s="1"/>
  <c r="AW440" i="17"/>
  <c r="AR439" i="17"/>
  <c r="AN439" i="17"/>
  <c r="AJ439" i="17"/>
  <c r="AQ439" i="17"/>
  <c r="AM439" i="17"/>
  <c r="AI439" i="17"/>
  <c r="AP439" i="17"/>
  <c r="AL439" i="17"/>
  <c r="AH439" i="17"/>
  <c r="AS439" i="17"/>
  <c r="AO439" i="17"/>
  <c r="AK439" i="17"/>
  <c r="P439" i="17" l="1"/>
  <c r="R439" i="17" s="1"/>
  <c r="O440" i="17"/>
  <c r="BJ440" i="17" s="1"/>
  <c r="H440" i="17"/>
  <c r="F441" i="17"/>
  <c r="C442" i="17"/>
  <c r="G442" i="17" s="1"/>
  <c r="AW441" i="17"/>
  <c r="B441" i="17"/>
  <c r="AQ440" i="17"/>
  <c r="AM440" i="17"/>
  <c r="AI440" i="17"/>
  <c r="AP440" i="17"/>
  <c r="AL440" i="17"/>
  <c r="AH440" i="17"/>
  <c r="AS440" i="17"/>
  <c r="AO440" i="17"/>
  <c r="AK440" i="17"/>
  <c r="AN440" i="17"/>
  <c r="AJ440" i="17"/>
  <c r="AR440" i="17"/>
  <c r="P440" i="17" l="1"/>
  <c r="R440" i="17" s="1"/>
  <c r="O441" i="17"/>
  <c r="BJ441" i="17" s="1"/>
  <c r="H441" i="17"/>
  <c r="F442" i="17"/>
  <c r="C443" i="17"/>
  <c r="G443" i="17" s="1"/>
  <c r="AW442" i="17"/>
  <c r="B442" i="17"/>
  <c r="AP441" i="17"/>
  <c r="AL441" i="17"/>
  <c r="AH441" i="17"/>
  <c r="AS441" i="17"/>
  <c r="AO441" i="17"/>
  <c r="AK441" i="17"/>
  <c r="AR441" i="17"/>
  <c r="AN441" i="17"/>
  <c r="AJ441" i="17"/>
  <c r="AM441" i="17"/>
  <c r="AI441" i="17"/>
  <c r="AQ441" i="17"/>
  <c r="P441" i="17" l="1"/>
  <c r="R441" i="17" s="1"/>
  <c r="O442" i="17"/>
  <c r="BJ442" i="17" s="1"/>
  <c r="H442" i="17"/>
  <c r="F443" i="17"/>
  <c r="AS442" i="17"/>
  <c r="AO442" i="17"/>
  <c r="AK442" i="17"/>
  <c r="AR442" i="17"/>
  <c r="AN442" i="17"/>
  <c r="AJ442" i="17"/>
  <c r="AQ442" i="17"/>
  <c r="AM442" i="17"/>
  <c r="AI442" i="17"/>
  <c r="AL442" i="17"/>
  <c r="AH442" i="17"/>
  <c r="AP442" i="17"/>
  <c r="B443" i="17"/>
  <c r="AW443" i="17"/>
  <c r="C444" i="17"/>
  <c r="G444" i="17" s="1"/>
  <c r="P442" i="17" l="1"/>
  <c r="O443" i="17"/>
  <c r="BJ443" i="17" s="1"/>
  <c r="H443" i="17"/>
  <c r="F444" i="17"/>
  <c r="R442" i="17"/>
  <c r="B444" i="17"/>
  <c r="C445" i="17"/>
  <c r="G445" i="17" s="1"/>
  <c r="AW444" i="17"/>
  <c r="AR443" i="17"/>
  <c r="AN443" i="17"/>
  <c r="AJ443" i="17"/>
  <c r="AQ443" i="17"/>
  <c r="AM443" i="17"/>
  <c r="AI443" i="17"/>
  <c r="AP443" i="17"/>
  <c r="AL443" i="17"/>
  <c r="AH443" i="17"/>
  <c r="AO443" i="17"/>
  <c r="AK443" i="17"/>
  <c r="AS443" i="17"/>
  <c r="P443" i="17" l="1"/>
  <c r="R443" i="17" s="1"/>
  <c r="O444" i="17"/>
  <c r="BJ444" i="17" s="1"/>
  <c r="H444" i="17"/>
  <c r="F445" i="17"/>
  <c r="AQ444" i="17"/>
  <c r="AM444" i="17"/>
  <c r="AI444" i="17"/>
  <c r="AP444" i="17"/>
  <c r="AL444" i="17"/>
  <c r="AH444" i="17"/>
  <c r="AS444" i="17"/>
  <c r="AO444" i="17"/>
  <c r="AK444" i="17"/>
  <c r="AJ444" i="17"/>
  <c r="AR444" i="17"/>
  <c r="AN444" i="17"/>
  <c r="C446" i="17"/>
  <c r="G446" i="17" s="1"/>
  <c r="AW445" i="17"/>
  <c r="B445" i="17"/>
  <c r="P444" i="17" l="1"/>
  <c r="O445" i="17"/>
  <c r="BJ445" i="17" s="1"/>
  <c r="H445" i="17"/>
  <c r="F446" i="17"/>
  <c r="R444" i="17"/>
  <c r="AP445" i="17"/>
  <c r="AL445" i="17"/>
  <c r="AH445" i="17"/>
  <c r="AS445" i="17"/>
  <c r="AO445" i="17"/>
  <c r="AK445" i="17"/>
  <c r="AR445" i="17"/>
  <c r="AN445" i="17"/>
  <c r="AJ445" i="17"/>
  <c r="AI445" i="17"/>
  <c r="AQ445" i="17"/>
  <c r="AM445" i="17"/>
  <c r="C447" i="17"/>
  <c r="G447" i="17" s="1"/>
  <c r="AW446" i="17"/>
  <c r="B446" i="17"/>
  <c r="P445" i="17" l="1"/>
  <c r="O446" i="17"/>
  <c r="BJ446" i="17" s="1"/>
  <c r="H446" i="17"/>
  <c r="F447" i="17"/>
  <c r="R445" i="17"/>
  <c r="AS446" i="17"/>
  <c r="AO446" i="17"/>
  <c r="AK446" i="17"/>
  <c r="AR446" i="17"/>
  <c r="AN446" i="17"/>
  <c r="AJ446" i="17"/>
  <c r="AQ446" i="17"/>
  <c r="AM446" i="17"/>
  <c r="AI446" i="17"/>
  <c r="AH446" i="17"/>
  <c r="AP446" i="17"/>
  <c r="AL446" i="17"/>
  <c r="B447" i="17"/>
  <c r="AW447" i="17"/>
  <c r="C448" i="17"/>
  <c r="G448" i="17" s="1"/>
  <c r="P446" i="17" l="1"/>
  <c r="O447" i="17"/>
  <c r="BJ447" i="17" s="1"/>
  <c r="H447" i="17"/>
  <c r="F448" i="17"/>
  <c r="R446" i="17"/>
  <c r="B448" i="17"/>
  <c r="C449" i="17"/>
  <c r="G449" i="17" s="1"/>
  <c r="AW448" i="17"/>
  <c r="AR447" i="17"/>
  <c r="AN447" i="17"/>
  <c r="AJ447" i="17"/>
  <c r="AQ447" i="17"/>
  <c r="AM447" i="17"/>
  <c r="AI447" i="17"/>
  <c r="AP447" i="17"/>
  <c r="AL447" i="17"/>
  <c r="AH447" i="17"/>
  <c r="AK447" i="17"/>
  <c r="AS447" i="17"/>
  <c r="AO447" i="17"/>
  <c r="P447" i="17" l="1"/>
  <c r="R447" i="17" s="1"/>
  <c r="O448" i="17"/>
  <c r="P448" i="17" s="1"/>
  <c r="H448" i="17"/>
  <c r="BJ448" i="17"/>
  <c r="F449" i="17"/>
  <c r="AQ448" i="17"/>
  <c r="AM448" i="17"/>
  <c r="AI448" i="17"/>
  <c r="AP448" i="17"/>
  <c r="AL448" i="17"/>
  <c r="AH448" i="17"/>
  <c r="AS448" i="17"/>
  <c r="AO448" i="17"/>
  <c r="AK448" i="17"/>
  <c r="AR448" i="17"/>
  <c r="AN448" i="17"/>
  <c r="AJ448" i="17"/>
  <c r="C450" i="17"/>
  <c r="G450" i="17" s="1"/>
  <c r="AW449" i="17"/>
  <c r="B449" i="17"/>
  <c r="O449" i="17" l="1"/>
  <c r="P449" i="17" s="1"/>
  <c r="H449" i="17"/>
  <c r="BJ449" i="17"/>
  <c r="F450" i="17"/>
  <c r="R448" i="17"/>
  <c r="AP449" i="17"/>
  <c r="AL449" i="17"/>
  <c r="AH449" i="17"/>
  <c r="AS449" i="17"/>
  <c r="AO449" i="17"/>
  <c r="AK449" i="17"/>
  <c r="AR449" i="17"/>
  <c r="AN449" i="17"/>
  <c r="AJ449" i="17"/>
  <c r="AQ449" i="17"/>
  <c r="AM449" i="17"/>
  <c r="AI449" i="17"/>
  <c r="C451" i="17"/>
  <c r="G451" i="17" s="1"/>
  <c r="AW450" i="17"/>
  <c r="B450" i="17"/>
  <c r="O450" i="17" l="1"/>
  <c r="P450" i="17" s="1"/>
  <c r="H450" i="17"/>
  <c r="F451" i="17"/>
  <c r="R449" i="17"/>
  <c r="AS450" i="17"/>
  <c r="AO450" i="17"/>
  <c r="AK450" i="17"/>
  <c r="AR450" i="17"/>
  <c r="AN450" i="17"/>
  <c r="AJ450" i="17"/>
  <c r="AQ450" i="17"/>
  <c r="AM450" i="17"/>
  <c r="AI450" i="17"/>
  <c r="AP450" i="17"/>
  <c r="AL450" i="17"/>
  <c r="AH450" i="17"/>
  <c r="B451" i="17"/>
  <c r="AW451" i="17"/>
  <c r="C452" i="17"/>
  <c r="G452" i="17" s="1"/>
  <c r="BJ450" i="17" l="1"/>
  <c r="O451" i="17"/>
  <c r="BJ451" i="17" s="1"/>
  <c r="H451" i="17"/>
  <c r="F452" i="17"/>
  <c r="R450" i="17"/>
  <c r="AR451" i="17"/>
  <c r="AN451" i="17"/>
  <c r="AJ451" i="17"/>
  <c r="AQ451" i="17"/>
  <c r="AM451" i="17"/>
  <c r="AI451" i="17"/>
  <c r="AP451" i="17"/>
  <c r="AL451" i="17"/>
  <c r="AH451" i="17"/>
  <c r="AS451" i="17"/>
  <c r="AO451" i="17"/>
  <c r="AK451" i="17"/>
  <c r="B452" i="17"/>
  <c r="C453" i="17"/>
  <c r="G453" i="17" s="1"/>
  <c r="AW452" i="17"/>
  <c r="P451" i="17" l="1"/>
  <c r="O452" i="17"/>
  <c r="P452" i="17" s="1"/>
  <c r="H452" i="17"/>
  <c r="F453" i="17"/>
  <c r="R451" i="17"/>
  <c r="C454" i="17"/>
  <c r="G454" i="17" s="1"/>
  <c r="AW453" i="17"/>
  <c r="B453" i="17"/>
  <c r="AQ452" i="17"/>
  <c r="AM452" i="17"/>
  <c r="AI452" i="17"/>
  <c r="AP452" i="17"/>
  <c r="AL452" i="17"/>
  <c r="AH452" i="17"/>
  <c r="AS452" i="17"/>
  <c r="AO452" i="17"/>
  <c r="AK452" i="17"/>
  <c r="AR452" i="17"/>
  <c r="AN452" i="17"/>
  <c r="AJ452" i="17"/>
  <c r="BJ452" i="17" l="1"/>
  <c r="O453" i="17"/>
  <c r="BJ453" i="17" s="1"/>
  <c r="H453" i="17"/>
  <c r="F454" i="17"/>
  <c r="R452" i="17"/>
  <c r="AP453" i="17"/>
  <c r="AL453" i="17"/>
  <c r="AH453" i="17"/>
  <c r="AS453" i="17"/>
  <c r="AO453" i="17"/>
  <c r="AK453" i="17"/>
  <c r="AR453" i="17"/>
  <c r="AN453" i="17"/>
  <c r="AJ453" i="17"/>
  <c r="AQ453" i="17"/>
  <c r="AM453" i="17"/>
  <c r="AI453" i="17"/>
  <c r="C455" i="17"/>
  <c r="G455" i="17" s="1"/>
  <c r="AW454" i="17"/>
  <c r="B454" i="17"/>
  <c r="P453" i="17" l="1"/>
  <c r="O454" i="17"/>
  <c r="BJ454" i="17" s="1"/>
  <c r="H454" i="17"/>
  <c r="F455" i="17"/>
  <c r="R453" i="17"/>
  <c r="AS454" i="17"/>
  <c r="AO454" i="17"/>
  <c r="AK454" i="17"/>
  <c r="AR454" i="17"/>
  <c r="AN454" i="17"/>
  <c r="AJ454" i="17"/>
  <c r="AQ454" i="17"/>
  <c r="AM454" i="17"/>
  <c r="AI454" i="17"/>
  <c r="AP454" i="17"/>
  <c r="AL454" i="17"/>
  <c r="AH454" i="17"/>
  <c r="B455" i="17"/>
  <c r="C456" i="17"/>
  <c r="G456" i="17" s="1"/>
  <c r="AW455" i="17"/>
  <c r="P454" i="17" l="1"/>
  <c r="R454" i="17" s="1"/>
  <c r="O455" i="17"/>
  <c r="BJ455" i="17" s="1"/>
  <c r="H455" i="17"/>
  <c r="F456" i="17"/>
  <c r="AR455" i="17"/>
  <c r="AN455" i="17"/>
  <c r="AJ455" i="17"/>
  <c r="AQ455" i="17"/>
  <c r="AM455" i="17"/>
  <c r="AI455" i="17"/>
  <c r="AP455" i="17"/>
  <c r="AL455" i="17"/>
  <c r="AH455" i="17"/>
  <c r="AS455" i="17"/>
  <c r="AO455" i="17"/>
  <c r="AK455" i="17"/>
  <c r="B456" i="17"/>
  <c r="C457" i="17"/>
  <c r="G457" i="17" s="1"/>
  <c r="AW456" i="17"/>
  <c r="P455" i="17" l="1"/>
  <c r="O456" i="17"/>
  <c r="P456" i="17" s="1"/>
  <c r="H456" i="17"/>
  <c r="F457" i="17"/>
  <c r="R455" i="17"/>
  <c r="C458" i="17"/>
  <c r="G458" i="17" s="1"/>
  <c r="AW457" i="17"/>
  <c r="B457" i="17"/>
  <c r="AQ456" i="17"/>
  <c r="AM456" i="17"/>
  <c r="AI456" i="17"/>
  <c r="AP456" i="17"/>
  <c r="AL456" i="17"/>
  <c r="AH456" i="17"/>
  <c r="AS456" i="17"/>
  <c r="AO456" i="17"/>
  <c r="AK456" i="17"/>
  <c r="AN456" i="17"/>
  <c r="AJ456" i="17"/>
  <c r="AR456" i="17"/>
  <c r="BJ456" i="17" l="1"/>
  <c r="O457" i="17"/>
  <c r="P457" i="17" s="1"/>
  <c r="H457" i="17"/>
  <c r="F458" i="17"/>
  <c r="R456" i="17"/>
  <c r="AP457" i="17"/>
  <c r="AL457" i="17"/>
  <c r="AH457" i="17"/>
  <c r="AS457" i="17"/>
  <c r="AO457" i="17"/>
  <c r="AK457" i="17"/>
  <c r="AR457" i="17"/>
  <c r="AN457" i="17"/>
  <c r="AJ457" i="17"/>
  <c r="AM457" i="17"/>
  <c r="AI457" i="17"/>
  <c r="AQ457" i="17"/>
  <c r="C459" i="17"/>
  <c r="G459" i="17" s="1"/>
  <c r="AW458" i="17"/>
  <c r="B458" i="17"/>
  <c r="BJ457" i="17" l="1"/>
  <c r="O458" i="17"/>
  <c r="BJ458" i="17" s="1"/>
  <c r="H458" i="17"/>
  <c r="AG458" i="17"/>
  <c r="F459" i="17"/>
  <c r="R457" i="17"/>
  <c r="AS458" i="17"/>
  <c r="AO458" i="17"/>
  <c r="AK458" i="17"/>
  <c r="AR458" i="17"/>
  <c r="AN458" i="17"/>
  <c r="AJ458" i="17"/>
  <c r="AQ458" i="17"/>
  <c r="AM458" i="17"/>
  <c r="AI458" i="17"/>
  <c r="AL458" i="17"/>
  <c r="AH458" i="17"/>
  <c r="AP458" i="17"/>
  <c r="B459" i="17"/>
  <c r="AW459" i="17"/>
  <c r="C460" i="17"/>
  <c r="G460" i="17" s="1"/>
  <c r="P458" i="17" l="1"/>
  <c r="O459" i="17"/>
  <c r="BJ459" i="17" s="1"/>
  <c r="H459" i="17"/>
  <c r="F460" i="17"/>
  <c r="R458" i="17"/>
  <c r="AR459" i="17"/>
  <c r="AN459" i="17"/>
  <c r="AJ459" i="17"/>
  <c r="AQ459" i="17"/>
  <c r="AM459" i="17"/>
  <c r="AI459" i="17"/>
  <c r="AP459" i="17"/>
  <c r="AL459" i="17"/>
  <c r="AH459" i="17"/>
  <c r="AO459" i="17"/>
  <c r="AK459" i="17"/>
  <c r="AS459" i="17"/>
  <c r="B460" i="17"/>
  <c r="C461" i="17"/>
  <c r="G461" i="17" s="1"/>
  <c r="AW460" i="17"/>
  <c r="P459" i="17" l="1"/>
  <c r="R459" i="17" s="1"/>
  <c r="O460" i="17"/>
  <c r="BJ460" i="17" s="1"/>
  <c r="H460" i="17"/>
  <c r="F461" i="17"/>
  <c r="C462" i="17"/>
  <c r="G462" i="17" s="1"/>
  <c r="AW461" i="17"/>
  <c r="B461" i="17"/>
  <c r="AQ460" i="17"/>
  <c r="AM460" i="17"/>
  <c r="AI460" i="17"/>
  <c r="AP460" i="17"/>
  <c r="AL460" i="17"/>
  <c r="AH460" i="17"/>
  <c r="AS460" i="17"/>
  <c r="AO460" i="17"/>
  <c r="AK460" i="17"/>
  <c r="AJ460" i="17"/>
  <c r="AR460" i="17"/>
  <c r="AN460" i="17"/>
  <c r="P460" i="17" l="1"/>
  <c r="R460" i="17" s="1"/>
  <c r="O461" i="17"/>
  <c r="BJ461" i="17" s="1"/>
  <c r="H461" i="17"/>
  <c r="F462" i="17"/>
  <c r="AP461" i="17"/>
  <c r="AL461" i="17"/>
  <c r="AH461" i="17"/>
  <c r="AS461" i="17"/>
  <c r="AO461" i="17"/>
  <c r="AK461" i="17"/>
  <c r="AR461" i="17"/>
  <c r="AN461" i="17"/>
  <c r="AJ461" i="17"/>
  <c r="AI461" i="17"/>
  <c r="AQ461" i="17"/>
  <c r="AM461" i="17"/>
  <c r="C463" i="17"/>
  <c r="G463" i="17" s="1"/>
  <c r="AW462" i="17"/>
  <c r="B462" i="17"/>
  <c r="P461" i="17" l="1"/>
  <c r="R461" i="17" s="1"/>
  <c r="O462" i="17"/>
  <c r="BJ462" i="17" s="1"/>
  <c r="H462" i="17"/>
  <c r="F463" i="17"/>
  <c r="B463" i="17"/>
  <c r="AW463" i="17"/>
  <c r="C464" i="17"/>
  <c r="G464" i="17" s="1"/>
  <c r="AS462" i="17"/>
  <c r="AO462" i="17"/>
  <c r="AK462" i="17"/>
  <c r="AR462" i="17"/>
  <c r="AN462" i="17"/>
  <c r="AJ462" i="17"/>
  <c r="AQ462" i="17"/>
  <c r="AM462" i="17"/>
  <c r="AI462" i="17"/>
  <c r="AH462" i="17"/>
  <c r="AP462" i="17"/>
  <c r="AL462" i="17"/>
  <c r="P462" i="17" l="1"/>
  <c r="R462" i="17" s="1"/>
  <c r="O463" i="17"/>
  <c r="BJ463" i="17" s="1"/>
  <c r="H463" i="17"/>
  <c r="F464" i="17"/>
  <c r="AR463" i="17"/>
  <c r="AN463" i="17"/>
  <c r="AJ463" i="17"/>
  <c r="AQ463" i="17"/>
  <c r="AM463" i="17"/>
  <c r="AI463" i="17"/>
  <c r="AP463" i="17"/>
  <c r="AL463" i="17"/>
  <c r="AH463" i="17"/>
  <c r="AK463" i="17"/>
  <c r="AS463" i="17"/>
  <c r="AO463" i="17"/>
  <c r="B464" i="17"/>
  <c r="C465" i="17"/>
  <c r="G465" i="17" s="1"/>
  <c r="AW464" i="17"/>
  <c r="P463" i="17" l="1"/>
  <c r="O464" i="17"/>
  <c r="BJ464" i="17" s="1"/>
  <c r="H464" i="17"/>
  <c r="F465" i="17"/>
  <c r="R463" i="17"/>
  <c r="AQ464" i="17"/>
  <c r="AM464" i="17"/>
  <c r="AI464" i="17"/>
  <c r="AP464" i="17"/>
  <c r="AL464" i="17"/>
  <c r="AH464" i="17"/>
  <c r="AS464" i="17"/>
  <c r="AO464" i="17"/>
  <c r="AK464" i="17"/>
  <c r="AR464" i="17"/>
  <c r="AN464" i="17"/>
  <c r="AJ464" i="17"/>
  <c r="C466" i="17"/>
  <c r="G466" i="17" s="1"/>
  <c r="AW465" i="17"/>
  <c r="B465" i="17"/>
  <c r="P464" i="17" l="1"/>
  <c r="R464" i="17" s="1"/>
  <c r="O465" i="17"/>
  <c r="P465" i="17" s="1"/>
  <c r="H465" i="17"/>
  <c r="F466" i="17"/>
  <c r="AP465" i="17"/>
  <c r="AL465" i="17"/>
  <c r="AH465" i="17"/>
  <c r="AS465" i="17"/>
  <c r="AO465" i="17"/>
  <c r="AK465" i="17"/>
  <c r="AR465" i="17"/>
  <c r="AN465" i="17"/>
  <c r="AJ465" i="17"/>
  <c r="AQ465" i="17"/>
  <c r="AM465" i="17"/>
  <c r="AI465" i="17"/>
  <c r="C467" i="17"/>
  <c r="G467" i="17" s="1"/>
  <c r="AW466" i="17"/>
  <c r="B466" i="17"/>
  <c r="BJ465" i="17" l="1"/>
  <c r="O466" i="17"/>
  <c r="BJ466" i="17" s="1"/>
  <c r="H466" i="17"/>
  <c r="F467" i="17"/>
  <c r="R465" i="17"/>
  <c r="AS466" i="17"/>
  <c r="AO466" i="17"/>
  <c r="AK466" i="17"/>
  <c r="AR466" i="17"/>
  <c r="AN466" i="17"/>
  <c r="AJ466" i="17"/>
  <c r="AQ466" i="17"/>
  <c r="AM466" i="17"/>
  <c r="AI466" i="17"/>
  <c r="AP466" i="17"/>
  <c r="AL466" i="17"/>
  <c r="AH466" i="17"/>
  <c r="B467" i="17"/>
  <c r="AW467" i="17"/>
  <c r="C468" i="17"/>
  <c r="G468" i="17" s="1"/>
  <c r="P466" i="17" l="1"/>
  <c r="R466" i="17" s="1"/>
  <c r="O467" i="17"/>
  <c r="BJ467" i="17" s="1"/>
  <c r="H467" i="17"/>
  <c r="F468" i="17"/>
  <c r="B468" i="17"/>
  <c r="C469" i="17"/>
  <c r="G469" i="17" s="1"/>
  <c r="AW468" i="17"/>
  <c r="AR467" i="17"/>
  <c r="AN467" i="17"/>
  <c r="AJ467" i="17"/>
  <c r="AQ467" i="17"/>
  <c r="AM467" i="17"/>
  <c r="AI467" i="17"/>
  <c r="AP467" i="17"/>
  <c r="AL467" i="17"/>
  <c r="AH467" i="17"/>
  <c r="AS467" i="17"/>
  <c r="AO467" i="17"/>
  <c r="AK467" i="17"/>
  <c r="P467" i="17" l="1"/>
  <c r="O468" i="17"/>
  <c r="P468" i="17" s="1"/>
  <c r="H468" i="17"/>
  <c r="F469" i="17"/>
  <c r="R467" i="17"/>
  <c r="AQ468" i="17"/>
  <c r="AM468" i="17"/>
  <c r="AI468" i="17"/>
  <c r="AP468" i="17"/>
  <c r="AL468" i="17"/>
  <c r="AH468" i="17"/>
  <c r="AS468" i="17"/>
  <c r="AO468" i="17"/>
  <c r="AK468" i="17"/>
  <c r="AR468" i="17"/>
  <c r="AN468" i="17"/>
  <c r="AJ468" i="17"/>
  <c r="C470" i="17"/>
  <c r="G470" i="17" s="1"/>
  <c r="AW469" i="17"/>
  <c r="B469" i="17"/>
  <c r="BJ468" i="17" l="1"/>
  <c r="O469" i="17"/>
  <c r="BJ469" i="17" s="1"/>
  <c r="H469" i="17"/>
  <c r="F470" i="17"/>
  <c r="R468" i="17"/>
  <c r="AP469" i="17"/>
  <c r="AL469" i="17"/>
  <c r="AH469" i="17"/>
  <c r="AS469" i="17"/>
  <c r="AO469" i="17"/>
  <c r="AK469" i="17"/>
  <c r="AR469" i="17"/>
  <c r="AN469" i="17"/>
  <c r="AJ469" i="17"/>
  <c r="AQ469" i="17"/>
  <c r="AM469" i="17"/>
  <c r="AI469" i="17"/>
  <c r="C471" i="17"/>
  <c r="G471" i="17" s="1"/>
  <c r="AW470" i="17"/>
  <c r="B470" i="17"/>
  <c r="P469" i="17" l="1"/>
  <c r="O470" i="17"/>
  <c r="BJ470" i="17" s="1"/>
  <c r="H470" i="17"/>
  <c r="F471" i="17"/>
  <c r="R469" i="17"/>
  <c r="AS470" i="17"/>
  <c r="AO470" i="17"/>
  <c r="AK470" i="17"/>
  <c r="AR470" i="17"/>
  <c r="AN470" i="17"/>
  <c r="AJ470" i="17"/>
  <c r="AQ470" i="17"/>
  <c r="AM470" i="17"/>
  <c r="AI470" i="17"/>
  <c r="AP470" i="17"/>
  <c r="AL470" i="17"/>
  <c r="AH470" i="17"/>
  <c r="B471" i="17"/>
  <c r="C472" i="17"/>
  <c r="G472" i="17" s="1"/>
  <c r="AW471" i="17"/>
  <c r="P470" i="17" l="1"/>
  <c r="O471" i="17"/>
  <c r="BJ471" i="17" s="1"/>
  <c r="H471" i="17"/>
  <c r="F472" i="17"/>
  <c r="R470" i="17"/>
  <c r="B472" i="17"/>
  <c r="C473" i="17"/>
  <c r="G473" i="17" s="1"/>
  <c r="AW472" i="17"/>
  <c r="AR471" i="17"/>
  <c r="AN471" i="17"/>
  <c r="AJ471" i="17"/>
  <c r="AQ471" i="17"/>
  <c r="AM471" i="17"/>
  <c r="AI471" i="17"/>
  <c r="AP471" i="17"/>
  <c r="AL471" i="17"/>
  <c r="AH471" i="17"/>
  <c r="AS471" i="17"/>
  <c r="AO471" i="17"/>
  <c r="AK471" i="17"/>
  <c r="P471" i="17" l="1"/>
  <c r="O472" i="17"/>
  <c r="BJ472" i="17" s="1"/>
  <c r="H472" i="17"/>
  <c r="F473" i="17"/>
  <c r="R471" i="17"/>
  <c r="C474" i="17"/>
  <c r="G474" i="17" s="1"/>
  <c r="AW473" i="17"/>
  <c r="B473" i="17"/>
  <c r="AQ472" i="17"/>
  <c r="AM472" i="17"/>
  <c r="AI472" i="17"/>
  <c r="AP472" i="17"/>
  <c r="AL472" i="17"/>
  <c r="AH472" i="17"/>
  <c r="AS472" i="17"/>
  <c r="AO472" i="17"/>
  <c r="AK472" i="17"/>
  <c r="AN472" i="17"/>
  <c r="AJ472" i="17"/>
  <c r="AR472" i="17"/>
  <c r="P472" i="17" l="1"/>
  <c r="O473" i="17"/>
  <c r="BJ473" i="17" s="1"/>
  <c r="H473" i="17"/>
  <c r="F474" i="17"/>
  <c r="R472" i="17"/>
  <c r="C475" i="17"/>
  <c r="G475" i="17" s="1"/>
  <c r="AW474" i="17"/>
  <c r="B474" i="17"/>
  <c r="AP473" i="17"/>
  <c r="AL473" i="17"/>
  <c r="AH473" i="17"/>
  <c r="AS473" i="17"/>
  <c r="AO473" i="17"/>
  <c r="AK473" i="17"/>
  <c r="AR473" i="17"/>
  <c r="AN473" i="17"/>
  <c r="AJ473" i="17"/>
  <c r="AM473" i="17"/>
  <c r="AI473" i="17"/>
  <c r="AQ473" i="17"/>
  <c r="P473" i="17" l="1"/>
  <c r="O474" i="17"/>
  <c r="P474" i="17" s="1"/>
  <c r="H474" i="17"/>
  <c r="F475" i="17"/>
  <c r="R473" i="17"/>
  <c r="AS474" i="17"/>
  <c r="AO474" i="17"/>
  <c r="AK474" i="17"/>
  <c r="AR474" i="17"/>
  <c r="AN474" i="17"/>
  <c r="AJ474" i="17"/>
  <c r="AQ474" i="17"/>
  <c r="AM474" i="17"/>
  <c r="AI474" i="17"/>
  <c r="AL474" i="17"/>
  <c r="AH474" i="17"/>
  <c r="AP474" i="17"/>
  <c r="B475" i="17"/>
  <c r="AW475" i="17"/>
  <c r="C476" i="17"/>
  <c r="G476" i="17" s="1"/>
  <c r="BJ474" i="17" l="1"/>
  <c r="O475" i="17"/>
  <c r="BJ475" i="17" s="1"/>
  <c r="H475" i="17"/>
  <c r="F476" i="17"/>
  <c r="R474" i="17"/>
  <c r="B476" i="17"/>
  <c r="C477" i="17"/>
  <c r="G477" i="17" s="1"/>
  <c r="AW476" i="17"/>
  <c r="AR475" i="17"/>
  <c r="AN475" i="17"/>
  <c r="AJ475" i="17"/>
  <c r="AQ475" i="17"/>
  <c r="AM475" i="17"/>
  <c r="AI475" i="17"/>
  <c r="AP475" i="17"/>
  <c r="AL475" i="17"/>
  <c r="AH475" i="17"/>
  <c r="AO475" i="17"/>
  <c r="AK475" i="17"/>
  <c r="AS475" i="17"/>
  <c r="P475" i="17" l="1"/>
  <c r="R475" i="17" s="1"/>
  <c r="O476" i="17"/>
  <c r="BJ476" i="17" s="1"/>
  <c r="H476" i="17"/>
  <c r="F477" i="17"/>
  <c r="AQ476" i="17"/>
  <c r="AM476" i="17"/>
  <c r="AI476" i="17"/>
  <c r="AP476" i="17"/>
  <c r="AL476" i="17"/>
  <c r="AH476" i="17"/>
  <c r="AS476" i="17"/>
  <c r="AO476" i="17"/>
  <c r="AK476" i="17"/>
  <c r="AJ476" i="17"/>
  <c r="AR476" i="17"/>
  <c r="AN476" i="17"/>
  <c r="C478" i="17"/>
  <c r="G478" i="17" s="1"/>
  <c r="AW477" i="17"/>
  <c r="B477" i="17"/>
  <c r="P476" i="17" l="1"/>
  <c r="O477" i="17"/>
  <c r="BJ477" i="17" s="1"/>
  <c r="H477" i="17"/>
  <c r="F478" i="17"/>
  <c r="R476" i="17"/>
  <c r="C479" i="17"/>
  <c r="G479" i="17" s="1"/>
  <c r="AW478" i="17"/>
  <c r="B478" i="17"/>
  <c r="AP477" i="17"/>
  <c r="AL477" i="17"/>
  <c r="AH477" i="17"/>
  <c r="AS477" i="17"/>
  <c r="AO477" i="17"/>
  <c r="AK477" i="17"/>
  <c r="AR477" i="17"/>
  <c r="AN477" i="17"/>
  <c r="AJ477" i="17"/>
  <c r="AI477" i="17"/>
  <c r="AQ477" i="17"/>
  <c r="AM477" i="17"/>
  <c r="P477" i="17" l="1"/>
  <c r="R477" i="17" s="1"/>
  <c r="O478" i="17"/>
  <c r="BJ478" i="17" s="1"/>
  <c r="H478" i="17"/>
  <c r="F479" i="17"/>
  <c r="AS478" i="17"/>
  <c r="AO478" i="17"/>
  <c r="AK478" i="17"/>
  <c r="AR478" i="17"/>
  <c r="AN478" i="17"/>
  <c r="AJ478" i="17"/>
  <c r="AQ478" i="17"/>
  <c r="AM478" i="17"/>
  <c r="AI478" i="17"/>
  <c r="AH478" i="17"/>
  <c r="AP478" i="17"/>
  <c r="AL478" i="17"/>
  <c r="B479" i="17"/>
  <c r="AW479" i="17"/>
  <c r="C480" i="17"/>
  <c r="G480" i="17" s="1"/>
  <c r="P478" i="17" l="1"/>
  <c r="O479" i="17"/>
  <c r="P479" i="17" s="1"/>
  <c r="H479" i="17"/>
  <c r="F480" i="17"/>
  <c r="R478" i="17"/>
  <c r="AR479" i="17"/>
  <c r="AN479" i="17"/>
  <c r="AJ479" i="17"/>
  <c r="AQ479" i="17"/>
  <c r="AM479" i="17"/>
  <c r="AI479" i="17"/>
  <c r="AP479" i="17"/>
  <c r="AL479" i="17"/>
  <c r="AH479" i="17"/>
  <c r="AK479" i="17"/>
  <c r="AS479" i="17"/>
  <c r="AO479" i="17"/>
  <c r="B480" i="17"/>
  <c r="C481" i="17"/>
  <c r="G481" i="17" s="1"/>
  <c r="AW480" i="17"/>
  <c r="BJ479" i="17" l="1"/>
  <c r="O480" i="17"/>
  <c r="BJ480" i="17" s="1"/>
  <c r="H480" i="17"/>
  <c r="F481" i="17"/>
  <c r="R479" i="17"/>
  <c r="C482" i="17"/>
  <c r="G482" i="17" s="1"/>
  <c r="AW481" i="17"/>
  <c r="B481" i="17"/>
  <c r="AQ480" i="17"/>
  <c r="AM480" i="17"/>
  <c r="AI480" i="17"/>
  <c r="AP480" i="17"/>
  <c r="AL480" i="17"/>
  <c r="AH480" i="17"/>
  <c r="AS480" i="17"/>
  <c r="AO480" i="17"/>
  <c r="AK480" i="17"/>
  <c r="AR480" i="17"/>
  <c r="AN480" i="17"/>
  <c r="AJ480" i="17"/>
  <c r="P480" i="17" l="1"/>
  <c r="R480" i="17" s="1"/>
  <c r="O481" i="17"/>
  <c r="BJ481" i="17" s="1"/>
  <c r="H481" i="17"/>
  <c r="F482" i="17"/>
  <c r="AP481" i="17"/>
  <c r="AL481" i="17"/>
  <c r="AH481" i="17"/>
  <c r="AS481" i="17"/>
  <c r="AO481" i="17"/>
  <c r="AK481" i="17"/>
  <c r="AR481" i="17"/>
  <c r="AN481" i="17"/>
  <c r="AJ481" i="17"/>
  <c r="AQ481" i="17"/>
  <c r="AM481" i="17"/>
  <c r="AI481" i="17"/>
  <c r="C483" i="17"/>
  <c r="G483" i="17" s="1"/>
  <c r="AW482" i="17"/>
  <c r="B482" i="17"/>
  <c r="P481" i="17" l="1"/>
  <c r="R481" i="17" s="1"/>
  <c r="O482" i="17"/>
  <c r="BJ482" i="17" s="1"/>
  <c r="H482" i="17"/>
  <c r="F483" i="17"/>
  <c r="AS482" i="17"/>
  <c r="AO482" i="17"/>
  <c r="AK482" i="17"/>
  <c r="AR482" i="17"/>
  <c r="AN482" i="17"/>
  <c r="AJ482" i="17"/>
  <c r="AQ482" i="17"/>
  <c r="AM482" i="17"/>
  <c r="AI482" i="17"/>
  <c r="AP482" i="17"/>
  <c r="AL482" i="17"/>
  <c r="AH482" i="17"/>
  <c r="B483" i="17"/>
  <c r="AW483" i="17"/>
  <c r="C484" i="17"/>
  <c r="G484" i="17" s="1"/>
  <c r="P482" i="17" l="1"/>
  <c r="R482" i="17" s="1"/>
  <c r="O483" i="17"/>
  <c r="BJ483" i="17" s="1"/>
  <c r="H483" i="17"/>
  <c r="F484" i="17"/>
  <c r="AR483" i="17"/>
  <c r="AN483" i="17"/>
  <c r="AJ483" i="17"/>
  <c r="AQ483" i="17"/>
  <c r="AM483" i="17"/>
  <c r="AI483" i="17"/>
  <c r="AP483" i="17"/>
  <c r="AL483" i="17"/>
  <c r="AH483" i="17"/>
  <c r="AS483" i="17"/>
  <c r="AO483" i="17"/>
  <c r="AK483" i="17"/>
  <c r="B484" i="17"/>
  <c r="C485" i="17"/>
  <c r="G485" i="17" s="1"/>
  <c r="AW484" i="17"/>
  <c r="P483" i="17" l="1"/>
  <c r="O484" i="17"/>
  <c r="BJ484" i="17" s="1"/>
  <c r="H484" i="17"/>
  <c r="F485" i="17"/>
  <c r="R483" i="17"/>
  <c r="AQ484" i="17"/>
  <c r="AM484" i="17"/>
  <c r="AI484" i="17"/>
  <c r="AP484" i="17"/>
  <c r="AL484" i="17"/>
  <c r="AH484" i="17"/>
  <c r="AS484" i="17"/>
  <c r="AO484" i="17"/>
  <c r="AK484" i="17"/>
  <c r="AR484" i="17"/>
  <c r="AN484" i="17"/>
  <c r="AJ484" i="17"/>
  <c r="C486" i="17"/>
  <c r="G486" i="17" s="1"/>
  <c r="AW485" i="17"/>
  <c r="B485" i="17"/>
  <c r="P484" i="17" l="1"/>
  <c r="R484" i="17" s="1"/>
  <c r="O485" i="17"/>
  <c r="BJ485" i="17" s="1"/>
  <c r="H485" i="17"/>
  <c r="P485" i="17"/>
  <c r="F486" i="17"/>
  <c r="AP485" i="17"/>
  <c r="AL485" i="17"/>
  <c r="AH485" i="17"/>
  <c r="AS485" i="17"/>
  <c r="AO485" i="17"/>
  <c r="AK485" i="17"/>
  <c r="AR485" i="17"/>
  <c r="AN485" i="17"/>
  <c r="AJ485" i="17"/>
  <c r="AQ485" i="17"/>
  <c r="AM485" i="17"/>
  <c r="AI485" i="17"/>
  <c r="C487" i="17"/>
  <c r="G487" i="17" s="1"/>
  <c r="AW486" i="17"/>
  <c r="B486" i="17"/>
  <c r="O486" i="17" l="1"/>
  <c r="H486" i="17"/>
  <c r="P486" i="17"/>
  <c r="BJ486" i="17"/>
  <c r="F487" i="17"/>
  <c r="R485" i="17"/>
  <c r="B487" i="17"/>
  <c r="C488" i="17"/>
  <c r="G488" i="17" s="1"/>
  <c r="AW487" i="17"/>
  <c r="AS486" i="17"/>
  <c r="AO486" i="17"/>
  <c r="AK486" i="17"/>
  <c r="AR486" i="17"/>
  <c r="AN486" i="17"/>
  <c r="AJ486" i="17"/>
  <c r="AQ486" i="17"/>
  <c r="AM486" i="17"/>
  <c r="AI486" i="17"/>
  <c r="AP486" i="17"/>
  <c r="AL486" i="17"/>
  <c r="AH486" i="17"/>
  <c r="O487" i="17" l="1"/>
  <c r="P487" i="17" s="1"/>
  <c r="H487" i="17"/>
  <c r="BJ487" i="17"/>
  <c r="F488" i="17"/>
  <c r="R486" i="17"/>
  <c r="AR487" i="17"/>
  <c r="AN487" i="17"/>
  <c r="AJ487" i="17"/>
  <c r="AQ487" i="17"/>
  <c r="AM487" i="17"/>
  <c r="AI487" i="17"/>
  <c r="AP487" i="17"/>
  <c r="AL487" i="17"/>
  <c r="AH487" i="17"/>
  <c r="AS487" i="17"/>
  <c r="AO487" i="17"/>
  <c r="AK487" i="17"/>
  <c r="B488" i="17"/>
  <c r="C489" i="17"/>
  <c r="G489" i="17" s="1"/>
  <c r="AW488" i="17"/>
  <c r="O488" i="17" l="1"/>
  <c r="BJ488" i="17" s="1"/>
  <c r="H488" i="17"/>
  <c r="P488" i="17"/>
  <c r="F489" i="17"/>
  <c r="R487" i="17"/>
  <c r="C490" i="17"/>
  <c r="G490" i="17" s="1"/>
  <c r="AW489" i="17"/>
  <c r="B489" i="17"/>
  <c r="AQ488" i="17"/>
  <c r="AM488" i="17"/>
  <c r="AI488" i="17"/>
  <c r="AP488" i="17"/>
  <c r="AL488" i="17"/>
  <c r="AH488" i="17"/>
  <c r="AS488" i="17"/>
  <c r="AO488" i="17"/>
  <c r="AK488" i="17"/>
  <c r="AN488" i="17"/>
  <c r="AJ488" i="17"/>
  <c r="AR488" i="17"/>
  <c r="O489" i="17" l="1"/>
  <c r="P489" i="17" s="1"/>
  <c r="H489" i="17"/>
  <c r="BJ489" i="17"/>
  <c r="F490" i="17"/>
  <c r="R488" i="17"/>
  <c r="C491" i="17"/>
  <c r="G491" i="17" s="1"/>
  <c r="AW490" i="17"/>
  <c r="B490" i="17"/>
  <c r="AP489" i="17"/>
  <c r="AL489" i="17"/>
  <c r="AH489" i="17"/>
  <c r="AS489" i="17"/>
  <c r="AO489" i="17"/>
  <c r="AK489" i="17"/>
  <c r="AR489" i="17"/>
  <c r="AN489" i="17"/>
  <c r="AJ489" i="17"/>
  <c r="AM489" i="17"/>
  <c r="AI489" i="17"/>
  <c r="AQ489" i="17"/>
  <c r="O490" i="17" l="1"/>
  <c r="P490" i="17" s="1"/>
  <c r="H490" i="17"/>
  <c r="F491" i="17"/>
  <c r="R489" i="17"/>
  <c r="AS490" i="17"/>
  <c r="AO490" i="17"/>
  <c r="AK490" i="17"/>
  <c r="AR490" i="17"/>
  <c r="AN490" i="17"/>
  <c r="AJ490" i="17"/>
  <c r="AQ490" i="17"/>
  <c r="AM490" i="17"/>
  <c r="AI490" i="17"/>
  <c r="AL490" i="17"/>
  <c r="AH490" i="17"/>
  <c r="AP490" i="17"/>
  <c r="B491" i="17"/>
  <c r="AW491" i="17"/>
  <c r="C492" i="17"/>
  <c r="G492" i="17" s="1"/>
  <c r="BJ490" i="17" l="1"/>
  <c r="O491" i="17"/>
  <c r="BJ491" i="17" s="1"/>
  <c r="H491" i="17"/>
  <c r="F492" i="17"/>
  <c r="R490" i="17"/>
  <c r="AR491" i="17"/>
  <c r="AN491" i="17"/>
  <c r="AJ491" i="17"/>
  <c r="AQ491" i="17"/>
  <c r="AM491" i="17"/>
  <c r="AI491" i="17"/>
  <c r="AP491" i="17"/>
  <c r="AL491" i="17"/>
  <c r="AH491" i="17"/>
  <c r="AO491" i="17"/>
  <c r="AK491" i="17"/>
  <c r="AS491" i="17"/>
  <c r="B492" i="17"/>
  <c r="C493" i="17"/>
  <c r="G493" i="17" s="1"/>
  <c r="AW492" i="17"/>
  <c r="P491" i="17" l="1"/>
  <c r="R491" i="17" s="1"/>
  <c r="O492" i="17"/>
  <c r="BJ492" i="17" s="1"/>
  <c r="H492" i="17"/>
  <c r="P492" i="17"/>
  <c r="F493" i="17"/>
  <c r="AQ492" i="17"/>
  <c r="AM492" i="17"/>
  <c r="AI492" i="17"/>
  <c r="AP492" i="17"/>
  <c r="AL492" i="17"/>
  <c r="AH492" i="17"/>
  <c r="AS492" i="17"/>
  <c r="AO492" i="17"/>
  <c r="AK492" i="17"/>
  <c r="AJ492" i="17"/>
  <c r="AR492" i="17"/>
  <c r="AN492" i="17"/>
  <c r="C494" i="17"/>
  <c r="G494" i="17" s="1"/>
  <c r="AW493" i="17"/>
  <c r="B493" i="17"/>
  <c r="O493" i="17" l="1"/>
  <c r="H493" i="17"/>
  <c r="P493" i="17"/>
  <c r="BJ493" i="17"/>
  <c r="F494" i="17"/>
  <c r="R492" i="17"/>
  <c r="C495" i="17"/>
  <c r="G495" i="17" s="1"/>
  <c r="AW494" i="17"/>
  <c r="B494" i="17"/>
  <c r="AP493" i="17"/>
  <c r="AL493" i="17"/>
  <c r="AH493" i="17"/>
  <c r="AS493" i="17"/>
  <c r="AO493" i="17"/>
  <c r="AK493" i="17"/>
  <c r="AR493" i="17"/>
  <c r="AN493" i="17"/>
  <c r="AJ493" i="17"/>
  <c r="AI493" i="17"/>
  <c r="AQ493" i="17"/>
  <c r="AM493" i="17"/>
  <c r="O494" i="17" l="1"/>
  <c r="H494" i="17"/>
  <c r="P494" i="17"/>
  <c r="BJ494" i="17"/>
  <c r="F495" i="17"/>
  <c r="R493" i="17"/>
  <c r="AS494" i="17"/>
  <c r="AO494" i="17"/>
  <c r="AK494" i="17"/>
  <c r="AR494" i="17"/>
  <c r="AN494" i="17"/>
  <c r="AJ494" i="17"/>
  <c r="AQ494" i="17"/>
  <c r="AM494" i="17"/>
  <c r="AI494" i="17"/>
  <c r="AH494" i="17"/>
  <c r="AP494" i="17"/>
  <c r="AL494" i="17"/>
  <c r="B495" i="17"/>
  <c r="AW495" i="17"/>
  <c r="C496" i="17"/>
  <c r="G496" i="17" s="1"/>
  <c r="O495" i="17" l="1"/>
  <c r="H495" i="17"/>
  <c r="P495" i="17"/>
  <c r="BJ495" i="17"/>
  <c r="F496" i="17"/>
  <c r="R494" i="17"/>
  <c r="B496" i="17"/>
  <c r="C497" i="17"/>
  <c r="G497" i="17" s="1"/>
  <c r="AW496" i="17"/>
  <c r="AR495" i="17"/>
  <c r="AN495" i="17"/>
  <c r="AJ495" i="17"/>
  <c r="AQ495" i="17"/>
  <c r="AM495" i="17"/>
  <c r="AI495" i="17"/>
  <c r="AP495" i="17"/>
  <c r="AL495" i="17"/>
  <c r="AH495" i="17"/>
  <c r="AK495" i="17"/>
  <c r="AS495" i="17"/>
  <c r="AO495" i="17"/>
  <c r="O496" i="17" l="1"/>
  <c r="H496" i="17"/>
  <c r="P496" i="17"/>
  <c r="BJ496" i="17"/>
  <c r="F497" i="17"/>
  <c r="R495" i="17"/>
  <c r="C498" i="17"/>
  <c r="G498" i="17" s="1"/>
  <c r="AW497" i="17"/>
  <c r="B497" i="17"/>
  <c r="AQ496" i="17"/>
  <c r="AM496" i="17"/>
  <c r="AI496" i="17"/>
  <c r="AP496" i="17"/>
  <c r="AL496" i="17"/>
  <c r="AH496" i="17"/>
  <c r="AS496" i="17"/>
  <c r="AO496" i="17"/>
  <c r="AK496" i="17"/>
  <c r="AR496" i="17"/>
  <c r="AN496" i="17"/>
  <c r="AJ496" i="17"/>
  <c r="O497" i="17" l="1"/>
  <c r="H497" i="17"/>
  <c r="P497" i="17"/>
  <c r="BJ497" i="17"/>
  <c r="F498" i="17"/>
  <c r="R496" i="17"/>
  <c r="AP497" i="17"/>
  <c r="AL497" i="17"/>
  <c r="AH497" i="17"/>
  <c r="AS497" i="17"/>
  <c r="AO497" i="17"/>
  <c r="AK497" i="17"/>
  <c r="AR497" i="17"/>
  <c r="AN497" i="17"/>
  <c r="AJ497" i="17"/>
  <c r="AQ497" i="17"/>
  <c r="AM497" i="17"/>
  <c r="AI497" i="17"/>
  <c r="C499" i="17"/>
  <c r="G499" i="17" s="1"/>
  <c r="AW498" i="17"/>
  <c r="B498" i="17"/>
  <c r="O498" i="17" l="1"/>
  <c r="H498" i="17"/>
  <c r="P498" i="17"/>
  <c r="BJ498" i="17"/>
  <c r="F499" i="17"/>
  <c r="R497" i="17"/>
  <c r="AS498" i="17"/>
  <c r="AO498" i="17"/>
  <c r="AK498" i="17"/>
  <c r="AR498" i="17"/>
  <c r="AN498" i="17"/>
  <c r="AJ498" i="17"/>
  <c r="AQ498" i="17"/>
  <c r="AM498" i="17"/>
  <c r="AI498" i="17"/>
  <c r="AP498" i="17"/>
  <c r="AL498" i="17"/>
  <c r="AH498" i="17"/>
  <c r="B499" i="17"/>
  <c r="AW499" i="17"/>
  <c r="C500" i="17"/>
  <c r="G500" i="17" s="1"/>
  <c r="O499" i="17" l="1"/>
  <c r="H499" i="17"/>
  <c r="P499" i="17"/>
  <c r="BJ499" i="17"/>
  <c r="F500" i="17"/>
  <c r="R498" i="17"/>
  <c r="B500" i="17"/>
  <c r="C501" i="17"/>
  <c r="G501" i="17" s="1"/>
  <c r="AW500" i="17"/>
  <c r="AR499" i="17"/>
  <c r="AN499" i="17"/>
  <c r="AJ499" i="17"/>
  <c r="AQ499" i="17"/>
  <c r="AM499" i="17"/>
  <c r="AI499" i="17"/>
  <c r="AP499" i="17"/>
  <c r="AL499" i="17"/>
  <c r="AH499" i="17"/>
  <c r="AS499" i="17"/>
  <c r="AO499" i="17"/>
  <c r="AK499" i="17"/>
  <c r="O500" i="17" l="1"/>
  <c r="H500" i="17"/>
  <c r="P500" i="17"/>
  <c r="BJ500" i="17"/>
  <c r="F501" i="17"/>
  <c r="R499" i="17"/>
  <c r="C502" i="17"/>
  <c r="G502" i="17" s="1"/>
  <c r="AW501" i="17"/>
  <c r="B501" i="17"/>
  <c r="AQ500" i="17"/>
  <c r="AM500" i="17"/>
  <c r="AI500" i="17"/>
  <c r="AP500" i="17"/>
  <c r="AL500" i="17"/>
  <c r="AH500" i="17"/>
  <c r="AS500" i="17"/>
  <c r="AO500" i="17"/>
  <c r="AK500" i="17"/>
  <c r="AR500" i="17"/>
  <c r="AN500" i="17"/>
  <c r="AJ500" i="17"/>
  <c r="O501" i="17" l="1"/>
  <c r="P501" i="17" s="1"/>
  <c r="H501" i="17"/>
  <c r="BJ501" i="17"/>
  <c r="F502" i="17"/>
  <c r="R500" i="17"/>
  <c r="C503" i="17"/>
  <c r="G503" i="17" s="1"/>
  <c r="AW502" i="17"/>
  <c r="B502" i="17"/>
  <c r="AP501" i="17"/>
  <c r="AL501" i="17"/>
  <c r="AH501" i="17"/>
  <c r="AS501" i="17"/>
  <c r="AO501" i="17"/>
  <c r="AK501" i="17"/>
  <c r="AR501" i="17"/>
  <c r="AN501" i="17"/>
  <c r="AJ501" i="17"/>
  <c r="AQ501" i="17"/>
  <c r="AM501" i="17"/>
  <c r="AI501" i="17"/>
  <c r="O502" i="17" l="1"/>
  <c r="P502" i="17" s="1"/>
  <c r="H502" i="17"/>
  <c r="F503" i="17"/>
  <c r="R501" i="17"/>
  <c r="AS502" i="17"/>
  <c r="AO502" i="17"/>
  <c r="AK502" i="17"/>
  <c r="AR502" i="17"/>
  <c r="AN502" i="17"/>
  <c r="AJ502" i="17"/>
  <c r="AQ502" i="17"/>
  <c r="AM502" i="17"/>
  <c r="AI502" i="17"/>
  <c r="AP502" i="17"/>
  <c r="AL502" i="17"/>
  <c r="AH502" i="17"/>
  <c r="B503" i="17"/>
  <c r="C504" i="17"/>
  <c r="G504" i="17" s="1"/>
  <c r="AW503" i="17"/>
  <c r="BJ502" i="17" l="1"/>
  <c r="O503" i="17"/>
  <c r="BJ503" i="17" s="1"/>
  <c r="H503" i="17"/>
  <c r="F504" i="17"/>
  <c r="R502" i="17"/>
  <c r="B504" i="17"/>
  <c r="C505" i="17"/>
  <c r="G505" i="17" s="1"/>
  <c r="AW504" i="17"/>
  <c r="AR503" i="17"/>
  <c r="AN503" i="17"/>
  <c r="AJ503" i="17"/>
  <c r="AQ503" i="17"/>
  <c r="AM503" i="17"/>
  <c r="AI503" i="17"/>
  <c r="AP503" i="17"/>
  <c r="AL503" i="17"/>
  <c r="AH503" i="17"/>
  <c r="AS503" i="17"/>
  <c r="AO503" i="17"/>
  <c r="AK503" i="17"/>
  <c r="P503" i="17" l="1"/>
  <c r="R503" i="17" s="1"/>
  <c r="O504" i="17"/>
  <c r="BJ504" i="17" s="1"/>
  <c r="H504" i="17"/>
  <c r="F505" i="17"/>
  <c r="C506" i="17"/>
  <c r="G506" i="17" s="1"/>
  <c r="AW505" i="17"/>
  <c r="B505" i="17"/>
  <c r="AQ504" i="17"/>
  <c r="AM504" i="17"/>
  <c r="AI504" i="17"/>
  <c r="AP504" i="17"/>
  <c r="AL504" i="17"/>
  <c r="AH504" i="17"/>
  <c r="AS504" i="17"/>
  <c r="AO504" i="17"/>
  <c r="AK504" i="17"/>
  <c r="AN504" i="17"/>
  <c r="AJ504" i="17"/>
  <c r="AR504" i="17"/>
  <c r="P504" i="17" l="1"/>
  <c r="R504" i="17" s="1"/>
  <c r="O505" i="17"/>
  <c r="BJ505" i="17" s="1"/>
  <c r="H505" i="17"/>
  <c r="P505" i="17"/>
  <c r="F506" i="17"/>
  <c r="AP505" i="17"/>
  <c r="AL505" i="17"/>
  <c r="AH505" i="17"/>
  <c r="AS505" i="17"/>
  <c r="AO505" i="17"/>
  <c r="AK505" i="17"/>
  <c r="AR505" i="17"/>
  <c r="AN505" i="17"/>
  <c r="AJ505" i="17"/>
  <c r="AM505" i="17"/>
  <c r="AI505" i="17"/>
  <c r="AQ505" i="17"/>
  <c r="C507" i="17"/>
  <c r="G507" i="17" s="1"/>
  <c r="AW506" i="17"/>
  <c r="B506" i="17"/>
  <c r="O506" i="17" l="1"/>
  <c r="P506" i="17" s="1"/>
  <c r="H506" i="17"/>
  <c r="BJ506" i="17"/>
  <c r="F507" i="17"/>
  <c r="R505" i="17"/>
  <c r="AS506" i="17"/>
  <c r="AO506" i="17"/>
  <c r="AK506" i="17"/>
  <c r="AR506" i="17"/>
  <c r="AN506" i="17"/>
  <c r="AJ506" i="17"/>
  <c r="AQ506" i="17"/>
  <c r="AM506" i="17"/>
  <c r="AI506" i="17"/>
  <c r="AL506" i="17"/>
  <c r="AH506" i="17"/>
  <c r="AP506" i="17"/>
  <c r="B507" i="17"/>
  <c r="AW507" i="17"/>
  <c r="C508" i="17"/>
  <c r="G508" i="17" s="1"/>
  <c r="O507" i="17" l="1"/>
  <c r="H507" i="17"/>
  <c r="P507" i="17"/>
  <c r="BJ507" i="17"/>
  <c r="F508" i="17"/>
  <c r="R506" i="17"/>
  <c r="B508" i="17"/>
  <c r="C509" i="17"/>
  <c r="G509" i="17" s="1"/>
  <c r="AW508" i="17"/>
  <c r="AR507" i="17"/>
  <c r="AN507" i="17"/>
  <c r="AJ507" i="17"/>
  <c r="AQ507" i="17"/>
  <c r="AM507" i="17"/>
  <c r="AI507" i="17"/>
  <c r="AP507" i="17"/>
  <c r="AL507" i="17"/>
  <c r="AH507" i="17"/>
  <c r="AO507" i="17"/>
  <c r="AK507" i="17"/>
  <c r="AS507" i="17"/>
  <c r="O508" i="17" l="1"/>
  <c r="H508" i="17"/>
  <c r="P508" i="17"/>
  <c r="BJ508" i="17"/>
  <c r="F509" i="17"/>
  <c r="R507" i="17"/>
  <c r="C510" i="17"/>
  <c r="G510" i="17" s="1"/>
  <c r="AW509" i="17"/>
  <c r="B509" i="17"/>
  <c r="AQ508" i="17"/>
  <c r="AM508" i="17"/>
  <c r="AI508" i="17"/>
  <c r="AP508" i="17"/>
  <c r="AL508" i="17"/>
  <c r="AH508" i="17"/>
  <c r="AS508" i="17"/>
  <c r="AO508" i="17"/>
  <c r="AK508" i="17"/>
  <c r="AJ508" i="17"/>
  <c r="AR508" i="17"/>
  <c r="AN508" i="17"/>
  <c r="O509" i="17" l="1"/>
  <c r="H509" i="17"/>
  <c r="P509" i="17"/>
  <c r="BJ509" i="17"/>
  <c r="F510" i="17"/>
  <c r="R508" i="17"/>
  <c r="AP509" i="17"/>
  <c r="AL509" i="17"/>
  <c r="AH509" i="17"/>
  <c r="AS509" i="17"/>
  <c r="AO509" i="17"/>
  <c r="AK509" i="17"/>
  <c r="AR509" i="17"/>
  <c r="AN509" i="17"/>
  <c r="AJ509" i="17"/>
  <c r="AI509" i="17"/>
  <c r="AQ509" i="17"/>
  <c r="AM509" i="17"/>
  <c r="C511" i="17"/>
  <c r="G511" i="17" s="1"/>
  <c r="AW510" i="17"/>
  <c r="B510" i="17"/>
  <c r="O510" i="17" l="1"/>
  <c r="P510" i="17" s="1"/>
  <c r="H510" i="17"/>
  <c r="F511" i="17"/>
  <c r="R509" i="17"/>
  <c r="AS510" i="17"/>
  <c r="AO510" i="17"/>
  <c r="AK510" i="17"/>
  <c r="AR510" i="17"/>
  <c r="AN510" i="17"/>
  <c r="AJ510" i="17"/>
  <c r="AQ510" i="17"/>
  <c r="AM510" i="17"/>
  <c r="AI510" i="17"/>
  <c r="AH510" i="17"/>
  <c r="AP510" i="17"/>
  <c r="AL510" i="17"/>
  <c r="B511" i="17"/>
  <c r="AW511" i="17"/>
  <c r="C512" i="17"/>
  <c r="G512" i="17" s="1"/>
  <c r="BJ510" i="17" l="1"/>
  <c r="O511" i="17"/>
  <c r="BJ511" i="17" s="1"/>
  <c r="H511" i="17"/>
  <c r="F512" i="17"/>
  <c r="R510" i="17"/>
  <c r="B512" i="17"/>
  <c r="C513" i="17"/>
  <c r="G513" i="17" s="1"/>
  <c r="AW512" i="17"/>
  <c r="AR511" i="17"/>
  <c r="AN511" i="17"/>
  <c r="AJ511" i="17"/>
  <c r="AQ511" i="17"/>
  <c r="AM511" i="17"/>
  <c r="AI511" i="17"/>
  <c r="AP511" i="17"/>
  <c r="AL511" i="17"/>
  <c r="AH511" i="17"/>
  <c r="AK511" i="17"/>
  <c r="AS511" i="17"/>
  <c r="AO511" i="17"/>
  <c r="P511" i="17" l="1"/>
  <c r="R511" i="17" s="1"/>
  <c r="O512" i="17"/>
  <c r="BJ512" i="17" s="1"/>
  <c r="H512" i="17"/>
  <c r="F513" i="17"/>
  <c r="C514" i="17"/>
  <c r="G514" i="17" s="1"/>
  <c r="AW513" i="17"/>
  <c r="B513" i="17"/>
  <c r="AQ512" i="17"/>
  <c r="AM512" i="17"/>
  <c r="AI512" i="17"/>
  <c r="AP512" i="17"/>
  <c r="AL512" i="17"/>
  <c r="AH512" i="17"/>
  <c r="AS512" i="17"/>
  <c r="AO512" i="17"/>
  <c r="AK512" i="17"/>
  <c r="AR512" i="17"/>
  <c r="AN512" i="17"/>
  <c r="AJ512" i="17"/>
  <c r="P512" i="17" l="1"/>
  <c r="O513" i="17"/>
  <c r="BJ513" i="17" s="1"/>
  <c r="H513" i="17"/>
  <c r="F514" i="17"/>
  <c r="R512" i="17"/>
  <c r="AP513" i="17"/>
  <c r="AL513" i="17"/>
  <c r="AH513" i="17"/>
  <c r="AS513" i="17"/>
  <c r="AO513" i="17"/>
  <c r="AK513" i="17"/>
  <c r="AR513" i="17"/>
  <c r="AN513" i="17"/>
  <c r="AJ513" i="17"/>
  <c r="AQ513" i="17"/>
  <c r="AM513" i="17"/>
  <c r="AI513" i="17"/>
  <c r="C515" i="17"/>
  <c r="G515" i="17" s="1"/>
  <c r="AW514" i="17"/>
  <c r="B514" i="17"/>
  <c r="P513" i="17" l="1"/>
  <c r="R513" i="17" s="1"/>
  <c r="O514" i="17"/>
  <c r="BJ514" i="17" s="1"/>
  <c r="H514" i="17"/>
  <c r="F515" i="17"/>
  <c r="B515" i="17"/>
  <c r="AW515" i="17"/>
  <c r="C516" i="17"/>
  <c r="G516" i="17" s="1"/>
  <c r="AS514" i="17"/>
  <c r="AO514" i="17"/>
  <c r="AK514" i="17"/>
  <c r="AR514" i="17"/>
  <c r="AN514" i="17"/>
  <c r="AJ514" i="17"/>
  <c r="AQ514" i="17"/>
  <c r="AM514" i="17"/>
  <c r="AI514" i="17"/>
  <c r="AP514" i="17"/>
  <c r="AL514" i="17"/>
  <c r="AH514" i="17"/>
  <c r="P514" i="17" l="1"/>
  <c r="O515" i="17"/>
  <c r="BJ515" i="17" s="1"/>
  <c r="H515" i="17"/>
  <c r="F516" i="17"/>
  <c r="R514" i="17"/>
  <c r="AR515" i="17"/>
  <c r="AN515" i="17"/>
  <c r="AJ515" i="17"/>
  <c r="AQ515" i="17"/>
  <c r="AM515" i="17"/>
  <c r="AI515" i="17"/>
  <c r="AP515" i="17"/>
  <c r="AL515" i="17"/>
  <c r="AH515" i="17"/>
  <c r="AS515" i="17"/>
  <c r="AO515" i="17"/>
  <c r="AK515" i="17"/>
  <c r="B516" i="17"/>
  <c r="C517" i="17"/>
  <c r="G517" i="17" s="1"/>
  <c r="AW516" i="17"/>
  <c r="P515" i="17" l="1"/>
  <c r="O516" i="17"/>
  <c r="BJ516" i="17" s="1"/>
  <c r="H516" i="17"/>
  <c r="F517" i="17"/>
  <c r="R515" i="17"/>
  <c r="C518" i="17"/>
  <c r="G518" i="17" s="1"/>
  <c r="AW517" i="17"/>
  <c r="B517" i="17"/>
  <c r="AQ516" i="17"/>
  <c r="AM516" i="17"/>
  <c r="AI516" i="17"/>
  <c r="AP516" i="17"/>
  <c r="AL516" i="17"/>
  <c r="AH516" i="17"/>
  <c r="AS516" i="17"/>
  <c r="AO516" i="17"/>
  <c r="AK516" i="17"/>
  <c r="AR516" i="17"/>
  <c r="AN516" i="17"/>
  <c r="AJ516" i="17"/>
  <c r="P516" i="17" l="1"/>
  <c r="O517" i="17"/>
  <c r="BJ517" i="17" s="1"/>
  <c r="H517" i="17"/>
  <c r="F518" i="17"/>
  <c r="R516" i="17"/>
  <c r="AP517" i="17"/>
  <c r="AL517" i="17"/>
  <c r="AH517" i="17"/>
  <c r="AS517" i="17"/>
  <c r="AO517" i="17"/>
  <c r="AK517" i="17"/>
  <c r="AR517" i="17"/>
  <c r="AN517" i="17"/>
  <c r="AJ517" i="17"/>
  <c r="AQ517" i="17"/>
  <c r="AM517" i="17"/>
  <c r="AI517" i="17"/>
  <c r="C519" i="17"/>
  <c r="G519" i="17" s="1"/>
  <c r="AW518" i="17"/>
  <c r="B518" i="17"/>
  <c r="P517" i="17" l="1"/>
  <c r="O518" i="17"/>
  <c r="BJ518" i="17" s="1"/>
  <c r="H518" i="17"/>
  <c r="F519" i="17"/>
  <c r="R517" i="17"/>
  <c r="AS518" i="17"/>
  <c r="AO518" i="17"/>
  <c r="AK518" i="17"/>
  <c r="AR518" i="17"/>
  <c r="AN518" i="17"/>
  <c r="AJ518" i="17"/>
  <c r="AQ518" i="17"/>
  <c r="AM518" i="17"/>
  <c r="AI518" i="17"/>
  <c r="AP518" i="17"/>
  <c r="AL518" i="17"/>
  <c r="AH518" i="17"/>
  <c r="B519" i="17"/>
  <c r="C520" i="17"/>
  <c r="G520" i="17" s="1"/>
  <c r="AW519" i="17"/>
  <c r="P518" i="17" l="1"/>
  <c r="O519" i="17"/>
  <c r="BJ519" i="17" s="1"/>
  <c r="H519" i="17"/>
  <c r="F520" i="17"/>
  <c r="R518" i="17"/>
  <c r="B520" i="17"/>
  <c r="C521" i="17"/>
  <c r="G521" i="17" s="1"/>
  <c r="AW520" i="17"/>
  <c r="AR519" i="17"/>
  <c r="AN519" i="17"/>
  <c r="AJ519" i="17"/>
  <c r="AQ519" i="17"/>
  <c r="AM519" i="17"/>
  <c r="AI519" i="17"/>
  <c r="AP519" i="17"/>
  <c r="AL519" i="17"/>
  <c r="AH519" i="17"/>
  <c r="AS519" i="17"/>
  <c r="AO519" i="17"/>
  <c r="AK519" i="17"/>
  <c r="P519" i="17" l="1"/>
  <c r="R519" i="17" s="1"/>
  <c r="O520" i="17"/>
  <c r="BJ520" i="17" s="1"/>
  <c r="H520" i="17"/>
  <c r="F521" i="17"/>
  <c r="C522" i="17"/>
  <c r="G522" i="17" s="1"/>
  <c r="AW521" i="17"/>
  <c r="B521" i="17"/>
  <c r="AQ520" i="17"/>
  <c r="AM520" i="17"/>
  <c r="AI520" i="17"/>
  <c r="AP520" i="17"/>
  <c r="AL520" i="17"/>
  <c r="AH520" i="17"/>
  <c r="AS520" i="17"/>
  <c r="AO520" i="17"/>
  <c r="AK520" i="17"/>
  <c r="AN520" i="17"/>
  <c r="AJ520" i="17"/>
  <c r="AR520" i="17"/>
  <c r="P520" i="17" l="1"/>
  <c r="O521" i="17"/>
  <c r="BJ521" i="17" s="1"/>
  <c r="H521" i="17"/>
  <c r="F522" i="17"/>
  <c r="R520" i="17"/>
  <c r="AP521" i="17"/>
  <c r="AL521" i="17"/>
  <c r="AH521" i="17"/>
  <c r="AS521" i="17"/>
  <c r="AO521" i="17"/>
  <c r="AK521" i="17"/>
  <c r="AR521" i="17"/>
  <c r="AN521" i="17"/>
  <c r="AJ521" i="17"/>
  <c r="AM521" i="17"/>
  <c r="AI521" i="17"/>
  <c r="AQ521" i="17"/>
  <c r="C523" i="17"/>
  <c r="G523" i="17" s="1"/>
  <c r="AW522" i="17"/>
  <c r="B522" i="17"/>
  <c r="P521" i="17" l="1"/>
  <c r="O522" i="17"/>
  <c r="BJ522" i="17" s="1"/>
  <c r="H522" i="17"/>
  <c r="F523" i="17"/>
  <c r="R521" i="17"/>
  <c r="AS522" i="17"/>
  <c r="AO522" i="17"/>
  <c r="AK522" i="17"/>
  <c r="AR522" i="17"/>
  <c r="AN522" i="17"/>
  <c r="AJ522" i="17"/>
  <c r="AQ522" i="17"/>
  <c r="AM522" i="17"/>
  <c r="AI522" i="17"/>
  <c r="AL522" i="17"/>
  <c r="AH522" i="17"/>
  <c r="AP522" i="17"/>
  <c r="B523" i="17"/>
  <c r="AW523" i="17"/>
  <c r="C524" i="17"/>
  <c r="G524" i="17" s="1"/>
  <c r="P522" i="17" l="1"/>
  <c r="O523" i="17"/>
  <c r="BJ523" i="17" s="1"/>
  <c r="H523" i="17"/>
  <c r="F524" i="17"/>
  <c r="R522" i="17"/>
  <c r="AR523" i="17"/>
  <c r="AN523" i="17"/>
  <c r="AJ523" i="17"/>
  <c r="AQ523" i="17"/>
  <c r="AM523" i="17"/>
  <c r="AI523" i="17"/>
  <c r="AP523" i="17"/>
  <c r="AL523" i="17"/>
  <c r="AH523" i="17"/>
  <c r="AO523" i="17"/>
  <c r="AK523" i="17"/>
  <c r="AS523" i="17"/>
  <c r="B524" i="17"/>
  <c r="C525" i="17"/>
  <c r="G525" i="17" s="1"/>
  <c r="AW524" i="17"/>
  <c r="P523" i="17" l="1"/>
  <c r="O524" i="17"/>
  <c r="BJ524" i="17" s="1"/>
  <c r="H524" i="17"/>
  <c r="F525" i="17"/>
  <c r="R523" i="17"/>
  <c r="AQ524" i="17"/>
  <c r="AM524" i="17"/>
  <c r="AI524" i="17"/>
  <c r="AP524" i="17"/>
  <c r="AL524" i="17"/>
  <c r="AH524" i="17"/>
  <c r="AS524" i="17"/>
  <c r="AO524" i="17"/>
  <c r="AK524" i="17"/>
  <c r="AJ524" i="17"/>
  <c r="AR524" i="17"/>
  <c r="AN524" i="17"/>
  <c r="C526" i="17"/>
  <c r="G526" i="17" s="1"/>
  <c r="AW525" i="17"/>
  <c r="B525" i="17"/>
  <c r="P524" i="17" l="1"/>
  <c r="O525" i="17"/>
  <c r="BJ525" i="17" s="1"/>
  <c r="H525" i="17"/>
  <c r="F526" i="17"/>
  <c r="R524" i="17"/>
  <c r="AP525" i="17"/>
  <c r="AL525" i="17"/>
  <c r="AH525" i="17"/>
  <c r="AS525" i="17"/>
  <c r="AO525" i="17"/>
  <c r="AK525" i="17"/>
  <c r="AR525" i="17"/>
  <c r="AN525" i="17"/>
  <c r="AJ525" i="17"/>
  <c r="AI525" i="17"/>
  <c r="AQ525" i="17"/>
  <c r="AM525" i="17"/>
  <c r="C527" i="17"/>
  <c r="G527" i="17" s="1"/>
  <c r="AW526" i="17"/>
  <c r="B526" i="17"/>
  <c r="P525" i="17" l="1"/>
  <c r="O526" i="17"/>
  <c r="BJ526" i="17" s="1"/>
  <c r="H526" i="17"/>
  <c r="F527" i="17"/>
  <c r="R525" i="17"/>
  <c r="AS526" i="17"/>
  <c r="AO526" i="17"/>
  <c r="AK526" i="17"/>
  <c r="AR526" i="17"/>
  <c r="AN526" i="17"/>
  <c r="AJ526" i="17"/>
  <c r="AQ526" i="17"/>
  <c r="AM526" i="17"/>
  <c r="AI526" i="17"/>
  <c r="AH526" i="17"/>
  <c r="AP526" i="17"/>
  <c r="AL526" i="17"/>
  <c r="B527" i="17"/>
  <c r="AW527" i="17"/>
  <c r="C528" i="17"/>
  <c r="G528" i="17" s="1"/>
  <c r="P526" i="17" l="1"/>
  <c r="O527" i="17"/>
  <c r="BJ527" i="17" s="1"/>
  <c r="H527" i="17"/>
  <c r="F528" i="17"/>
  <c r="R526" i="17"/>
  <c r="B528" i="17"/>
  <c r="C529" i="17"/>
  <c r="G529" i="17" s="1"/>
  <c r="AW528" i="17"/>
  <c r="AR527" i="17"/>
  <c r="AN527" i="17"/>
  <c r="AJ527" i="17"/>
  <c r="AQ527" i="17"/>
  <c r="AM527" i="17"/>
  <c r="AI527" i="17"/>
  <c r="AP527" i="17"/>
  <c r="AL527" i="17"/>
  <c r="AH527" i="17"/>
  <c r="AK527" i="17"/>
  <c r="AS527" i="17"/>
  <c r="AO527" i="17"/>
  <c r="P527" i="17" l="1"/>
  <c r="O528" i="17"/>
  <c r="BJ528" i="17" s="1"/>
  <c r="H528" i="17"/>
  <c r="F529" i="17"/>
  <c r="R527" i="17"/>
  <c r="AQ528" i="17"/>
  <c r="AM528" i="17"/>
  <c r="AI528" i="17"/>
  <c r="AP528" i="17"/>
  <c r="AL528" i="17"/>
  <c r="AH528" i="17"/>
  <c r="AS528" i="17"/>
  <c r="AO528" i="17"/>
  <c r="AK528" i="17"/>
  <c r="AR528" i="17"/>
  <c r="AN528" i="17"/>
  <c r="AJ528" i="17"/>
  <c r="C530" i="17"/>
  <c r="G530" i="17" s="1"/>
  <c r="AW529" i="17"/>
  <c r="B529" i="17"/>
  <c r="P528" i="17" l="1"/>
  <c r="O529" i="17"/>
  <c r="BJ529" i="17" s="1"/>
  <c r="H529" i="17"/>
  <c r="F530" i="17"/>
  <c r="R528" i="17"/>
  <c r="AP529" i="17"/>
  <c r="AL529" i="17"/>
  <c r="AH529" i="17"/>
  <c r="AS529" i="17"/>
  <c r="AO529" i="17"/>
  <c r="AK529" i="17"/>
  <c r="AR529" i="17"/>
  <c r="AN529" i="17"/>
  <c r="AJ529" i="17"/>
  <c r="AQ529" i="17"/>
  <c r="AM529" i="17"/>
  <c r="AI529" i="17"/>
  <c r="C531" i="17"/>
  <c r="G531" i="17" s="1"/>
  <c r="AW530" i="17"/>
  <c r="B530" i="17"/>
  <c r="P529" i="17" l="1"/>
  <c r="O530" i="17"/>
  <c r="BJ530" i="17" s="1"/>
  <c r="H530" i="17"/>
  <c r="F531" i="17"/>
  <c r="R529" i="17"/>
  <c r="AS530" i="17"/>
  <c r="AO530" i="17"/>
  <c r="AK530" i="17"/>
  <c r="AR530" i="17"/>
  <c r="AN530" i="17"/>
  <c r="AJ530" i="17"/>
  <c r="AQ530" i="17"/>
  <c r="AM530" i="17"/>
  <c r="AI530" i="17"/>
  <c r="AP530" i="17"/>
  <c r="AL530" i="17"/>
  <c r="AH530" i="17"/>
  <c r="B531" i="17"/>
  <c r="AW531" i="17"/>
  <c r="C532" i="17"/>
  <c r="G532" i="17" s="1"/>
  <c r="P530" i="17" l="1"/>
  <c r="O531" i="17"/>
  <c r="BJ531" i="17" s="1"/>
  <c r="H531" i="17"/>
  <c r="F532" i="17"/>
  <c r="R530" i="17"/>
  <c r="B532" i="17"/>
  <c r="C533" i="17"/>
  <c r="G533" i="17" s="1"/>
  <c r="AW532" i="17"/>
  <c r="AR531" i="17"/>
  <c r="AN531" i="17"/>
  <c r="AJ531" i="17"/>
  <c r="AQ531" i="17"/>
  <c r="AM531" i="17"/>
  <c r="AI531" i="17"/>
  <c r="AP531" i="17"/>
  <c r="AL531" i="17"/>
  <c r="AH531" i="17"/>
  <c r="AS531" i="17"/>
  <c r="AO531" i="17"/>
  <c r="AK531" i="17"/>
  <c r="P531" i="17" l="1"/>
  <c r="O532" i="17"/>
  <c r="BJ532" i="17" s="1"/>
  <c r="H532" i="17"/>
  <c r="F533" i="17"/>
  <c r="R531" i="17"/>
  <c r="C534" i="17"/>
  <c r="G534" i="17" s="1"/>
  <c r="AW533" i="17"/>
  <c r="B533" i="17"/>
  <c r="AQ532" i="17"/>
  <c r="AM532" i="17"/>
  <c r="AI532" i="17"/>
  <c r="AP532" i="17"/>
  <c r="AL532" i="17"/>
  <c r="AH532" i="17"/>
  <c r="AS532" i="17"/>
  <c r="AO532" i="17"/>
  <c r="AK532" i="17"/>
  <c r="AR532" i="17"/>
  <c r="AN532" i="17"/>
  <c r="AJ532" i="17"/>
  <c r="P532" i="17" l="1"/>
  <c r="O533" i="17"/>
  <c r="BJ533" i="17" s="1"/>
  <c r="H533" i="17"/>
  <c r="F534" i="17"/>
  <c r="R532" i="17"/>
  <c r="AP533" i="17"/>
  <c r="AL533" i="17"/>
  <c r="AH533" i="17"/>
  <c r="AS533" i="17"/>
  <c r="AO533" i="17"/>
  <c r="AK533" i="17"/>
  <c r="AR533" i="17"/>
  <c r="AN533" i="17"/>
  <c r="AJ533" i="17"/>
  <c r="AQ533" i="17"/>
  <c r="AM533" i="17"/>
  <c r="AI533" i="17"/>
  <c r="C535" i="17"/>
  <c r="G535" i="17" s="1"/>
  <c r="AW534" i="17"/>
  <c r="B534" i="17"/>
  <c r="P533" i="17" l="1"/>
  <c r="O534" i="17"/>
  <c r="BJ534" i="17" s="1"/>
  <c r="H534" i="17"/>
  <c r="F535" i="17"/>
  <c r="R533" i="17"/>
  <c r="AS534" i="17"/>
  <c r="AO534" i="17"/>
  <c r="AK534" i="17"/>
  <c r="AR534" i="17"/>
  <c r="AN534" i="17"/>
  <c r="AJ534" i="17"/>
  <c r="AQ534" i="17"/>
  <c r="AM534" i="17"/>
  <c r="AI534" i="17"/>
  <c r="AP534" i="17"/>
  <c r="AL534" i="17"/>
  <c r="AH534" i="17"/>
  <c r="B535" i="17"/>
  <c r="C536" i="17"/>
  <c r="G536" i="17" s="1"/>
  <c r="AW535" i="17"/>
  <c r="P534" i="17" l="1"/>
  <c r="O535" i="17"/>
  <c r="BJ535" i="17" s="1"/>
  <c r="H535" i="17"/>
  <c r="F536" i="17"/>
  <c r="R534" i="17"/>
  <c r="B536" i="17"/>
  <c r="C537" i="17"/>
  <c r="G537" i="17" s="1"/>
  <c r="AW536" i="17"/>
  <c r="AR535" i="17"/>
  <c r="AN535" i="17"/>
  <c r="AJ535" i="17"/>
  <c r="AQ535" i="17"/>
  <c r="AM535" i="17"/>
  <c r="AI535" i="17"/>
  <c r="AP535" i="17"/>
  <c r="AL535" i="17"/>
  <c r="AH535" i="17"/>
  <c r="AS535" i="17"/>
  <c r="AO535" i="17"/>
  <c r="AK535" i="17"/>
  <c r="P535" i="17" l="1"/>
  <c r="O536" i="17"/>
  <c r="BJ536" i="17" s="1"/>
  <c r="H536" i="17"/>
  <c r="F537" i="17"/>
  <c r="R535" i="17"/>
  <c r="AQ536" i="17"/>
  <c r="AM536" i="17"/>
  <c r="AI536" i="17"/>
  <c r="AP536" i="17"/>
  <c r="AL536" i="17"/>
  <c r="AH536" i="17"/>
  <c r="AS536" i="17"/>
  <c r="AO536" i="17"/>
  <c r="AK536" i="17"/>
  <c r="AN536" i="17"/>
  <c r="AJ536" i="17"/>
  <c r="AR536" i="17"/>
  <c r="C538" i="17"/>
  <c r="G538" i="17" s="1"/>
  <c r="AW537" i="17"/>
  <c r="B537" i="17"/>
  <c r="P536" i="17" l="1"/>
  <c r="O537" i="17"/>
  <c r="BJ537" i="17" s="1"/>
  <c r="H537" i="17"/>
  <c r="F538" i="17"/>
  <c r="R536" i="17"/>
  <c r="AP537" i="17"/>
  <c r="AL537" i="17"/>
  <c r="AH537" i="17"/>
  <c r="AS537" i="17"/>
  <c r="AO537" i="17"/>
  <c r="AK537" i="17"/>
  <c r="AR537" i="17"/>
  <c r="AN537" i="17"/>
  <c r="AJ537" i="17"/>
  <c r="AM537" i="17"/>
  <c r="AI537" i="17"/>
  <c r="AQ537" i="17"/>
  <c r="C539" i="17"/>
  <c r="G539" i="17" s="1"/>
  <c r="AW538" i="17"/>
  <c r="B538" i="17"/>
  <c r="P537" i="17" l="1"/>
  <c r="O538" i="17"/>
  <c r="BJ538" i="17" s="1"/>
  <c r="H538" i="17"/>
  <c r="F539" i="17"/>
  <c r="R537" i="17"/>
  <c r="B539" i="17"/>
  <c r="AW539" i="17"/>
  <c r="C540" i="17"/>
  <c r="G540" i="17" s="1"/>
  <c r="AS538" i="17"/>
  <c r="AO538" i="17"/>
  <c r="AK538" i="17"/>
  <c r="AR538" i="17"/>
  <c r="AN538" i="17"/>
  <c r="AJ538" i="17"/>
  <c r="AQ538" i="17"/>
  <c r="AM538" i="17"/>
  <c r="AI538" i="17"/>
  <c r="AL538" i="17"/>
  <c r="AH538" i="17"/>
  <c r="AP538" i="17"/>
  <c r="P538" i="17" l="1"/>
  <c r="O539" i="17"/>
  <c r="BJ539" i="17" s="1"/>
  <c r="H539" i="17"/>
  <c r="F540" i="17"/>
  <c r="R538" i="17"/>
  <c r="AR539" i="17"/>
  <c r="AN539" i="17"/>
  <c r="AJ539" i="17"/>
  <c r="AQ539" i="17"/>
  <c r="AM539" i="17"/>
  <c r="AI539" i="17"/>
  <c r="AP539" i="17"/>
  <c r="AL539" i="17"/>
  <c r="AH539" i="17"/>
  <c r="AO539" i="17"/>
  <c r="AK539" i="17"/>
  <c r="AS539" i="17"/>
  <c r="B540" i="17"/>
  <c r="C541" i="17"/>
  <c r="G541" i="17" s="1"/>
  <c r="AW540" i="17"/>
  <c r="P539" i="17" l="1"/>
  <c r="O540" i="17"/>
  <c r="BJ540" i="17" s="1"/>
  <c r="H540" i="17"/>
  <c r="F541" i="17"/>
  <c r="R539" i="17"/>
  <c r="C542" i="17"/>
  <c r="G542" i="17" s="1"/>
  <c r="AW541" i="17"/>
  <c r="B541" i="17"/>
  <c r="AQ540" i="17"/>
  <c r="AM540" i="17"/>
  <c r="AI540" i="17"/>
  <c r="AP540" i="17"/>
  <c r="AL540" i="17"/>
  <c r="AH540" i="17"/>
  <c r="AS540" i="17"/>
  <c r="AO540" i="17"/>
  <c r="AK540" i="17"/>
  <c r="AJ540" i="17"/>
  <c r="AR540" i="17"/>
  <c r="AN540" i="17"/>
  <c r="P540" i="17" l="1"/>
  <c r="O541" i="17"/>
  <c r="BJ541" i="17" s="1"/>
  <c r="H541" i="17"/>
  <c r="F542" i="17"/>
  <c r="R540" i="17"/>
  <c r="AP541" i="17"/>
  <c r="AL541" i="17"/>
  <c r="AH541" i="17"/>
  <c r="AS541" i="17"/>
  <c r="AO541" i="17"/>
  <c r="AK541" i="17"/>
  <c r="AR541" i="17"/>
  <c r="AN541" i="17"/>
  <c r="AJ541" i="17"/>
  <c r="AI541" i="17"/>
  <c r="AQ541" i="17"/>
  <c r="AM541" i="17"/>
  <c r="C543" i="17"/>
  <c r="G543" i="17" s="1"/>
  <c r="AW542" i="17"/>
  <c r="B542" i="17"/>
  <c r="P541" i="17" l="1"/>
  <c r="O542" i="17"/>
  <c r="P542" i="17" s="1"/>
  <c r="H542" i="17"/>
  <c r="F543" i="17"/>
  <c r="R541" i="17"/>
  <c r="AS542" i="17"/>
  <c r="AO542" i="17"/>
  <c r="AK542" i="17"/>
  <c r="AR542" i="17"/>
  <c r="AN542" i="17"/>
  <c r="AJ542" i="17"/>
  <c r="AQ542" i="17"/>
  <c r="AM542" i="17"/>
  <c r="AI542" i="17"/>
  <c r="AH542" i="17"/>
  <c r="AP542" i="17"/>
  <c r="AL542" i="17"/>
  <c r="B543" i="17"/>
  <c r="AW543" i="17"/>
  <c r="C544" i="17"/>
  <c r="G544" i="17" s="1"/>
  <c r="BJ542" i="17" l="1"/>
  <c r="O543" i="17"/>
  <c r="BJ543" i="17" s="1"/>
  <c r="H543" i="17"/>
  <c r="F544" i="17"/>
  <c r="R542" i="17"/>
  <c r="AR543" i="17"/>
  <c r="AN543" i="17"/>
  <c r="AJ543" i="17"/>
  <c r="AQ543" i="17"/>
  <c r="AM543" i="17"/>
  <c r="AI543" i="17"/>
  <c r="AP543" i="17"/>
  <c r="AL543" i="17"/>
  <c r="AH543" i="17"/>
  <c r="AK543" i="17"/>
  <c r="AS543" i="17"/>
  <c r="AO543" i="17"/>
  <c r="B544" i="17"/>
  <c r="C545" i="17"/>
  <c r="G545" i="17" s="1"/>
  <c r="AW544" i="17"/>
  <c r="P543" i="17" l="1"/>
  <c r="O544" i="17"/>
  <c r="BJ544" i="17" s="1"/>
  <c r="H544" i="17"/>
  <c r="F545" i="17"/>
  <c r="R543" i="17"/>
  <c r="C546" i="17"/>
  <c r="G546" i="17" s="1"/>
  <c r="AW545" i="17"/>
  <c r="B545" i="17"/>
  <c r="AQ544" i="17"/>
  <c r="AM544" i="17"/>
  <c r="AI544" i="17"/>
  <c r="AP544" i="17"/>
  <c r="AL544" i="17"/>
  <c r="AH544" i="17"/>
  <c r="AS544" i="17"/>
  <c r="AO544" i="17"/>
  <c r="AK544" i="17"/>
  <c r="AR544" i="17"/>
  <c r="AN544" i="17"/>
  <c r="AJ544" i="17"/>
  <c r="P544" i="17" l="1"/>
  <c r="O545" i="17"/>
  <c r="BJ545" i="17" s="1"/>
  <c r="H545" i="17"/>
  <c r="F546" i="17"/>
  <c r="R544" i="17"/>
  <c r="AP545" i="17"/>
  <c r="AL545" i="17"/>
  <c r="AH545" i="17"/>
  <c r="AS545" i="17"/>
  <c r="AO545" i="17"/>
  <c r="AK545" i="17"/>
  <c r="AR545" i="17"/>
  <c r="AN545" i="17"/>
  <c r="AJ545" i="17"/>
  <c r="AQ545" i="17"/>
  <c r="AM545" i="17"/>
  <c r="AI545" i="17"/>
  <c r="C547" i="17"/>
  <c r="G547" i="17" s="1"/>
  <c r="AW546" i="17"/>
  <c r="B546" i="17"/>
  <c r="P545" i="17" l="1"/>
  <c r="O546" i="17"/>
  <c r="BJ546" i="17" s="1"/>
  <c r="H546" i="17"/>
  <c r="F547" i="17"/>
  <c r="R545" i="17"/>
  <c r="AS546" i="17"/>
  <c r="AO546" i="17"/>
  <c r="AK546" i="17"/>
  <c r="AR546" i="17"/>
  <c r="AN546" i="17"/>
  <c r="AJ546" i="17"/>
  <c r="AQ546" i="17"/>
  <c r="AM546" i="17"/>
  <c r="AI546" i="17"/>
  <c r="AP546" i="17"/>
  <c r="AL546" i="17"/>
  <c r="AH546" i="17"/>
  <c r="B547" i="17"/>
  <c r="AW547" i="17"/>
  <c r="C548" i="17"/>
  <c r="G548" i="17" s="1"/>
  <c r="P546" i="17" l="1"/>
  <c r="O547" i="17"/>
  <c r="BJ547" i="17" s="1"/>
  <c r="H547" i="17"/>
  <c r="F548" i="17"/>
  <c r="R546" i="17"/>
  <c r="AR547" i="17"/>
  <c r="AN547" i="17"/>
  <c r="AJ547" i="17"/>
  <c r="AQ547" i="17"/>
  <c r="AM547" i="17"/>
  <c r="AI547" i="17"/>
  <c r="AP547" i="17"/>
  <c r="AL547" i="17"/>
  <c r="AH547" i="17"/>
  <c r="AS547" i="17"/>
  <c r="AO547" i="17"/>
  <c r="AK547" i="17"/>
  <c r="B548" i="17"/>
  <c r="C549" i="17"/>
  <c r="G549" i="17" s="1"/>
  <c r="AW548" i="17"/>
  <c r="P547" i="17" l="1"/>
  <c r="R547" i="17" s="1"/>
  <c r="O548" i="17"/>
  <c r="BJ548" i="17" s="1"/>
  <c r="H548" i="17"/>
  <c r="F549" i="17"/>
  <c r="C550" i="17"/>
  <c r="G550" i="17" s="1"/>
  <c r="AW549" i="17"/>
  <c r="B549" i="17"/>
  <c r="AQ548" i="17"/>
  <c r="AM548" i="17"/>
  <c r="AI548" i="17"/>
  <c r="AP548" i="17"/>
  <c r="AL548" i="17"/>
  <c r="AH548" i="17"/>
  <c r="AS548" i="17"/>
  <c r="AO548" i="17"/>
  <c r="AK548" i="17"/>
  <c r="AR548" i="17"/>
  <c r="AN548" i="17"/>
  <c r="AJ548" i="17"/>
  <c r="P548" i="17" l="1"/>
  <c r="O549" i="17"/>
  <c r="BJ549" i="17" s="1"/>
  <c r="H549" i="17"/>
  <c r="F550" i="17"/>
  <c r="R548" i="17"/>
  <c r="AP549" i="17"/>
  <c r="AL549" i="17"/>
  <c r="AH549" i="17"/>
  <c r="AS549" i="17"/>
  <c r="AO549" i="17"/>
  <c r="AK549" i="17"/>
  <c r="AR549" i="17"/>
  <c r="AN549" i="17"/>
  <c r="AJ549" i="17"/>
  <c r="AQ549" i="17"/>
  <c r="AM549" i="17"/>
  <c r="AI549" i="17"/>
  <c r="C551" i="17"/>
  <c r="G551" i="17" s="1"/>
  <c r="AW550" i="17"/>
  <c r="B550" i="17"/>
  <c r="P549" i="17" l="1"/>
  <c r="O550" i="17"/>
  <c r="BJ550" i="17" s="1"/>
  <c r="H550" i="17"/>
  <c r="F551" i="17"/>
  <c r="R549" i="17"/>
  <c r="B551" i="17"/>
  <c r="C552" i="17"/>
  <c r="G552" i="17" s="1"/>
  <c r="AW551" i="17"/>
  <c r="AS550" i="17"/>
  <c r="AO550" i="17"/>
  <c r="AK550" i="17"/>
  <c r="AR550" i="17"/>
  <c r="AN550" i="17"/>
  <c r="AJ550" i="17"/>
  <c r="AQ550" i="17"/>
  <c r="AM550" i="17"/>
  <c r="AI550" i="17"/>
  <c r="AP550" i="17"/>
  <c r="AL550" i="17"/>
  <c r="AH550" i="17"/>
  <c r="P550" i="17" l="1"/>
  <c r="R550" i="17" s="1"/>
  <c r="O551" i="17"/>
  <c r="BJ551" i="17" s="1"/>
  <c r="H551" i="17"/>
  <c r="F552" i="17"/>
  <c r="AR551" i="17"/>
  <c r="AN551" i="17"/>
  <c r="AJ551" i="17"/>
  <c r="AQ551" i="17"/>
  <c r="AM551" i="17"/>
  <c r="AI551" i="17"/>
  <c r="AP551" i="17"/>
  <c r="AL551" i="17"/>
  <c r="AH551" i="17"/>
  <c r="AS551" i="17"/>
  <c r="AO551" i="17"/>
  <c r="AK551" i="17"/>
  <c r="B552" i="17"/>
  <c r="C553" i="17"/>
  <c r="G553" i="17" s="1"/>
  <c r="AW552" i="17"/>
  <c r="P551" i="17" l="1"/>
  <c r="O552" i="17"/>
  <c r="BJ552" i="17" s="1"/>
  <c r="H552" i="17"/>
  <c r="F553" i="17"/>
  <c r="R551" i="17"/>
  <c r="C554" i="17"/>
  <c r="G554" i="17" s="1"/>
  <c r="AW553" i="17"/>
  <c r="B553" i="17"/>
  <c r="AQ552" i="17"/>
  <c r="AM552" i="17"/>
  <c r="AI552" i="17"/>
  <c r="AP552" i="17"/>
  <c r="AL552" i="17"/>
  <c r="AH552" i="17"/>
  <c r="AS552" i="17"/>
  <c r="AO552" i="17"/>
  <c r="AK552" i="17"/>
  <c r="AN552" i="17"/>
  <c r="AJ552" i="17"/>
  <c r="AR552" i="17"/>
  <c r="P552" i="17" l="1"/>
  <c r="R552" i="17" s="1"/>
  <c r="O553" i="17"/>
  <c r="BJ553" i="17" s="1"/>
  <c r="H553" i="17"/>
  <c r="F554" i="17"/>
  <c r="C555" i="17"/>
  <c r="G555" i="17" s="1"/>
  <c r="AW554" i="17"/>
  <c r="B554" i="17"/>
  <c r="AP553" i="17"/>
  <c r="AL553" i="17"/>
  <c r="AH553" i="17"/>
  <c r="AS553" i="17"/>
  <c r="AO553" i="17"/>
  <c r="AK553" i="17"/>
  <c r="AR553" i="17"/>
  <c r="AN553" i="17"/>
  <c r="AJ553" i="17"/>
  <c r="AM553" i="17"/>
  <c r="AI553" i="17"/>
  <c r="AQ553" i="17"/>
  <c r="P553" i="17" l="1"/>
  <c r="R553" i="17" s="1"/>
  <c r="O554" i="17"/>
  <c r="BJ554" i="17" s="1"/>
  <c r="H554" i="17"/>
  <c r="AG554" i="17"/>
  <c r="F555" i="17"/>
  <c r="AS554" i="17"/>
  <c r="AO554" i="17"/>
  <c r="AK554" i="17"/>
  <c r="AR554" i="17"/>
  <c r="AN554" i="17"/>
  <c r="AJ554" i="17"/>
  <c r="AQ554" i="17"/>
  <c r="AM554" i="17"/>
  <c r="AI554" i="17"/>
  <c r="AL554" i="17"/>
  <c r="AH554" i="17"/>
  <c r="AP554" i="17"/>
  <c r="B555" i="17"/>
  <c r="AW555" i="17"/>
  <c r="C556" i="17"/>
  <c r="G556" i="17" s="1"/>
  <c r="P554" i="17" l="1"/>
  <c r="O555" i="17"/>
  <c r="BJ555" i="17" s="1"/>
  <c r="H555" i="17"/>
  <c r="F556" i="17"/>
  <c r="R554" i="17"/>
  <c r="AR555" i="17"/>
  <c r="AN555" i="17"/>
  <c r="AJ555" i="17"/>
  <c r="AQ555" i="17"/>
  <c r="AM555" i="17"/>
  <c r="AI555" i="17"/>
  <c r="AP555" i="17"/>
  <c r="AL555" i="17"/>
  <c r="AH555" i="17"/>
  <c r="AO555" i="17"/>
  <c r="AK555" i="17"/>
  <c r="AS555" i="17"/>
  <c r="B556" i="17"/>
  <c r="C557" i="17"/>
  <c r="G557" i="17" s="1"/>
  <c r="AW556" i="17"/>
  <c r="P555" i="17" l="1"/>
  <c r="O556" i="17"/>
  <c r="BJ556" i="17" s="1"/>
  <c r="H556" i="17"/>
  <c r="F557" i="17"/>
  <c r="R555" i="17"/>
  <c r="C558" i="17"/>
  <c r="G558" i="17" s="1"/>
  <c r="AW557" i="17"/>
  <c r="B557" i="17"/>
  <c r="AQ556" i="17"/>
  <c r="AM556" i="17"/>
  <c r="AI556" i="17"/>
  <c r="AP556" i="17"/>
  <c r="AL556" i="17"/>
  <c r="AH556" i="17"/>
  <c r="AS556" i="17"/>
  <c r="AO556" i="17"/>
  <c r="AK556" i="17"/>
  <c r="AJ556" i="17"/>
  <c r="AR556" i="17"/>
  <c r="AN556" i="17"/>
  <c r="P556" i="17" l="1"/>
  <c r="O557" i="17"/>
  <c r="BJ557" i="17" s="1"/>
  <c r="H557" i="17"/>
  <c r="F558" i="17"/>
  <c r="R556" i="17"/>
  <c r="AP557" i="17"/>
  <c r="AL557" i="17"/>
  <c r="AH557" i="17"/>
  <c r="AS557" i="17"/>
  <c r="AO557" i="17"/>
  <c r="AK557" i="17"/>
  <c r="AR557" i="17"/>
  <c r="AN557" i="17"/>
  <c r="AJ557" i="17"/>
  <c r="AI557" i="17"/>
  <c r="AQ557" i="17"/>
  <c r="AM557" i="17"/>
  <c r="C559" i="17"/>
  <c r="G559" i="17" s="1"/>
  <c r="AW558" i="17"/>
  <c r="B558" i="17"/>
  <c r="P557" i="17" l="1"/>
  <c r="O558" i="17"/>
  <c r="BJ558" i="17" s="1"/>
  <c r="H558" i="17"/>
  <c r="F559" i="17"/>
  <c r="R557" i="17"/>
  <c r="B559" i="17"/>
  <c r="AW559" i="17"/>
  <c r="C560" i="17"/>
  <c r="G560" i="17" s="1"/>
  <c r="AS558" i="17"/>
  <c r="AO558" i="17"/>
  <c r="AK558" i="17"/>
  <c r="AR558" i="17"/>
  <c r="AN558" i="17"/>
  <c r="AJ558" i="17"/>
  <c r="AQ558" i="17"/>
  <c r="AM558" i="17"/>
  <c r="AI558" i="17"/>
  <c r="AH558" i="17"/>
  <c r="AP558" i="17"/>
  <c r="AL558" i="17"/>
  <c r="P558" i="17" l="1"/>
  <c r="O559" i="17"/>
  <c r="P559" i="17" s="1"/>
  <c r="H559" i="17"/>
  <c r="F560" i="17"/>
  <c r="R558" i="17"/>
  <c r="B560" i="17"/>
  <c r="C561" i="17"/>
  <c r="G561" i="17" s="1"/>
  <c r="AW560" i="17"/>
  <c r="AR559" i="17"/>
  <c r="AN559" i="17"/>
  <c r="AJ559" i="17"/>
  <c r="AQ559" i="17"/>
  <c r="AM559" i="17"/>
  <c r="AI559" i="17"/>
  <c r="AP559" i="17"/>
  <c r="AL559" i="17"/>
  <c r="AH559" i="17"/>
  <c r="AK559" i="17"/>
  <c r="AS559" i="17"/>
  <c r="AO559" i="17"/>
  <c r="BJ559" i="17" l="1"/>
  <c r="O560" i="17"/>
  <c r="BJ560" i="17" s="1"/>
  <c r="H560" i="17"/>
  <c r="F561" i="17"/>
  <c r="R559" i="17"/>
  <c r="C562" i="17"/>
  <c r="G562" i="17" s="1"/>
  <c r="AW561" i="17"/>
  <c r="B561" i="17"/>
  <c r="AQ560" i="17"/>
  <c r="AM560" i="17"/>
  <c r="AI560" i="17"/>
  <c r="AP560" i="17"/>
  <c r="AL560" i="17"/>
  <c r="AH560" i="17"/>
  <c r="AS560" i="17"/>
  <c r="AO560" i="17"/>
  <c r="AK560" i="17"/>
  <c r="AR560" i="17"/>
  <c r="AN560" i="17"/>
  <c r="AJ560" i="17"/>
  <c r="P560" i="17" l="1"/>
  <c r="O561" i="17"/>
  <c r="BJ561" i="17" s="1"/>
  <c r="H561" i="17"/>
  <c r="F562" i="17"/>
  <c r="R560" i="17"/>
  <c r="AP561" i="17"/>
  <c r="AL561" i="17"/>
  <c r="AH561" i="17"/>
  <c r="AS561" i="17"/>
  <c r="AO561" i="17"/>
  <c r="AK561" i="17"/>
  <c r="AR561" i="17"/>
  <c r="AN561" i="17"/>
  <c r="AJ561" i="17"/>
  <c r="AQ561" i="17"/>
  <c r="AM561" i="17"/>
  <c r="AI561" i="17"/>
  <c r="C563" i="17"/>
  <c r="G563" i="17" s="1"/>
  <c r="AW562" i="17"/>
  <c r="B562" i="17"/>
  <c r="P561" i="17" l="1"/>
  <c r="O562" i="17"/>
  <c r="BJ562" i="17" s="1"/>
  <c r="H562" i="17"/>
  <c r="F563" i="17"/>
  <c r="R561" i="17"/>
  <c r="AS562" i="17"/>
  <c r="AO562" i="17"/>
  <c r="AK562" i="17"/>
  <c r="AR562" i="17"/>
  <c r="AN562" i="17"/>
  <c r="AJ562" i="17"/>
  <c r="AQ562" i="17"/>
  <c r="AM562" i="17"/>
  <c r="AI562" i="17"/>
  <c r="AP562" i="17"/>
  <c r="AL562" i="17"/>
  <c r="AH562" i="17"/>
  <c r="B563" i="17"/>
  <c r="AW563" i="17"/>
  <c r="C564" i="17"/>
  <c r="G564" i="17" s="1"/>
  <c r="P562" i="17" l="1"/>
  <c r="O563" i="17"/>
  <c r="BJ563" i="17" s="1"/>
  <c r="H563" i="17"/>
  <c r="F564" i="17"/>
  <c r="R562" i="17"/>
  <c r="B564" i="17"/>
  <c r="C565" i="17"/>
  <c r="G565" i="17" s="1"/>
  <c r="AW564" i="17"/>
  <c r="AR563" i="17"/>
  <c r="AN563" i="17"/>
  <c r="AJ563" i="17"/>
  <c r="AQ563" i="17"/>
  <c r="AM563" i="17"/>
  <c r="AI563" i="17"/>
  <c r="AP563" i="17"/>
  <c r="AL563" i="17"/>
  <c r="AH563" i="17"/>
  <c r="AS563" i="17"/>
  <c r="AO563" i="17"/>
  <c r="AK563" i="17"/>
  <c r="P563" i="17" l="1"/>
  <c r="O564" i="17"/>
  <c r="P564" i="17" s="1"/>
  <c r="H564" i="17"/>
  <c r="F565" i="17"/>
  <c r="R563" i="17"/>
  <c r="C566" i="17"/>
  <c r="G566" i="17" s="1"/>
  <c r="AW565" i="17"/>
  <c r="B565" i="17"/>
  <c r="AQ564" i="17"/>
  <c r="AM564" i="17"/>
  <c r="AI564" i="17"/>
  <c r="AP564" i="17"/>
  <c r="AL564" i="17"/>
  <c r="AH564" i="17"/>
  <c r="AS564" i="17"/>
  <c r="AO564" i="17"/>
  <c r="AK564" i="17"/>
  <c r="AR564" i="17"/>
  <c r="AN564" i="17"/>
  <c r="AJ564" i="17"/>
  <c r="BJ564" i="17" l="1"/>
  <c r="O565" i="17"/>
  <c r="BJ565" i="17" s="1"/>
  <c r="H565" i="17"/>
  <c r="F566" i="17"/>
  <c r="R564" i="17"/>
  <c r="AP565" i="17"/>
  <c r="AL565" i="17"/>
  <c r="AH565" i="17"/>
  <c r="AS565" i="17"/>
  <c r="AO565" i="17"/>
  <c r="AK565" i="17"/>
  <c r="AR565" i="17"/>
  <c r="AN565" i="17"/>
  <c r="AJ565" i="17"/>
  <c r="AQ565" i="17"/>
  <c r="AM565" i="17"/>
  <c r="AI565" i="17"/>
  <c r="C567" i="17"/>
  <c r="G567" i="17" s="1"/>
  <c r="AW566" i="17"/>
  <c r="B566" i="17"/>
  <c r="P565" i="17" l="1"/>
  <c r="O566" i="17"/>
  <c r="BJ566" i="17" s="1"/>
  <c r="H566" i="17"/>
  <c r="F567" i="17"/>
  <c r="R565" i="17"/>
  <c r="AS566" i="17"/>
  <c r="AO566" i="17"/>
  <c r="AK566" i="17"/>
  <c r="AR566" i="17"/>
  <c r="AN566" i="17"/>
  <c r="AJ566" i="17"/>
  <c r="AQ566" i="17"/>
  <c r="AM566" i="17"/>
  <c r="AI566" i="17"/>
  <c r="AP566" i="17"/>
  <c r="AL566" i="17"/>
  <c r="AH566" i="17"/>
  <c r="B567" i="17"/>
  <c r="C568" i="17"/>
  <c r="G568" i="17" s="1"/>
  <c r="AW567" i="17"/>
  <c r="P566" i="17" l="1"/>
  <c r="O567" i="17"/>
  <c r="BJ567" i="17" s="1"/>
  <c r="H567" i="17"/>
  <c r="F568" i="17"/>
  <c r="R566" i="17"/>
  <c r="AR567" i="17"/>
  <c r="AN567" i="17"/>
  <c r="AJ567" i="17"/>
  <c r="AQ567" i="17"/>
  <c r="AM567" i="17"/>
  <c r="AI567" i="17"/>
  <c r="AP567" i="17"/>
  <c r="AL567" i="17"/>
  <c r="AH567" i="17"/>
  <c r="AS567" i="17"/>
  <c r="AO567" i="17"/>
  <c r="AK567" i="17"/>
  <c r="B568" i="17"/>
  <c r="C569" i="17"/>
  <c r="G569" i="17" s="1"/>
  <c r="AW568" i="17"/>
  <c r="P567" i="17" l="1"/>
  <c r="R567" i="17" s="1"/>
  <c r="O568" i="17"/>
  <c r="BJ568" i="17" s="1"/>
  <c r="H568" i="17"/>
  <c r="F569" i="17"/>
  <c r="AQ568" i="17"/>
  <c r="AM568" i="17"/>
  <c r="AI568" i="17"/>
  <c r="AP568" i="17"/>
  <c r="AL568" i="17"/>
  <c r="AH568" i="17"/>
  <c r="AS568" i="17"/>
  <c r="AO568" i="17"/>
  <c r="AK568" i="17"/>
  <c r="AN568" i="17"/>
  <c r="AJ568" i="17"/>
  <c r="AR568" i="17"/>
  <c r="C570" i="17"/>
  <c r="G570" i="17" s="1"/>
  <c r="AW569" i="17"/>
  <c r="B569" i="17"/>
  <c r="P568" i="17" l="1"/>
  <c r="O569" i="17"/>
  <c r="BJ569" i="17" s="1"/>
  <c r="H569" i="17"/>
  <c r="F570" i="17"/>
  <c r="R568" i="17"/>
  <c r="C571" i="17"/>
  <c r="G571" i="17" s="1"/>
  <c r="AW570" i="17"/>
  <c r="B570" i="17"/>
  <c r="AP569" i="17"/>
  <c r="AL569" i="17"/>
  <c r="AH569" i="17"/>
  <c r="AS569" i="17"/>
  <c r="AO569" i="17"/>
  <c r="AK569" i="17"/>
  <c r="AR569" i="17"/>
  <c r="AN569" i="17"/>
  <c r="AJ569" i="17"/>
  <c r="AM569" i="17"/>
  <c r="AI569" i="17"/>
  <c r="AQ569" i="17"/>
  <c r="P569" i="17" l="1"/>
  <c r="O570" i="17"/>
  <c r="BJ570" i="17" s="1"/>
  <c r="H570" i="17"/>
  <c r="F571" i="17"/>
  <c r="R569" i="17"/>
  <c r="AS570" i="17"/>
  <c r="AO570" i="17"/>
  <c r="AK570" i="17"/>
  <c r="AR570" i="17"/>
  <c r="AN570" i="17"/>
  <c r="AJ570" i="17"/>
  <c r="AQ570" i="17"/>
  <c r="AM570" i="17"/>
  <c r="AI570" i="17"/>
  <c r="AL570" i="17"/>
  <c r="AH570" i="17"/>
  <c r="AP570" i="17"/>
  <c r="B571" i="17"/>
  <c r="AW571" i="17"/>
  <c r="C572" i="17"/>
  <c r="G572" i="17" s="1"/>
  <c r="P570" i="17" l="1"/>
  <c r="O571" i="17"/>
  <c r="BJ571" i="17" s="1"/>
  <c r="H571" i="17"/>
  <c r="F572" i="17"/>
  <c r="R570" i="17"/>
  <c r="AR571" i="17"/>
  <c r="AN571" i="17"/>
  <c r="AJ571" i="17"/>
  <c r="AQ571" i="17"/>
  <c r="AM571" i="17"/>
  <c r="AI571" i="17"/>
  <c r="AP571" i="17"/>
  <c r="AL571" i="17"/>
  <c r="AH571" i="17"/>
  <c r="AO571" i="17"/>
  <c r="AK571" i="17"/>
  <c r="AS571" i="17"/>
  <c r="B572" i="17"/>
  <c r="C573" i="17"/>
  <c r="G573" i="17" s="1"/>
  <c r="AW572" i="17"/>
  <c r="P571" i="17" l="1"/>
  <c r="O572" i="17"/>
  <c r="P572" i="17" s="1"/>
  <c r="H572" i="17"/>
  <c r="F573" i="17"/>
  <c r="R571" i="17"/>
  <c r="AQ572" i="17"/>
  <c r="AM572" i="17"/>
  <c r="AI572" i="17"/>
  <c r="AP572" i="17"/>
  <c r="AL572" i="17"/>
  <c r="AH572" i="17"/>
  <c r="AS572" i="17"/>
  <c r="AO572" i="17"/>
  <c r="AK572" i="17"/>
  <c r="AJ572" i="17"/>
  <c r="AR572" i="17"/>
  <c r="AN572" i="17"/>
  <c r="C574" i="17"/>
  <c r="G574" i="17" s="1"/>
  <c r="AW573" i="17"/>
  <c r="B573" i="17"/>
  <c r="BJ572" i="17" l="1"/>
  <c r="O573" i="17"/>
  <c r="BJ573" i="17" s="1"/>
  <c r="H573" i="17"/>
  <c r="F574" i="17"/>
  <c r="R572" i="17"/>
  <c r="AP573" i="17"/>
  <c r="AL573" i="17"/>
  <c r="AH573" i="17"/>
  <c r="AS573" i="17"/>
  <c r="AO573" i="17"/>
  <c r="AK573" i="17"/>
  <c r="AR573" i="17"/>
  <c r="AN573" i="17"/>
  <c r="AJ573" i="17"/>
  <c r="AI573" i="17"/>
  <c r="AQ573" i="17"/>
  <c r="AM573" i="17"/>
  <c r="C575" i="17"/>
  <c r="G575" i="17" s="1"/>
  <c r="AW574" i="17"/>
  <c r="B574" i="17"/>
  <c r="P573" i="17" l="1"/>
  <c r="O574" i="17"/>
  <c r="BJ574" i="17" s="1"/>
  <c r="H574" i="17"/>
  <c r="F575" i="17"/>
  <c r="R573" i="17"/>
  <c r="AS574" i="17"/>
  <c r="AO574" i="17"/>
  <c r="AK574" i="17"/>
  <c r="AR574" i="17"/>
  <c r="AN574" i="17"/>
  <c r="AJ574" i="17"/>
  <c r="AQ574" i="17"/>
  <c r="AM574" i="17"/>
  <c r="AI574" i="17"/>
  <c r="AH574" i="17"/>
  <c r="AP574" i="17"/>
  <c r="AL574" i="17"/>
  <c r="B575" i="17"/>
  <c r="AW575" i="17"/>
  <c r="C576" i="17"/>
  <c r="G576" i="17" s="1"/>
  <c r="P574" i="17" l="1"/>
  <c r="O575" i="17"/>
  <c r="BJ575" i="17" s="1"/>
  <c r="H575" i="17"/>
  <c r="F576" i="17"/>
  <c r="R574" i="17"/>
  <c r="AR575" i="17"/>
  <c r="AN575" i="17"/>
  <c r="AJ575" i="17"/>
  <c r="AQ575" i="17"/>
  <c r="AM575" i="17"/>
  <c r="AI575" i="17"/>
  <c r="AP575" i="17"/>
  <c r="AL575" i="17"/>
  <c r="AH575" i="17"/>
  <c r="AK575" i="17"/>
  <c r="AS575" i="17"/>
  <c r="AO575" i="17"/>
  <c r="B576" i="17"/>
  <c r="C577" i="17"/>
  <c r="G577" i="17" s="1"/>
  <c r="AW576" i="17"/>
  <c r="P575" i="17" l="1"/>
  <c r="O576" i="17"/>
  <c r="BJ576" i="17" s="1"/>
  <c r="H576" i="17"/>
  <c r="F577" i="17"/>
  <c r="R575" i="17"/>
  <c r="C578" i="17"/>
  <c r="G578" i="17" s="1"/>
  <c r="AW577" i="17"/>
  <c r="B577" i="17"/>
  <c r="AQ576" i="17"/>
  <c r="AM576" i="17"/>
  <c r="AI576" i="17"/>
  <c r="AP576" i="17"/>
  <c r="AL576" i="17"/>
  <c r="AH576" i="17"/>
  <c r="AS576" i="17"/>
  <c r="AO576" i="17"/>
  <c r="AK576" i="17"/>
  <c r="AR576" i="17"/>
  <c r="AN576" i="17"/>
  <c r="AJ576" i="17"/>
  <c r="P576" i="17" l="1"/>
  <c r="O577" i="17"/>
  <c r="BJ577" i="17" s="1"/>
  <c r="H577" i="17"/>
  <c r="F578" i="17"/>
  <c r="R576" i="17"/>
  <c r="AP577" i="17"/>
  <c r="AL577" i="17"/>
  <c r="AH577" i="17"/>
  <c r="AS577" i="17"/>
  <c r="AO577" i="17"/>
  <c r="AK577" i="17"/>
  <c r="AR577" i="17"/>
  <c r="AN577" i="17"/>
  <c r="AJ577" i="17"/>
  <c r="AQ577" i="17"/>
  <c r="AM577" i="17"/>
  <c r="AI577" i="17"/>
  <c r="C579" i="17"/>
  <c r="G579" i="17" s="1"/>
  <c r="AW578" i="17"/>
  <c r="B578" i="17"/>
  <c r="P577" i="17" l="1"/>
  <c r="R577" i="17" s="1"/>
  <c r="O578" i="17"/>
  <c r="P578" i="17" s="1"/>
  <c r="H578" i="17"/>
  <c r="F579" i="17"/>
  <c r="AS578" i="17"/>
  <c r="AO578" i="17"/>
  <c r="AK578" i="17"/>
  <c r="AR578" i="17"/>
  <c r="AN578" i="17"/>
  <c r="AJ578" i="17"/>
  <c r="AQ578" i="17"/>
  <c r="AM578" i="17"/>
  <c r="AI578" i="17"/>
  <c r="AP578" i="17"/>
  <c r="AL578" i="17"/>
  <c r="AH578" i="17"/>
  <c r="B579" i="17"/>
  <c r="AW579" i="17"/>
  <c r="C580" i="17"/>
  <c r="G580" i="17" s="1"/>
  <c r="BJ578" i="17" l="1"/>
  <c r="O579" i="17"/>
  <c r="BJ579" i="17" s="1"/>
  <c r="H579" i="17"/>
  <c r="F580" i="17"/>
  <c r="R578" i="17"/>
  <c r="AR579" i="17"/>
  <c r="AN579" i="17"/>
  <c r="AJ579" i="17"/>
  <c r="AQ579" i="17"/>
  <c r="AM579" i="17"/>
  <c r="AI579" i="17"/>
  <c r="AP579" i="17"/>
  <c r="AL579" i="17"/>
  <c r="AH579" i="17"/>
  <c r="AS579" i="17"/>
  <c r="AO579" i="17"/>
  <c r="AK579" i="17"/>
  <c r="B580" i="17"/>
  <c r="C581" i="17"/>
  <c r="G581" i="17" s="1"/>
  <c r="AW580" i="17"/>
  <c r="P579" i="17" l="1"/>
  <c r="O580" i="17"/>
  <c r="BJ580" i="17" s="1"/>
  <c r="H580" i="17"/>
  <c r="F581" i="17"/>
  <c r="R579" i="17"/>
  <c r="C582" i="17"/>
  <c r="G582" i="17" s="1"/>
  <c r="AW581" i="17"/>
  <c r="B581" i="17"/>
  <c r="AQ580" i="17"/>
  <c r="AM580" i="17"/>
  <c r="AI580" i="17"/>
  <c r="AP580" i="17"/>
  <c r="AL580" i="17"/>
  <c r="AH580" i="17"/>
  <c r="AS580" i="17"/>
  <c r="AO580" i="17"/>
  <c r="AK580" i="17"/>
  <c r="AR580" i="17"/>
  <c r="AN580" i="17"/>
  <c r="AJ580" i="17"/>
  <c r="P580" i="17" l="1"/>
  <c r="R580" i="17" s="1"/>
  <c r="O581" i="17"/>
  <c r="BJ581" i="17" s="1"/>
  <c r="H581" i="17"/>
  <c r="F582" i="17"/>
  <c r="AP581" i="17"/>
  <c r="AL581" i="17"/>
  <c r="AH581" i="17"/>
  <c r="AS581" i="17"/>
  <c r="AO581" i="17"/>
  <c r="AK581" i="17"/>
  <c r="AR581" i="17"/>
  <c r="AN581" i="17"/>
  <c r="AJ581" i="17"/>
  <c r="AQ581" i="17"/>
  <c r="AM581" i="17"/>
  <c r="AI581" i="17"/>
  <c r="C583" i="17"/>
  <c r="G583" i="17" s="1"/>
  <c r="AW582" i="17"/>
  <c r="B582" i="17"/>
  <c r="P581" i="17" l="1"/>
  <c r="O582" i="17"/>
  <c r="BJ582" i="17" s="1"/>
  <c r="H582" i="17"/>
  <c r="F583" i="17"/>
  <c r="R581" i="17"/>
  <c r="AS582" i="17"/>
  <c r="AO582" i="17"/>
  <c r="AK582" i="17"/>
  <c r="AR582" i="17"/>
  <c r="AN582" i="17"/>
  <c r="AJ582" i="17"/>
  <c r="AQ582" i="17"/>
  <c r="AM582" i="17"/>
  <c r="AI582" i="17"/>
  <c r="AP582" i="17"/>
  <c r="AL582" i="17"/>
  <c r="AH582" i="17"/>
  <c r="B583" i="17"/>
  <c r="C584" i="17"/>
  <c r="G584" i="17" s="1"/>
  <c r="AW583" i="17"/>
  <c r="P582" i="17" l="1"/>
  <c r="O583" i="17"/>
  <c r="BJ583" i="17" s="1"/>
  <c r="H583" i="17"/>
  <c r="F584" i="17"/>
  <c r="R582" i="17"/>
  <c r="B584" i="17"/>
  <c r="C585" i="17"/>
  <c r="G585" i="17" s="1"/>
  <c r="AW584" i="17"/>
  <c r="AR583" i="17"/>
  <c r="AN583" i="17"/>
  <c r="AJ583" i="17"/>
  <c r="AQ583" i="17"/>
  <c r="AM583" i="17"/>
  <c r="AI583" i="17"/>
  <c r="AP583" i="17"/>
  <c r="AL583" i="17"/>
  <c r="AH583" i="17"/>
  <c r="AS583" i="17"/>
  <c r="AO583" i="17"/>
  <c r="AK583" i="17"/>
  <c r="P583" i="17" l="1"/>
  <c r="O584" i="17"/>
  <c r="P584" i="17" s="1"/>
  <c r="H584" i="17"/>
  <c r="F585" i="17"/>
  <c r="R583" i="17"/>
  <c r="C586" i="17"/>
  <c r="G586" i="17" s="1"/>
  <c r="AW585" i="17"/>
  <c r="B585" i="17"/>
  <c r="AQ584" i="17"/>
  <c r="AM584" i="17"/>
  <c r="AI584" i="17"/>
  <c r="AP584" i="17"/>
  <c r="AL584" i="17"/>
  <c r="AH584" i="17"/>
  <c r="AS584" i="17"/>
  <c r="AO584" i="17"/>
  <c r="AK584" i="17"/>
  <c r="AN584" i="17"/>
  <c r="AJ584" i="17"/>
  <c r="AR584" i="17"/>
  <c r="BJ584" i="17" l="1"/>
  <c r="O585" i="17"/>
  <c r="BJ585" i="17" s="1"/>
  <c r="H585" i="17"/>
  <c r="F586" i="17"/>
  <c r="R584" i="17"/>
  <c r="AP585" i="17"/>
  <c r="AL585" i="17"/>
  <c r="AH585" i="17"/>
  <c r="AS585" i="17"/>
  <c r="AO585" i="17"/>
  <c r="AK585" i="17"/>
  <c r="AR585" i="17"/>
  <c r="AN585" i="17"/>
  <c r="AJ585" i="17"/>
  <c r="AM585" i="17"/>
  <c r="AI585" i="17"/>
  <c r="AQ585" i="17"/>
  <c r="C587" i="17"/>
  <c r="G587" i="17" s="1"/>
  <c r="AW586" i="17"/>
  <c r="B586" i="17"/>
  <c r="P585" i="17" l="1"/>
  <c r="O586" i="17"/>
  <c r="BJ586" i="17" s="1"/>
  <c r="H586" i="17"/>
  <c r="F587" i="17"/>
  <c r="R585" i="17"/>
  <c r="B587" i="17"/>
  <c r="AW587" i="17"/>
  <c r="C588" i="17"/>
  <c r="G588" i="17" s="1"/>
  <c r="AS586" i="17"/>
  <c r="AO586" i="17"/>
  <c r="AK586" i="17"/>
  <c r="AR586" i="17"/>
  <c r="AN586" i="17"/>
  <c r="AJ586" i="17"/>
  <c r="AQ586" i="17"/>
  <c r="AM586" i="17"/>
  <c r="AI586" i="17"/>
  <c r="AL586" i="17"/>
  <c r="AH586" i="17"/>
  <c r="AP586" i="17"/>
  <c r="P586" i="17" l="1"/>
  <c r="O587" i="17"/>
  <c r="BJ587" i="17" s="1"/>
  <c r="H587" i="17"/>
  <c r="F588" i="17"/>
  <c r="R586" i="17"/>
  <c r="AR587" i="17"/>
  <c r="AN587" i="17"/>
  <c r="AJ587" i="17"/>
  <c r="AQ587" i="17"/>
  <c r="AM587" i="17"/>
  <c r="AI587" i="17"/>
  <c r="AP587" i="17"/>
  <c r="AL587" i="17"/>
  <c r="AH587" i="17"/>
  <c r="AO587" i="17"/>
  <c r="AK587" i="17"/>
  <c r="AS587" i="17"/>
  <c r="B588" i="17"/>
  <c r="C589" i="17"/>
  <c r="G589" i="17" s="1"/>
  <c r="AW588" i="17"/>
  <c r="P587" i="17" l="1"/>
  <c r="R587" i="17" s="1"/>
  <c r="O588" i="17"/>
  <c r="BJ588" i="17" s="1"/>
  <c r="H588" i="17"/>
  <c r="F589" i="17"/>
  <c r="C590" i="17"/>
  <c r="G590" i="17" s="1"/>
  <c r="AW589" i="17"/>
  <c r="B589" i="17"/>
  <c r="AQ588" i="17"/>
  <c r="AM588" i="17"/>
  <c r="AI588" i="17"/>
  <c r="AP588" i="17"/>
  <c r="AL588" i="17"/>
  <c r="AH588" i="17"/>
  <c r="AS588" i="17"/>
  <c r="AO588" i="17"/>
  <c r="AK588" i="17"/>
  <c r="AJ588" i="17"/>
  <c r="AR588" i="17"/>
  <c r="AN588" i="17"/>
  <c r="P588" i="17" l="1"/>
  <c r="O589" i="17"/>
  <c r="BJ589" i="17" s="1"/>
  <c r="H589" i="17"/>
  <c r="F590" i="17"/>
  <c r="R588" i="17"/>
  <c r="AP589" i="17"/>
  <c r="AL589" i="17"/>
  <c r="AH589" i="17"/>
  <c r="AS589" i="17"/>
  <c r="AO589" i="17"/>
  <c r="AK589" i="17"/>
  <c r="AR589" i="17"/>
  <c r="AN589" i="17"/>
  <c r="AJ589" i="17"/>
  <c r="AI589" i="17"/>
  <c r="AQ589" i="17"/>
  <c r="AM589" i="17"/>
  <c r="C591" i="17"/>
  <c r="G591" i="17" s="1"/>
  <c r="AW590" i="17"/>
  <c r="B590" i="17"/>
  <c r="P589" i="17" l="1"/>
  <c r="R589" i="17" s="1"/>
  <c r="O590" i="17"/>
  <c r="BJ590" i="17" s="1"/>
  <c r="H590" i="17"/>
  <c r="F591" i="17"/>
  <c r="AS590" i="17"/>
  <c r="AO590" i="17"/>
  <c r="AK590" i="17"/>
  <c r="AR590" i="17"/>
  <c r="AN590" i="17"/>
  <c r="AJ590" i="17"/>
  <c r="AQ590" i="17"/>
  <c r="AM590" i="17"/>
  <c r="AI590" i="17"/>
  <c r="AH590" i="17"/>
  <c r="AP590" i="17"/>
  <c r="AL590" i="17"/>
  <c r="B591" i="17"/>
  <c r="AW591" i="17"/>
  <c r="C592" i="17"/>
  <c r="G592" i="17" s="1"/>
  <c r="P590" i="17" l="1"/>
  <c r="O591" i="17"/>
  <c r="BJ591" i="17" s="1"/>
  <c r="H591" i="17"/>
  <c r="F592" i="17"/>
  <c r="R590" i="17"/>
  <c r="B592" i="17"/>
  <c r="C593" i="17"/>
  <c r="G593" i="17" s="1"/>
  <c r="AW592" i="17"/>
  <c r="AR591" i="17"/>
  <c r="AN591" i="17"/>
  <c r="AJ591" i="17"/>
  <c r="AQ591" i="17"/>
  <c r="AM591" i="17"/>
  <c r="AI591" i="17"/>
  <c r="AP591" i="17"/>
  <c r="AL591" i="17"/>
  <c r="AH591" i="17"/>
  <c r="AK591" i="17"/>
  <c r="AS591" i="17"/>
  <c r="AO591" i="17"/>
  <c r="P591" i="17" l="1"/>
  <c r="O592" i="17"/>
  <c r="BJ592" i="17" s="1"/>
  <c r="H592" i="17"/>
  <c r="F593" i="17"/>
  <c r="R591" i="17"/>
  <c r="AQ592" i="17"/>
  <c r="AM592" i="17"/>
  <c r="AI592" i="17"/>
  <c r="AP592" i="17"/>
  <c r="AL592" i="17"/>
  <c r="AH592" i="17"/>
  <c r="AS592" i="17"/>
  <c r="AO592" i="17"/>
  <c r="AK592" i="17"/>
  <c r="AR592" i="17"/>
  <c r="AN592" i="17"/>
  <c r="AJ592" i="17"/>
  <c r="C594" i="17"/>
  <c r="G594" i="17" s="1"/>
  <c r="AW593" i="17"/>
  <c r="B593" i="17"/>
  <c r="P592" i="17" l="1"/>
  <c r="O593" i="17"/>
  <c r="BJ593" i="17" s="1"/>
  <c r="H593" i="17"/>
  <c r="F594" i="17"/>
  <c r="R592" i="17"/>
  <c r="AP593" i="17"/>
  <c r="AL593" i="17"/>
  <c r="AH593" i="17"/>
  <c r="AS593" i="17"/>
  <c r="AO593" i="17"/>
  <c r="AK593" i="17"/>
  <c r="AR593" i="17"/>
  <c r="AN593" i="17"/>
  <c r="AJ593" i="17"/>
  <c r="AQ593" i="17"/>
  <c r="AM593" i="17"/>
  <c r="AI593" i="17"/>
  <c r="C595" i="17"/>
  <c r="G595" i="17" s="1"/>
  <c r="AW594" i="17"/>
  <c r="B594" i="17"/>
  <c r="P593" i="17" l="1"/>
  <c r="O594" i="17"/>
  <c r="BJ594" i="17" s="1"/>
  <c r="H594" i="17"/>
  <c r="F595" i="17"/>
  <c r="R593" i="17"/>
  <c r="AS594" i="17"/>
  <c r="AO594" i="17"/>
  <c r="AK594" i="17"/>
  <c r="AR594" i="17"/>
  <c r="AN594" i="17"/>
  <c r="AJ594" i="17"/>
  <c r="AQ594" i="17"/>
  <c r="AM594" i="17"/>
  <c r="AI594" i="17"/>
  <c r="AP594" i="17"/>
  <c r="AL594" i="17"/>
  <c r="AH594" i="17"/>
  <c r="B595" i="17"/>
  <c r="AW595" i="17"/>
  <c r="C596" i="17"/>
  <c r="G596" i="17" s="1"/>
  <c r="P594" i="17" l="1"/>
  <c r="O595" i="17"/>
  <c r="P595" i="17" s="1"/>
  <c r="H595" i="17"/>
  <c r="F596" i="17"/>
  <c r="R594" i="17"/>
  <c r="AR595" i="17"/>
  <c r="AN595" i="17"/>
  <c r="AJ595" i="17"/>
  <c r="AQ595" i="17"/>
  <c r="AM595" i="17"/>
  <c r="AI595" i="17"/>
  <c r="AP595" i="17"/>
  <c r="AL595" i="17"/>
  <c r="AH595" i="17"/>
  <c r="AS595" i="17"/>
  <c r="AO595" i="17"/>
  <c r="AK595" i="17"/>
  <c r="B596" i="17"/>
  <c r="H596" i="17" s="1"/>
  <c r="C597" i="17"/>
  <c r="G597" i="17" s="1"/>
  <c r="AW596" i="17"/>
  <c r="BJ595" i="17" l="1"/>
  <c r="O596" i="17"/>
  <c r="BJ596" i="17" s="1"/>
  <c r="F597" i="17"/>
  <c r="R595" i="17"/>
  <c r="C598" i="17"/>
  <c r="G598" i="17" s="1"/>
  <c r="AW597" i="17"/>
  <c r="B597" i="17"/>
  <c r="AQ596" i="17"/>
  <c r="AM596" i="17"/>
  <c r="AI596" i="17"/>
  <c r="AP596" i="17"/>
  <c r="AL596" i="17"/>
  <c r="AH596" i="17"/>
  <c r="AS596" i="17"/>
  <c r="AO596" i="17"/>
  <c r="AK596" i="17"/>
  <c r="AR596" i="17"/>
  <c r="AN596" i="17"/>
  <c r="AJ596" i="17"/>
  <c r="P596" i="17" l="1"/>
  <c r="R596" i="17" s="1"/>
  <c r="O597" i="17"/>
  <c r="BJ597" i="17" s="1"/>
  <c r="H597" i="17"/>
  <c r="F598" i="17"/>
  <c r="AP597" i="17"/>
  <c r="AL597" i="17"/>
  <c r="AH597" i="17"/>
  <c r="AS597" i="17"/>
  <c r="AO597" i="17"/>
  <c r="AK597" i="17"/>
  <c r="AR597" i="17"/>
  <c r="AN597" i="17"/>
  <c r="AJ597" i="17"/>
  <c r="AQ597" i="17"/>
  <c r="AM597" i="17"/>
  <c r="AI597" i="17"/>
  <c r="C599" i="17"/>
  <c r="G599" i="17" s="1"/>
  <c r="AW598" i="17"/>
  <c r="B598" i="17"/>
  <c r="P597" i="17" l="1"/>
  <c r="O598" i="17"/>
  <c r="BJ598" i="17" s="1"/>
  <c r="H598" i="17"/>
  <c r="F599" i="17"/>
  <c r="R597" i="17"/>
  <c r="AS598" i="17"/>
  <c r="AO598" i="17"/>
  <c r="AK598" i="17"/>
  <c r="AR598" i="17"/>
  <c r="AN598" i="17"/>
  <c r="AJ598" i="17"/>
  <c r="AQ598" i="17"/>
  <c r="AM598" i="17"/>
  <c r="AI598" i="17"/>
  <c r="AP598" i="17"/>
  <c r="AL598" i="17"/>
  <c r="AH598" i="17"/>
  <c r="B599" i="17"/>
  <c r="C600" i="17"/>
  <c r="G600" i="17" s="1"/>
  <c r="AW599" i="17"/>
  <c r="P598" i="17" l="1"/>
  <c r="O599" i="17"/>
  <c r="BJ599" i="17" s="1"/>
  <c r="H599" i="17"/>
  <c r="F600" i="17"/>
  <c r="R598" i="17"/>
  <c r="B600" i="17"/>
  <c r="C601" i="17"/>
  <c r="G601" i="17" s="1"/>
  <c r="AW600" i="17"/>
  <c r="AR599" i="17"/>
  <c r="AN599" i="17"/>
  <c r="AJ599" i="17"/>
  <c r="AQ599" i="17"/>
  <c r="AM599" i="17"/>
  <c r="AI599" i="17"/>
  <c r="AP599" i="17"/>
  <c r="AL599" i="17"/>
  <c r="AH599" i="17"/>
  <c r="AS599" i="17"/>
  <c r="AO599" i="17"/>
  <c r="AK599" i="17"/>
  <c r="P599" i="17" l="1"/>
  <c r="O600" i="17"/>
  <c r="BJ600" i="17" s="1"/>
  <c r="H600" i="17"/>
  <c r="F601" i="17"/>
  <c r="R599" i="17"/>
  <c r="C602" i="17"/>
  <c r="G602" i="17" s="1"/>
  <c r="AW601" i="17"/>
  <c r="B601" i="17"/>
  <c r="AQ600" i="17"/>
  <c r="AM600" i="17"/>
  <c r="AI600" i="17"/>
  <c r="AP600" i="17"/>
  <c r="AL600" i="17"/>
  <c r="AH600" i="17"/>
  <c r="AS600" i="17"/>
  <c r="AO600" i="17"/>
  <c r="AK600" i="17"/>
  <c r="AN600" i="17"/>
  <c r="AJ600" i="17"/>
  <c r="AR600" i="17"/>
  <c r="P600" i="17" l="1"/>
  <c r="O601" i="17"/>
  <c r="P601" i="17" s="1"/>
  <c r="H601" i="17"/>
  <c r="F602" i="17"/>
  <c r="R600" i="17"/>
  <c r="C603" i="17"/>
  <c r="G603" i="17" s="1"/>
  <c r="AW602" i="17"/>
  <c r="B602" i="17"/>
  <c r="AP601" i="17"/>
  <c r="AL601" i="17"/>
  <c r="AH601" i="17"/>
  <c r="AS601" i="17"/>
  <c r="AO601" i="17"/>
  <c r="AK601" i="17"/>
  <c r="AR601" i="17"/>
  <c r="AN601" i="17"/>
  <c r="AJ601" i="17"/>
  <c r="AM601" i="17"/>
  <c r="AI601" i="17"/>
  <c r="AQ601" i="17"/>
  <c r="BJ601" i="17" l="1"/>
  <c r="O602" i="17"/>
  <c r="P602" i="17" s="1"/>
  <c r="H602" i="17"/>
  <c r="F603" i="17"/>
  <c r="R601" i="17"/>
  <c r="AS602" i="17"/>
  <c r="AO602" i="17"/>
  <c r="AK602" i="17"/>
  <c r="AR602" i="17"/>
  <c r="AN602" i="17"/>
  <c r="AJ602" i="17"/>
  <c r="AQ602" i="17"/>
  <c r="AM602" i="17"/>
  <c r="AI602" i="17"/>
  <c r="AL602" i="17"/>
  <c r="AH602" i="17"/>
  <c r="AP602" i="17"/>
  <c r="B603" i="17"/>
  <c r="AW603" i="17"/>
  <c r="C604" i="17"/>
  <c r="G604" i="17" s="1"/>
  <c r="BJ602" i="17" l="1"/>
  <c r="O603" i="17"/>
  <c r="BJ603" i="17" s="1"/>
  <c r="H603" i="17"/>
  <c r="F604" i="17"/>
  <c r="R602" i="17"/>
  <c r="AR603" i="17"/>
  <c r="AN603" i="17"/>
  <c r="AJ603" i="17"/>
  <c r="AQ603" i="17"/>
  <c r="AM603" i="17"/>
  <c r="AI603" i="17"/>
  <c r="AP603" i="17"/>
  <c r="AL603" i="17"/>
  <c r="AH603" i="17"/>
  <c r="AO603" i="17"/>
  <c r="AK603" i="17"/>
  <c r="AS603" i="17"/>
  <c r="B604" i="17"/>
  <c r="C605" i="17"/>
  <c r="G605" i="17" s="1"/>
  <c r="AW604" i="17"/>
  <c r="P603" i="17" l="1"/>
  <c r="O604" i="17"/>
  <c r="P604" i="17" s="1"/>
  <c r="H604" i="17"/>
  <c r="F605" i="17"/>
  <c r="R603" i="17"/>
  <c r="AQ604" i="17"/>
  <c r="AM604" i="17"/>
  <c r="AI604" i="17"/>
  <c r="AP604" i="17"/>
  <c r="AL604" i="17"/>
  <c r="AH604" i="17"/>
  <c r="AS604" i="17"/>
  <c r="AO604" i="17"/>
  <c r="AK604" i="17"/>
  <c r="AJ604" i="17"/>
  <c r="AR604" i="17"/>
  <c r="AN604" i="17"/>
  <c r="C606" i="17"/>
  <c r="G606" i="17" s="1"/>
  <c r="AW605" i="17"/>
  <c r="B605" i="17"/>
  <c r="BJ604" i="17" l="1"/>
  <c r="O605" i="17"/>
  <c r="BJ605" i="17" s="1"/>
  <c r="H605" i="17"/>
  <c r="F606" i="17"/>
  <c r="R604" i="17"/>
  <c r="AP605" i="17"/>
  <c r="AL605" i="17"/>
  <c r="AH605" i="17"/>
  <c r="AS605" i="17"/>
  <c r="AO605" i="17"/>
  <c r="AK605" i="17"/>
  <c r="AR605" i="17"/>
  <c r="AN605" i="17"/>
  <c r="AJ605" i="17"/>
  <c r="AI605" i="17"/>
  <c r="AQ605" i="17"/>
  <c r="AM605" i="17"/>
  <c r="C607" i="17"/>
  <c r="G607" i="17" s="1"/>
  <c r="AW606" i="17"/>
  <c r="B606" i="17"/>
  <c r="P605" i="17" l="1"/>
  <c r="O606" i="17"/>
  <c r="BJ606" i="17" s="1"/>
  <c r="H606" i="17"/>
  <c r="F607" i="17"/>
  <c r="R605" i="17"/>
  <c r="AS606" i="17"/>
  <c r="AO606" i="17"/>
  <c r="AK606" i="17"/>
  <c r="AR606" i="17"/>
  <c r="AN606" i="17"/>
  <c r="AJ606" i="17"/>
  <c r="AQ606" i="17"/>
  <c r="AM606" i="17"/>
  <c r="AI606" i="17"/>
  <c r="AH606" i="17"/>
  <c r="AP606" i="17"/>
  <c r="AL606" i="17"/>
  <c r="B607" i="17"/>
  <c r="AW607" i="17"/>
  <c r="C608" i="17"/>
  <c r="G608" i="17" s="1"/>
  <c r="P606" i="17" l="1"/>
  <c r="O607" i="17"/>
  <c r="P607" i="17" s="1"/>
  <c r="H607" i="17"/>
  <c r="F608" i="17"/>
  <c r="R606" i="17"/>
  <c r="B608" i="17"/>
  <c r="C609" i="17"/>
  <c r="G609" i="17" s="1"/>
  <c r="AW608" i="17"/>
  <c r="AR607" i="17"/>
  <c r="AN607" i="17"/>
  <c r="AJ607" i="17"/>
  <c r="AQ607" i="17"/>
  <c r="AM607" i="17"/>
  <c r="AI607" i="17"/>
  <c r="AP607" i="17"/>
  <c r="AL607" i="17"/>
  <c r="AH607" i="17"/>
  <c r="AK607" i="17"/>
  <c r="AS607" i="17"/>
  <c r="AO607" i="17"/>
  <c r="BJ607" i="17" l="1"/>
  <c r="O608" i="17"/>
  <c r="BJ608" i="17" s="1"/>
  <c r="H608" i="17"/>
  <c r="F609" i="17"/>
  <c r="R607" i="17"/>
  <c r="AQ608" i="17"/>
  <c r="AM608" i="17"/>
  <c r="AI608" i="17"/>
  <c r="AP608" i="17"/>
  <c r="AL608" i="17"/>
  <c r="AH608" i="17"/>
  <c r="AS608" i="17"/>
  <c r="AO608" i="17"/>
  <c r="AK608" i="17"/>
  <c r="AR608" i="17"/>
  <c r="AN608" i="17"/>
  <c r="AJ608" i="17"/>
  <c r="C610" i="17"/>
  <c r="G610" i="17" s="1"/>
  <c r="AW609" i="17"/>
  <c r="B609" i="17"/>
  <c r="P608" i="17" l="1"/>
  <c r="O609" i="17"/>
  <c r="P609" i="17" s="1"/>
  <c r="H609" i="17"/>
  <c r="F610" i="17"/>
  <c r="R608" i="17"/>
  <c r="AP609" i="17"/>
  <c r="AL609" i="17"/>
  <c r="AH609" i="17"/>
  <c r="AS609" i="17"/>
  <c r="AO609" i="17"/>
  <c r="AK609" i="17"/>
  <c r="AR609" i="17"/>
  <c r="AN609" i="17"/>
  <c r="AJ609" i="17"/>
  <c r="AQ609" i="17"/>
  <c r="AM609" i="17"/>
  <c r="AI609" i="17"/>
  <c r="C611" i="17"/>
  <c r="G611" i="17" s="1"/>
  <c r="AW610" i="17"/>
  <c r="B610" i="17"/>
  <c r="BJ609" i="17" l="1"/>
  <c r="O610" i="17"/>
  <c r="P610" i="17" s="1"/>
  <c r="H610" i="17"/>
  <c r="F611" i="17"/>
  <c r="R609" i="17"/>
  <c r="AS610" i="17"/>
  <c r="AO610" i="17"/>
  <c r="AK610" i="17"/>
  <c r="AR610" i="17"/>
  <c r="AN610" i="17"/>
  <c r="AJ610" i="17"/>
  <c r="AQ610" i="17"/>
  <c r="AM610" i="17"/>
  <c r="AI610" i="17"/>
  <c r="AP610" i="17"/>
  <c r="AL610" i="17"/>
  <c r="AH610" i="17"/>
  <c r="B611" i="17"/>
  <c r="AW611" i="17"/>
  <c r="C612" i="17"/>
  <c r="G612" i="17" s="1"/>
  <c r="BJ610" i="17" l="1"/>
  <c r="O611" i="17"/>
  <c r="BJ611" i="17" s="1"/>
  <c r="H611" i="17"/>
  <c r="F612" i="17"/>
  <c r="R610" i="17"/>
  <c r="B612" i="17"/>
  <c r="C613" i="17"/>
  <c r="G613" i="17" s="1"/>
  <c r="AW612" i="17"/>
  <c r="AR611" i="17"/>
  <c r="AN611" i="17"/>
  <c r="AJ611" i="17"/>
  <c r="AQ611" i="17"/>
  <c r="AM611" i="17"/>
  <c r="AI611" i="17"/>
  <c r="AP611" i="17"/>
  <c r="AL611" i="17"/>
  <c r="AH611" i="17"/>
  <c r="AS611" i="17"/>
  <c r="AO611" i="17"/>
  <c r="AK611" i="17"/>
  <c r="P611" i="17" l="1"/>
  <c r="O612" i="17"/>
  <c r="BJ612" i="17" s="1"/>
  <c r="H612" i="17"/>
  <c r="F613" i="17"/>
  <c r="R611" i="17"/>
  <c r="AQ612" i="17"/>
  <c r="AM612" i="17"/>
  <c r="AI612" i="17"/>
  <c r="AP612" i="17"/>
  <c r="AL612" i="17"/>
  <c r="AH612" i="17"/>
  <c r="AS612" i="17"/>
  <c r="AO612" i="17"/>
  <c r="AK612" i="17"/>
  <c r="AR612" i="17"/>
  <c r="AN612" i="17"/>
  <c r="AJ612" i="17"/>
  <c r="C614" i="17"/>
  <c r="G614" i="17" s="1"/>
  <c r="AW613" i="17"/>
  <c r="B613" i="17"/>
  <c r="P612" i="17" l="1"/>
  <c r="O613" i="17"/>
  <c r="BJ613" i="17" s="1"/>
  <c r="H613" i="17"/>
  <c r="P613" i="17"/>
  <c r="F614" i="17"/>
  <c r="R612" i="17"/>
  <c r="AP613" i="17"/>
  <c r="AL613" i="17"/>
  <c r="AH613" i="17"/>
  <c r="AS613" i="17"/>
  <c r="AO613" i="17"/>
  <c r="AK613" i="17"/>
  <c r="AR613" i="17"/>
  <c r="AN613" i="17"/>
  <c r="AJ613" i="17"/>
  <c r="AQ613" i="17"/>
  <c r="AM613" i="17"/>
  <c r="AI613" i="17"/>
  <c r="C615" i="17"/>
  <c r="G615" i="17" s="1"/>
  <c r="AW614" i="17"/>
  <c r="B614" i="17"/>
  <c r="O614" i="17" l="1"/>
  <c r="H614" i="17"/>
  <c r="P614" i="17"/>
  <c r="BJ614" i="17"/>
  <c r="F615" i="17"/>
  <c r="R613" i="17"/>
  <c r="AS614" i="17"/>
  <c r="AO614" i="17"/>
  <c r="AK614" i="17"/>
  <c r="AR614" i="17"/>
  <c r="AN614" i="17"/>
  <c r="AJ614" i="17"/>
  <c r="AQ614" i="17"/>
  <c r="AM614" i="17"/>
  <c r="AI614" i="17"/>
  <c r="AP614" i="17"/>
  <c r="AL614" i="17"/>
  <c r="AH614" i="17"/>
  <c r="B615" i="17"/>
  <c r="C616" i="17"/>
  <c r="G616" i="17" s="1"/>
  <c r="AW615" i="17"/>
  <c r="O615" i="17" l="1"/>
  <c r="H615" i="17"/>
  <c r="P615" i="17"/>
  <c r="BJ615" i="17"/>
  <c r="F616" i="17"/>
  <c r="R614" i="17"/>
  <c r="B616" i="17"/>
  <c r="C617" i="17"/>
  <c r="G617" i="17" s="1"/>
  <c r="AW616" i="17"/>
  <c r="AR615" i="17"/>
  <c r="AN615" i="17"/>
  <c r="AJ615" i="17"/>
  <c r="AQ615" i="17"/>
  <c r="AM615" i="17"/>
  <c r="AI615" i="17"/>
  <c r="AP615" i="17"/>
  <c r="AL615" i="17"/>
  <c r="AH615" i="17"/>
  <c r="AS615" i="17"/>
  <c r="AO615" i="17"/>
  <c r="AK615" i="17"/>
  <c r="O616" i="17" l="1"/>
  <c r="H616" i="17"/>
  <c r="P616" i="17"/>
  <c r="BJ616" i="17"/>
  <c r="F617" i="17"/>
  <c r="R615" i="17"/>
  <c r="C618" i="17"/>
  <c r="G618" i="17" s="1"/>
  <c r="AW617" i="17"/>
  <c r="B617" i="17"/>
  <c r="AQ616" i="17"/>
  <c r="AM616" i="17"/>
  <c r="AI616" i="17"/>
  <c r="AP616" i="17"/>
  <c r="AL616" i="17"/>
  <c r="AH616" i="17"/>
  <c r="AS616" i="17"/>
  <c r="AO616" i="17"/>
  <c r="AK616" i="17"/>
  <c r="AN616" i="17"/>
  <c r="AJ616" i="17"/>
  <c r="AR616" i="17"/>
  <c r="O617" i="17" l="1"/>
  <c r="H617" i="17"/>
  <c r="P617" i="17"/>
  <c r="BJ617" i="17"/>
  <c r="F618" i="17"/>
  <c r="R616" i="17"/>
  <c r="AP617" i="17"/>
  <c r="AL617" i="17"/>
  <c r="AH617" i="17"/>
  <c r="AS617" i="17"/>
  <c r="AO617" i="17"/>
  <c r="AK617" i="17"/>
  <c r="AR617" i="17"/>
  <c r="AN617" i="17"/>
  <c r="AJ617" i="17"/>
  <c r="AM617" i="17"/>
  <c r="AI617" i="17"/>
  <c r="AQ617" i="17"/>
  <c r="C619" i="17"/>
  <c r="G619" i="17" s="1"/>
  <c r="AW618" i="17"/>
  <c r="B618" i="17"/>
  <c r="O618" i="17" l="1"/>
  <c r="P618" i="17" s="1"/>
  <c r="H618" i="17"/>
  <c r="BJ618" i="17"/>
  <c r="F619" i="17"/>
  <c r="R617" i="17"/>
  <c r="AS618" i="17"/>
  <c r="AO618" i="17"/>
  <c r="AK618" i="17"/>
  <c r="AR618" i="17"/>
  <c r="AN618" i="17"/>
  <c r="AJ618" i="17"/>
  <c r="AQ618" i="17"/>
  <c r="AM618" i="17"/>
  <c r="AI618" i="17"/>
  <c r="AL618" i="17"/>
  <c r="AH618" i="17"/>
  <c r="AP618" i="17"/>
  <c r="B619" i="17"/>
  <c r="AW619" i="17"/>
  <c r="C620" i="17"/>
  <c r="G620" i="17" s="1"/>
  <c r="O619" i="17" l="1"/>
  <c r="H619" i="17"/>
  <c r="P619" i="17"/>
  <c r="BJ619" i="17"/>
  <c r="F620" i="17"/>
  <c r="R618" i="17"/>
  <c r="AR619" i="17"/>
  <c r="AN619" i="17"/>
  <c r="AJ619" i="17"/>
  <c r="AQ619" i="17"/>
  <c r="AM619" i="17"/>
  <c r="AI619" i="17"/>
  <c r="AP619" i="17"/>
  <c r="AL619" i="17"/>
  <c r="AH619" i="17"/>
  <c r="AO619" i="17"/>
  <c r="AK619" i="17"/>
  <c r="AS619" i="17"/>
  <c r="B620" i="17"/>
  <c r="C621" i="17"/>
  <c r="G621" i="17" s="1"/>
  <c r="AW620" i="17"/>
  <c r="O620" i="17" l="1"/>
  <c r="P620" i="17" s="1"/>
  <c r="H620" i="17"/>
  <c r="BJ620" i="17"/>
  <c r="F621" i="17"/>
  <c r="R619" i="17"/>
  <c r="AQ620" i="17"/>
  <c r="AM620" i="17"/>
  <c r="AI620" i="17"/>
  <c r="AP620" i="17"/>
  <c r="AL620" i="17"/>
  <c r="AH620" i="17"/>
  <c r="AS620" i="17"/>
  <c r="AO620" i="17"/>
  <c r="AK620" i="17"/>
  <c r="AJ620" i="17"/>
  <c r="AR620" i="17"/>
  <c r="AN620" i="17"/>
  <c r="C622" i="17"/>
  <c r="G622" i="17" s="1"/>
  <c r="AW621" i="17"/>
  <c r="B621" i="17"/>
  <c r="O621" i="17" l="1"/>
  <c r="BJ621" i="17" s="1"/>
  <c r="H621" i="17"/>
  <c r="F622" i="17"/>
  <c r="R620" i="17"/>
  <c r="AP621" i="17"/>
  <c r="AL621" i="17"/>
  <c r="AH621" i="17"/>
  <c r="AS621" i="17"/>
  <c r="AO621" i="17"/>
  <c r="AK621" i="17"/>
  <c r="AR621" i="17"/>
  <c r="AN621" i="17"/>
  <c r="AJ621" i="17"/>
  <c r="AI621" i="17"/>
  <c r="AQ621" i="17"/>
  <c r="AM621" i="17"/>
  <c r="C623" i="17"/>
  <c r="G623" i="17" s="1"/>
  <c r="AW622" i="17"/>
  <c r="B622" i="17"/>
  <c r="P621" i="17" l="1"/>
  <c r="O622" i="17"/>
  <c r="BJ622" i="17" s="1"/>
  <c r="H622" i="17"/>
  <c r="F623" i="17"/>
  <c r="R621" i="17"/>
  <c r="AS622" i="17"/>
  <c r="AO622" i="17"/>
  <c r="AK622" i="17"/>
  <c r="AR622" i="17"/>
  <c r="AN622" i="17"/>
  <c r="AJ622" i="17"/>
  <c r="AQ622" i="17"/>
  <c r="AM622" i="17"/>
  <c r="AI622" i="17"/>
  <c r="AH622" i="17"/>
  <c r="AP622" i="17"/>
  <c r="AL622" i="17"/>
  <c r="B623" i="17"/>
  <c r="AW623" i="17"/>
  <c r="C624" i="17"/>
  <c r="G624" i="17" s="1"/>
  <c r="P622" i="17" l="1"/>
  <c r="O623" i="17"/>
  <c r="P623" i="17" s="1"/>
  <c r="H623" i="17"/>
  <c r="F624" i="17"/>
  <c r="R622" i="17"/>
  <c r="B624" i="17"/>
  <c r="C625" i="17"/>
  <c r="G625" i="17" s="1"/>
  <c r="AW624" i="17"/>
  <c r="AR623" i="17"/>
  <c r="AN623" i="17"/>
  <c r="AJ623" i="17"/>
  <c r="AQ623" i="17"/>
  <c r="AM623" i="17"/>
  <c r="AI623" i="17"/>
  <c r="AP623" i="17"/>
  <c r="AL623" i="17"/>
  <c r="AH623" i="17"/>
  <c r="AK623" i="17"/>
  <c r="AS623" i="17"/>
  <c r="AO623" i="17"/>
  <c r="BJ623" i="17" l="1"/>
  <c r="O624" i="17"/>
  <c r="BJ624" i="17" s="1"/>
  <c r="H624" i="17"/>
  <c r="F625" i="17"/>
  <c r="R623" i="17"/>
  <c r="C626" i="17"/>
  <c r="G626" i="17" s="1"/>
  <c r="AW625" i="17"/>
  <c r="B625" i="17"/>
  <c r="AQ624" i="17"/>
  <c r="AM624" i="17"/>
  <c r="AI624" i="17"/>
  <c r="AP624" i="17"/>
  <c r="AL624" i="17"/>
  <c r="AH624" i="17"/>
  <c r="AS624" i="17"/>
  <c r="AO624" i="17"/>
  <c r="AK624" i="17"/>
  <c r="AR624" i="17"/>
  <c r="AN624" i="17"/>
  <c r="AJ624" i="17"/>
  <c r="P624" i="17" l="1"/>
  <c r="R624" i="17" s="1"/>
  <c r="O625" i="17"/>
  <c r="BJ625" i="17" s="1"/>
  <c r="H625" i="17"/>
  <c r="F626" i="17"/>
  <c r="AP625" i="17"/>
  <c r="AL625" i="17"/>
  <c r="AH625" i="17"/>
  <c r="AS625" i="17"/>
  <c r="AO625" i="17"/>
  <c r="AK625" i="17"/>
  <c r="AR625" i="17"/>
  <c r="AN625" i="17"/>
  <c r="AJ625" i="17"/>
  <c r="AQ625" i="17"/>
  <c r="AM625" i="17"/>
  <c r="AI625" i="17"/>
  <c r="C627" i="17"/>
  <c r="G627" i="17" s="1"/>
  <c r="AW626" i="17"/>
  <c r="B626" i="17"/>
  <c r="P625" i="17" l="1"/>
  <c r="O626" i="17"/>
  <c r="BJ626" i="17" s="1"/>
  <c r="H626" i="17"/>
  <c r="F627" i="17"/>
  <c r="R625" i="17"/>
  <c r="AS626" i="17"/>
  <c r="AO626" i="17"/>
  <c r="AK626" i="17"/>
  <c r="AR626" i="17"/>
  <c r="AN626" i="17"/>
  <c r="AJ626" i="17"/>
  <c r="AQ626" i="17"/>
  <c r="AM626" i="17"/>
  <c r="AI626" i="17"/>
  <c r="AP626" i="17"/>
  <c r="AL626" i="17"/>
  <c r="AH626" i="17"/>
  <c r="B627" i="17"/>
  <c r="AW627" i="17"/>
  <c r="C628" i="17"/>
  <c r="G628" i="17" s="1"/>
  <c r="P626" i="17" l="1"/>
  <c r="O627" i="17"/>
  <c r="BJ627" i="17" s="1"/>
  <c r="H627" i="17"/>
  <c r="F628" i="17"/>
  <c r="R626" i="17"/>
  <c r="AR627" i="17"/>
  <c r="AN627" i="17"/>
  <c r="AJ627" i="17"/>
  <c r="AQ627" i="17"/>
  <c r="AM627" i="17"/>
  <c r="AI627" i="17"/>
  <c r="AP627" i="17"/>
  <c r="AL627" i="17"/>
  <c r="AH627" i="17"/>
  <c r="AS627" i="17"/>
  <c r="AO627" i="17"/>
  <c r="AK627" i="17"/>
  <c r="B628" i="17"/>
  <c r="C629" i="17"/>
  <c r="G629" i="17" s="1"/>
  <c r="AW628" i="17"/>
  <c r="P627" i="17" l="1"/>
  <c r="O628" i="17"/>
  <c r="BJ628" i="17" s="1"/>
  <c r="H628" i="17"/>
  <c r="F629" i="17"/>
  <c r="R627" i="17"/>
  <c r="C630" i="17"/>
  <c r="G630" i="17" s="1"/>
  <c r="AW629" i="17"/>
  <c r="B629" i="17"/>
  <c r="AQ628" i="17"/>
  <c r="AM628" i="17"/>
  <c r="AI628" i="17"/>
  <c r="AP628" i="17"/>
  <c r="AL628" i="17"/>
  <c r="AH628" i="17"/>
  <c r="AS628" i="17"/>
  <c r="AO628" i="17"/>
  <c r="AK628" i="17"/>
  <c r="AR628" i="17"/>
  <c r="AN628" i="17"/>
  <c r="AJ628" i="17"/>
  <c r="P628" i="17" l="1"/>
  <c r="O629" i="17"/>
  <c r="BJ629" i="17" s="1"/>
  <c r="H629" i="17"/>
  <c r="F630" i="17"/>
  <c r="R628" i="17"/>
  <c r="AP629" i="17"/>
  <c r="AL629" i="17"/>
  <c r="AH629" i="17"/>
  <c r="AS629" i="17"/>
  <c r="AO629" i="17"/>
  <c r="AK629" i="17"/>
  <c r="AR629" i="17"/>
  <c r="AN629" i="17"/>
  <c r="AJ629" i="17"/>
  <c r="AQ629" i="17"/>
  <c r="AM629" i="17"/>
  <c r="AI629" i="17"/>
  <c r="C631" i="17"/>
  <c r="G631" i="17" s="1"/>
  <c r="AW630" i="17"/>
  <c r="B630" i="17"/>
  <c r="P629" i="17" l="1"/>
  <c r="O630" i="17"/>
  <c r="P630" i="17" s="1"/>
  <c r="H630" i="17"/>
  <c r="F631" i="17"/>
  <c r="R629" i="17"/>
  <c r="AS630" i="17"/>
  <c r="AO630" i="17"/>
  <c r="AK630" i="17"/>
  <c r="AR630" i="17"/>
  <c r="AN630" i="17"/>
  <c r="AJ630" i="17"/>
  <c r="AQ630" i="17"/>
  <c r="AM630" i="17"/>
  <c r="AI630" i="17"/>
  <c r="AP630" i="17"/>
  <c r="AL630" i="17"/>
  <c r="AH630" i="17"/>
  <c r="B631" i="17"/>
  <c r="C632" i="17"/>
  <c r="G632" i="17" s="1"/>
  <c r="AW631" i="17"/>
  <c r="BJ630" i="17" l="1"/>
  <c r="O631" i="17"/>
  <c r="BJ631" i="17" s="1"/>
  <c r="H631" i="17"/>
  <c r="F632" i="17"/>
  <c r="R630" i="17"/>
  <c r="AR631" i="17"/>
  <c r="AN631" i="17"/>
  <c r="AJ631" i="17"/>
  <c r="AQ631" i="17"/>
  <c r="AM631" i="17"/>
  <c r="AI631" i="17"/>
  <c r="AP631" i="17"/>
  <c r="AL631" i="17"/>
  <c r="AH631" i="17"/>
  <c r="AS631" i="17"/>
  <c r="AO631" i="17"/>
  <c r="AK631" i="17"/>
  <c r="B632" i="17"/>
  <c r="C633" i="17"/>
  <c r="G633" i="17" s="1"/>
  <c r="AW632" i="17"/>
  <c r="P631" i="17" l="1"/>
  <c r="O632" i="17"/>
  <c r="BJ632" i="17" s="1"/>
  <c r="H632" i="17"/>
  <c r="F633" i="17"/>
  <c r="R631" i="17"/>
  <c r="C634" i="17"/>
  <c r="G634" i="17" s="1"/>
  <c r="AW633" i="17"/>
  <c r="B633" i="17"/>
  <c r="AQ632" i="17"/>
  <c r="AM632" i="17"/>
  <c r="AI632" i="17"/>
  <c r="AP632" i="17"/>
  <c r="AL632" i="17"/>
  <c r="AH632" i="17"/>
  <c r="AS632" i="17"/>
  <c r="AO632" i="17"/>
  <c r="AK632" i="17"/>
  <c r="AN632" i="17"/>
  <c r="AJ632" i="17"/>
  <c r="AR632" i="17"/>
  <c r="P632" i="17" l="1"/>
  <c r="O633" i="17"/>
  <c r="BJ633" i="17" s="1"/>
  <c r="H633" i="17"/>
  <c r="F634" i="17"/>
  <c r="R632" i="17"/>
  <c r="AP633" i="17"/>
  <c r="AL633" i="17"/>
  <c r="AH633" i="17"/>
  <c r="AS633" i="17"/>
  <c r="AO633" i="17"/>
  <c r="AK633" i="17"/>
  <c r="AR633" i="17"/>
  <c r="AN633" i="17"/>
  <c r="AJ633" i="17"/>
  <c r="AM633" i="17"/>
  <c r="AI633" i="17"/>
  <c r="AQ633" i="17"/>
  <c r="C635" i="17"/>
  <c r="G635" i="17" s="1"/>
  <c r="AW634" i="17"/>
  <c r="B634" i="17"/>
  <c r="P633" i="17" l="1"/>
  <c r="O634" i="17"/>
  <c r="BJ634" i="17" s="1"/>
  <c r="H634" i="17"/>
  <c r="F635" i="17"/>
  <c r="R633" i="17"/>
  <c r="AS634" i="17"/>
  <c r="AO634" i="17"/>
  <c r="AK634" i="17"/>
  <c r="AR634" i="17"/>
  <c r="AN634" i="17"/>
  <c r="AJ634" i="17"/>
  <c r="AQ634" i="17"/>
  <c r="AM634" i="17"/>
  <c r="AI634" i="17"/>
  <c r="AL634" i="17"/>
  <c r="AH634" i="17"/>
  <c r="AP634" i="17"/>
  <c r="B635" i="17"/>
  <c r="AW635" i="17"/>
  <c r="C636" i="17"/>
  <c r="G636" i="17" s="1"/>
  <c r="P634" i="17" l="1"/>
  <c r="O635" i="17"/>
  <c r="BJ635" i="17" s="1"/>
  <c r="H635" i="17"/>
  <c r="F636" i="17"/>
  <c r="R634" i="17"/>
  <c r="AR635" i="17"/>
  <c r="AN635" i="17"/>
  <c r="AJ635" i="17"/>
  <c r="AQ635" i="17"/>
  <c r="AM635" i="17"/>
  <c r="AI635" i="17"/>
  <c r="AP635" i="17"/>
  <c r="AL635" i="17"/>
  <c r="AH635" i="17"/>
  <c r="AO635" i="17"/>
  <c r="AK635" i="17"/>
  <c r="AS635" i="17"/>
  <c r="B636" i="17"/>
  <c r="C637" i="17"/>
  <c r="G637" i="17" s="1"/>
  <c r="AW636" i="17"/>
  <c r="P635" i="17" l="1"/>
  <c r="O636" i="17"/>
  <c r="BJ636" i="17" s="1"/>
  <c r="H636" i="17"/>
  <c r="F637" i="17"/>
  <c r="R635" i="17"/>
  <c r="AQ636" i="17"/>
  <c r="AM636" i="17"/>
  <c r="AI636" i="17"/>
  <c r="AP636" i="17"/>
  <c r="AL636" i="17"/>
  <c r="AH636" i="17"/>
  <c r="AS636" i="17"/>
  <c r="AO636" i="17"/>
  <c r="AK636" i="17"/>
  <c r="AJ636" i="17"/>
  <c r="AR636" i="17"/>
  <c r="AN636" i="17"/>
  <c r="C638" i="17"/>
  <c r="G638" i="17" s="1"/>
  <c r="AW637" i="17"/>
  <c r="B637" i="17"/>
  <c r="P636" i="17" l="1"/>
  <c r="O637" i="17"/>
  <c r="BJ637" i="17" s="1"/>
  <c r="H637" i="17"/>
  <c r="F638" i="17"/>
  <c r="R636" i="17"/>
  <c r="AP637" i="17"/>
  <c r="AL637" i="17"/>
  <c r="AH637" i="17"/>
  <c r="AS637" i="17"/>
  <c r="AO637" i="17"/>
  <c r="AK637" i="17"/>
  <c r="AR637" i="17"/>
  <c r="AN637" i="17"/>
  <c r="AJ637" i="17"/>
  <c r="AI637" i="17"/>
  <c r="AQ637" i="17"/>
  <c r="AM637" i="17"/>
  <c r="C639" i="17"/>
  <c r="G639" i="17" s="1"/>
  <c r="AW638" i="17"/>
  <c r="B638" i="17"/>
  <c r="P637" i="17" l="1"/>
  <c r="O638" i="17"/>
  <c r="BJ638" i="17" s="1"/>
  <c r="H638" i="17"/>
  <c r="F639" i="17"/>
  <c r="R637" i="17"/>
  <c r="AS638" i="17"/>
  <c r="AO638" i="17"/>
  <c r="AK638" i="17"/>
  <c r="AR638" i="17"/>
  <c r="AN638" i="17"/>
  <c r="AJ638" i="17"/>
  <c r="AQ638" i="17"/>
  <c r="AM638" i="17"/>
  <c r="AI638" i="17"/>
  <c r="AH638" i="17"/>
  <c r="AP638" i="17"/>
  <c r="AL638" i="17"/>
  <c r="B639" i="17"/>
  <c r="AW639" i="17"/>
  <c r="C640" i="17"/>
  <c r="G640" i="17" s="1"/>
  <c r="P638" i="17" l="1"/>
  <c r="O639" i="17"/>
  <c r="P639" i="17" s="1"/>
  <c r="H639" i="17"/>
  <c r="F640" i="17"/>
  <c r="R638" i="17"/>
  <c r="B640" i="17"/>
  <c r="C641" i="17"/>
  <c r="G641" i="17" s="1"/>
  <c r="AW640" i="17"/>
  <c r="AR639" i="17"/>
  <c r="AN639" i="17"/>
  <c r="AJ639" i="17"/>
  <c r="AQ639" i="17"/>
  <c r="AM639" i="17"/>
  <c r="AI639" i="17"/>
  <c r="AP639" i="17"/>
  <c r="AL639" i="17"/>
  <c r="AH639" i="17"/>
  <c r="AK639" i="17"/>
  <c r="AS639" i="17"/>
  <c r="AO639" i="17"/>
  <c r="BJ639" i="17" l="1"/>
  <c r="O640" i="17"/>
  <c r="P640" i="17" s="1"/>
  <c r="H640" i="17"/>
  <c r="F641" i="17"/>
  <c r="R639" i="17"/>
  <c r="AQ640" i="17"/>
  <c r="AM640" i="17"/>
  <c r="AI640" i="17"/>
  <c r="AP640" i="17"/>
  <c r="AL640" i="17"/>
  <c r="AH640" i="17"/>
  <c r="AS640" i="17"/>
  <c r="AO640" i="17"/>
  <c r="AK640" i="17"/>
  <c r="AR640" i="17"/>
  <c r="AN640" i="17"/>
  <c r="AJ640" i="17"/>
  <c r="C642" i="17"/>
  <c r="G642" i="17" s="1"/>
  <c r="AW641" i="17"/>
  <c r="B641" i="17"/>
  <c r="BJ640" i="17" l="1"/>
  <c r="O641" i="17"/>
  <c r="P641" i="17" s="1"/>
  <c r="H641" i="17"/>
  <c r="F642" i="17"/>
  <c r="R640" i="17"/>
  <c r="AP641" i="17"/>
  <c r="AL641" i="17"/>
  <c r="AH641" i="17"/>
  <c r="AS641" i="17"/>
  <c r="AO641" i="17"/>
  <c r="AK641" i="17"/>
  <c r="AR641" i="17"/>
  <c r="AN641" i="17"/>
  <c r="AJ641" i="17"/>
  <c r="AQ641" i="17"/>
  <c r="AM641" i="17"/>
  <c r="AI641" i="17"/>
  <c r="C643" i="17"/>
  <c r="G643" i="17" s="1"/>
  <c r="AW642" i="17"/>
  <c r="B642" i="17"/>
  <c r="BJ641" i="17" l="1"/>
  <c r="O642" i="17"/>
  <c r="BJ642" i="17" s="1"/>
  <c r="H642" i="17"/>
  <c r="F643" i="17"/>
  <c r="R641" i="17"/>
  <c r="AS642" i="17"/>
  <c r="AO642" i="17"/>
  <c r="AK642" i="17"/>
  <c r="AR642" i="17"/>
  <c r="AN642" i="17"/>
  <c r="AJ642" i="17"/>
  <c r="AQ642" i="17"/>
  <c r="AM642" i="17"/>
  <c r="AI642" i="17"/>
  <c r="AP642" i="17"/>
  <c r="AL642" i="17"/>
  <c r="AH642" i="17"/>
  <c r="B643" i="17"/>
  <c r="AW643" i="17"/>
  <c r="C644" i="17"/>
  <c r="G644" i="17" s="1"/>
  <c r="P642" i="17" l="1"/>
  <c r="O643" i="17"/>
  <c r="BJ643" i="17" s="1"/>
  <c r="H643" i="17"/>
  <c r="F644" i="17"/>
  <c r="R642" i="17"/>
  <c r="AR643" i="17"/>
  <c r="AN643" i="17"/>
  <c r="AJ643" i="17"/>
  <c r="AQ643" i="17"/>
  <c r="AM643" i="17"/>
  <c r="AI643" i="17"/>
  <c r="AP643" i="17"/>
  <c r="AL643" i="17"/>
  <c r="AH643" i="17"/>
  <c r="AS643" i="17"/>
  <c r="AO643" i="17"/>
  <c r="AK643" i="17"/>
  <c r="B644" i="17"/>
  <c r="C645" i="17"/>
  <c r="G645" i="17" s="1"/>
  <c r="AW644" i="17"/>
  <c r="P643" i="17" l="1"/>
  <c r="O644" i="17"/>
  <c r="BJ644" i="17" s="1"/>
  <c r="H644" i="17"/>
  <c r="F645" i="17"/>
  <c r="R643" i="17"/>
  <c r="AQ644" i="17"/>
  <c r="AM644" i="17"/>
  <c r="AI644" i="17"/>
  <c r="AP644" i="17"/>
  <c r="AL644" i="17"/>
  <c r="AH644" i="17"/>
  <c r="AS644" i="17"/>
  <c r="AO644" i="17"/>
  <c r="AK644" i="17"/>
  <c r="AR644" i="17"/>
  <c r="AN644" i="17"/>
  <c r="AJ644" i="17"/>
  <c r="C646" i="17"/>
  <c r="G646" i="17" s="1"/>
  <c r="AW645" i="17"/>
  <c r="B645" i="17"/>
  <c r="P644" i="17" l="1"/>
  <c r="O645" i="17"/>
  <c r="BJ645" i="17" s="1"/>
  <c r="H645" i="17"/>
  <c r="F646" i="17"/>
  <c r="R644" i="17"/>
  <c r="AP645" i="17"/>
  <c r="AL645" i="17"/>
  <c r="AH645" i="17"/>
  <c r="AS645" i="17"/>
  <c r="AO645" i="17"/>
  <c r="AK645" i="17"/>
  <c r="AR645" i="17"/>
  <c r="AN645" i="17"/>
  <c r="AJ645" i="17"/>
  <c r="AQ645" i="17"/>
  <c r="AM645" i="17"/>
  <c r="AI645" i="17"/>
  <c r="C647" i="17"/>
  <c r="G647" i="17" s="1"/>
  <c r="AW646" i="17"/>
  <c r="B646" i="17"/>
  <c r="P645" i="17" l="1"/>
  <c r="R645" i="17" s="1"/>
  <c r="O646" i="17"/>
  <c r="BJ646" i="17" s="1"/>
  <c r="H646" i="17"/>
  <c r="P646" i="17"/>
  <c r="F647" i="17"/>
  <c r="AS646" i="17"/>
  <c r="AO646" i="17"/>
  <c r="AK646" i="17"/>
  <c r="AR646" i="17"/>
  <c r="AN646" i="17"/>
  <c r="AJ646" i="17"/>
  <c r="AQ646" i="17"/>
  <c r="AM646" i="17"/>
  <c r="AI646" i="17"/>
  <c r="AP646" i="17"/>
  <c r="AL646" i="17"/>
  <c r="AH646" i="17"/>
  <c r="B647" i="17"/>
  <c r="C648" i="17"/>
  <c r="G648" i="17" s="1"/>
  <c r="AW647" i="17"/>
  <c r="O647" i="17" l="1"/>
  <c r="BJ647" i="17" s="1"/>
  <c r="H647" i="17"/>
  <c r="P647" i="17"/>
  <c r="F648" i="17"/>
  <c r="R646" i="17"/>
  <c r="B648" i="17"/>
  <c r="C649" i="17"/>
  <c r="G649" i="17" s="1"/>
  <c r="AW648" i="17"/>
  <c r="AR647" i="17"/>
  <c r="AN647" i="17"/>
  <c r="AJ647" i="17"/>
  <c r="AQ647" i="17"/>
  <c r="AM647" i="17"/>
  <c r="AI647" i="17"/>
  <c r="AP647" i="17"/>
  <c r="AL647" i="17"/>
  <c r="AH647" i="17"/>
  <c r="AS647" i="17"/>
  <c r="AO647" i="17"/>
  <c r="AK647" i="17"/>
  <c r="O648" i="17" l="1"/>
  <c r="P648" i="17" s="1"/>
  <c r="H648" i="17"/>
  <c r="BJ648" i="17"/>
  <c r="F649" i="17"/>
  <c r="R647" i="17"/>
  <c r="AQ648" i="17"/>
  <c r="AM648" i="17"/>
  <c r="AI648" i="17"/>
  <c r="AP648" i="17"/>
  <c r="AL648" i="17"/>
  <c r="AH648" i="17"/>
  <c r="AS648" i="17"/>
  <c r="AO648" i="17"/>
  <c r="AK648" i="17"/>
  <c r="AN648" i="17"/>
  <c r="AJ648" i="17"/>
  <c r="AR648" i="17"/>
  <c r="C650" i="17"/>
  <c r="G650" i="17" s="1"/>
  <c r="AW649" i="17"/>
  <c r="B649" i="17"/>
  <c r="O649" i="17" l="1"/>
  <c r="P649" i="17" s="1"/>
  <c r="H649" i="17"/>
  <c r="F650" i="17"/>
  <c r="R648" i="17"/>
  <c r="AP649" i="17"/>
  <c r="AL649" i="17"/>
  <c r="AH649" i="17"/>
  <c r="AS649" i="17"/>
  <c r="AO649" i="17"/>
  <c r="AK649" i="17"/>
  <c r="AR649" i="17"/>
  <c r="AN649" i="17"/>
  <c r="AJ649" i="17"/>
  <c r="AM649" i="17"/>
  <c r="AI649" i="17"/>
  <c r="AQ649" i="17"/>
  <c r="C651" i="17"/>
  <c r="G651" i="17" s="1"/>
  <c r="AW650" i="17"/>
  <c r="B650" i="17"/>
  <c r="BJ649" i="17" l="1"/>
  <c r="O650" i="17"/>
  <c r="P650" i="17" s="1"/>
  <c r="H650" i="17"/>
  <c r="BJ650" i="17"/>
  <c r="AG650" i="17"/>
  <c r="F651" i="17"/>
  <c r="R649" i="17"/>
  <c r="B651" i="17"/>
  <c r="AW651" i="17"/>
  <c r="C652" i="17"/>
  <c r="G652" i="17" s="1"/>
  <c r="AS650" i="17"/>
  <c r="AO650" i="17"/>
  <c r="AK650" i="17"/>
  <c r="AR650" i="17"/>
  <c r="AN650" i="17"/>
  <c r="AJ650" i="17"/>
  <c r="AQ650" i="17"/>
  <c r="AM650" i="17"/>
  <c r="AI650" i="17"/>
  <c r="AL650" i="17"/>
  <c r="AH650" i="17"/>
  <c r="AP650" i="17"/>
  <c r="O651" i="17" l="1"/>
  <c r="P651" i="17" s="1"/>
  <c r="H651" i="17"/>
  <c r="F652" i="17"/>
  <c r="R650" i="17"/>
  <c r="B652" i="17"/>
  <c r="C653" i="17"/>
  <c r="G653" i="17" s="1"/>
  <c r="AW652" i="17"/>
  <c r="AR651" i="17"/>
  <c r="AN651" i="17"/>
  <c r="AJ651" i="17"/>
  <c r="AQ651" i="17"/>
  <c r="AM651" i="17"/>
  <c r="AI651" i="17"/>
  <c r="AP651" i="17"/>
  <c r="AL651" i="17"/>
  <c r="AH651" i="17"/>
  <c r="AO651" i="17"/>
  <c r="AK651" i="17"/>
  <c r="AS651" i="17"/>
  <c r="BJ651" i="17" l="1"/>
  <c r="O652" i="17"/>
  <c r="P652" i="17" s="1"/>
  <c r="H652" i="17"/>
  <c r="F653" i="17"/>
  <c r="R651" i="17"/>
  <c r="AQ652" i="17"/>
  <c r="AM652" i="17"/>
  <c r="AI652" i="17"/>
  <c r="AP652" i="17"/>
  <c r="AL652" i="17"/>
  <c r="AH652" i="17"/>
  <c r="AS652" i="17"/>
  <c r="AO652" i="17"/>
  <c r="AK652" i="17"/>
  <c r="AJ652" i="17"/>
  <c r="AR652" i="17"/>
  <c r="AN652" i="17"/>
  <c r="C654" i="17"/>
  <c r="G654" i="17" s="1"/>
  <c r="AW653" i="17"/>
  <c r="B653" i="17"/>
  <c r="BJ652" i="17" l="1"/>
  <c r="O653" i="17"/>
  <c r="P653" i="17" s="1"/>
  <c r="H653" i="17"/>
  <c r="F654" i="17"/>
  <c r="R652" i="17"/>
  <c r="AP653" i="17"/>
  <c r="AL653" i="17"/>
  <c r="AH653" i="17"/>
  <c r="AS653" i="17"/>
  <c r="AO653" i="17"/>
  <c r="AK653" i="17"/>
  <c r="AR653" i="17"/>
  <c r="AN653" i="17"/>
  <c r="AJ653" i="17"/>
  <c r="AI653" i="17"/>
  <c r="AQ653" i="17"/>
  <c r="AM653" i="17"/>
  <c r="C655" i="17"/>
  <c r="G655" i="17" s="1"/>
  <c r="AW654" i="17"/>
  <c r="B654" i="17"/>
  <c r="BJ653" i="17" l="1"/>
  <c r="O654" i="17"/>
  <c r="P654" i="17" s="1"/>
  <c r="H654" i="17"/>
  <c r="F655" i="17"/>
  <c r="R653" i="17"/>
  <c r="AS654" i="17"/>
  <c r="AO654" i="17"/>
  <c r="AK654" i="17"/>
  <c r="AR654" i="17"/>
  <c r="AN654" i="17"/>
  <c r="AJ654" i="17"/>
  <c r="AQ654" i="17"/>
  <c r="AM654" i="17"/>
  <c r="AI654" i="17"/>
  <c r="AH654" i="17"/>
  <c r="AP654" i="17"/>
  <c r="AL654" i="17"/>
  <c r="B655" i="17"/>
  <c r="AW655" i="17"/>
  <c r="C656" i="17"/>
  <c r="G656" i="17" s="1"/>
  <c r="BJ654" i="17" l="1"/>
  <c r="O655" i="17"/>
  <c r="P655" i="17" s="1"/>
  <c r="H655" i="17"/>
  <c r="F656" i="17"/>
  <c r="R654" i="17"/>
  <c r="B656" i="17"/>
  <c r="C657" i="17"/>
  <c r="G657" i="17" s="1"/>
  <c r="AW656" i="17"/>
  <c r="AR655" i="17"/>
  <c r="AN655" i="17"/>
  <c r="AJ655" i="17"/>
  <c r="AQ655" i="17"/>
  <c r="AM655" i="17"/>
  <c r="AI655" i="17"/>
  <c r="AP655" i="17"/>
  <c r="AL655" i="17"/>
  <c r="AH655" i="17"/>
  <c r="AK655" i="17"/>
  <c r="AS655" i="17"/>
  <c r="AO655" i="17"/>
  <c r="BJ655" i="17" l="1"/>
  <c r="O656" i="17"/>
  <c r="P656" i="17" s="1"/>
  <c r="H656" i="17"/>
  <c r="F657" i="17"/>
  <c r="R655" i="17"/>
  <c r="C658" i="17"/>
  <c r="G658" i="17" s="1"/>
  <c r="AW657" i="17"/>
  <c r="B657" i="17"/>
  <c r="AQ656" i="17"/>
  <c r="AM656" i="17"/>
  <c r="AI656" i="17"/>
  <c r="AP656" i="17"/>
  <c r="AL656" i="17"/>
  <c r="AH656" i="17"/>
  <c r="AS656" i="17"/>
  <c r="AO656" i="17"/>
  <c r="AK656" i="17"/>
  <c r="AR656" i="17"/>
  <c r="AN656" i="17"/>
  <c r="AJ656" i="17"/>
  <c r="BJ656" i="17" l="1"/>
  <c r="O657" i="17"/>
  <c r="P657" i="17" s="1"/>
  <c r="H657" i="17"/>
  <c r="F658" i="17"/>
  <c r="R656" i="17"/>
  <c r="AP657" i="17"/>
  <c r="AL657" i="17"/>
  <c r="AH657" i="17"/>
  <c r="AS657" i="17"/>
  <c r="AO657" i="17"/>
  <c r="AK657" i="17"/>
  <c r="AR657" i="17"/>
  <c r="AN657" i="17"/>
  <c r="AJ657" i="17"/>
  <c r="AQ657" i="17"/>
  <c r="AM657" i="17"/>
  <c r="AI657" i="17"/>
  <c r="C659" i="17"/>
  <c r="G659" i="17" s="1"/>
  <c r="AW658" i="17"/>
  <c r="B658" i="17"/>
  <c r="BJ657" i="17" l="1"/>
  <c r="O658" i="17"/>
  <c r="BJ658" i="17" s="1"/>
  <c r="H658" i="17"/>
  <c r="F659" i="17"/>
  <c r="R657" i="17"/>
  <c r="AS658" i="17"/>
  <c r="AO658" i="17"/>
  <c r="AK658" i="17"/>
  <c r="AR658" i="17"/>
  <c r="AN658" i="17"/>
  <c r="AJ658" i="17"/>
  <c r="AQ658" i="17"/>
  <c r="AM658" i="17"/>
  <c r="AI658" i="17"/>
  <c r="AP658" i="17"/>
  <c r="AL658" i="17"/>
  <c r="AH658" i="17"/>
  <c r="B659" i="17"/>
  <c r="AW659" i="17"/>
  <c r="C660" i="17"/>
  <c r="G660" i="17" s="1"/>
  <c r="P658" i="17" l="1"/>
  <c r="O659" i="17"/>
  <c r="BJ659" i="17" s="1"/>
  <c r="H659" i="17"/>
  <c r="F660" i="17"/>
  <c r="R658" i="17"/>
  <c r="AR659" i="17"/>
  <c r="AN659" i="17"/>
  <c r="AJ659" i="17"/>
  <c r="AQ659" i="17"/>
  <c r="AM659" i="17"/>
  <c r="AI659" i="17"/>
  <c r="AP659" i="17"/>
  <c r="AL659" i="17"/>
  <c r="AH659" i="17"/>
  <c r="AS659" i="17"/>
  <c r="AO659" i="17"/>
  <c r="AK659" i="17"/>
  <c r="B660" i="17"/>
  <c r="C661" i="17"/>
  <c r="G661" i="17" s="1"/>
  <c r="AW660" i="17"/>
  <c r="P659" i="17" l="1"/>
  <c r="O660" i="17"/>
  <c r="P660" i="17" s="1"/>
  <c r="H660" i="17"/>
  <c r="F661" i="17"/>
  <c r="R659" i="17"/>
  <c r="C662" i="17"/>
  <c r="G662" i="17" s="1"/>
  <c r="AW661" i="17"/>
  <c r="B661" i="17"/>
  <c r="AQ660" i="17"/>
  <c r="AM660" i="17"/>
  <c r="AI660" i="17"/>
  <c r="AP660" i="17"/>
  <c r="AL660" i="17"/>
  <c r="AH660" i="17"/>
  <c r="AS660" i="17"/>
  <c r="AO660" i="17"/>
  <c r="AK660" i="17"/>
  <c r="AR660" i="17"/>
  <c r="AN660" i="17"/>
  <c r="AJ660" i="17"/>
  <c r="BJ660" i="17" l="1"/>
  <c r="O661" i="17"/>
  <c r="BJ661" i="17" s="1"/>
  <c r="H661" i="17"/>
  <c r="F662" i="17"/>
  <c r="R660" i="17"/>
  <c r="AP661" i="17"/>
  <c r="AL661" i="17"/>
  <c r="AH661" i="17"/>
  <c r="AS661" i="17"/>
  <c r="AO661" i="17"/>
  <c r="AK661" i="17"/>
  <c r="AR661" i="17"/>
  <c r="AN661" i="17"/>
  <c r="AJ661" i="17"/>
  <c r="AQ661" i="17"/>
  <c r="AM661" i="17"/>
  <c r="AI661" i="17"/>
  <c r="C663" i="17"/>
  <c r="G663" i="17" s="1"/>
  <c r="AW662" i="17"/>
  <c r="B662" i="17"/>
  <c r="P661" i="17" l="1"/>
  <c r="R661" i="17" s="1"/>
  <c r="O662" i="17"/>
  <c r="BJ662" i="17" s="1"/>
  <c r="H662" i="17"/>
  <c r="F663" i="17"/>
  <c r="AS662" i="17"/>
  <c r="AO662" i="17"/>
  <c r="AK662" i="17"/>
  <c r="AR662" i="17"/>
  <c r="AN662" i="17"/>
  <c r="AJ662" i="17"/>
  <c r="AQ662" i="17"/>
  <c r="AM662" i="17"/>
  <c r="AI662" i="17"/>
  <c r="AP662" i="17"/>
  <c r="AL662" i="17"/>
  <c r="AH662" i="17"/>
  <c r="B663" i="17"/>
  <c r="C664" i="17"/>
  <c r="G664" i="17" s="1"/>
  <c r="AW663" i="17"/>
  <c r="P662" i="17" l="1"/>
  <c r="R662" i="17" s="1"/>
  <c r="O663" i="17"/>
  <c r="BJ663" i="17" s="1"/>
  <c r="H663" i="17"/>
  <c r="F664" i="17"/>
  <c r="B664" i="17"/>
  <c r="C665" i="17"/>
  <c r="G665" i="17" s="1"/>
  <c r="AW664" i="17"/>
  <c r="AR663" i="17"/>
  <c r="AN663" i="17"/>
  <c r="AJ663" i="17"/>
  <c r="AQ663" i="17"/>
  <c r="AM663" i="17"/>
  <c r="AI663" i="17"/>
  <c r="AP663" i="17"/>
  <c r="AL663" i="17"/>
  <c r="AH663" i="17"/>
  <c r="AS663" i="17"/>
  <c r="AO663" i="17"/>
  <c r="AK663" i="17"/>
  <c r="P663" i="17" l="1"/>
  <c r="R663" i="17" s="1"/>
  <c r="O664" i="17"/>
  <c r="BJ664" i="17" s="1"/>
  <c r="H664" i="17"/>
  <c r="P664" i="17"/>
  <c r="F665" i="17"/>
  <c r="C666" i="17"/>
  <c r="G666" i="17" s="1"/>
  <c r="AW665" i="17"/>
  <c r="B665" i="17"/>
  <c r="AQ664" i="17"/>
  <c r="AM664" i="17"/>
  <c r="AI664" i="17"/>
  <c r="AP664" i="17"/>
  <c r="AL664" i="17"/>
  <c r="AH664" i="17"/>
  <c r="AS664" i="17"/>
  <c r="AO664" i="17"/>
  <c r="AK664" i="17"/>
  <c r="AN664" i="17"/>
  <c r="AJ664" i="17"/>
  <c r="AR664" i="17"/>
  <c r="O665" i="17" l="1"/>
  <c r="H665" i="17"/>
  <c r="P665" i="17"/>
  <c r="BJ665" i="17"/>
  <c r="F666" i="17"/>
  <c r="R664" i="17"/>
  <c r="C667" i="17"/>
  <c r="G667" i="17" s="1"/>
  <c r="AW666" i="17"/>
  <c r="B666" i="17"/>
  <c r="AP665" i="17"/>
  <c r="AL665" i="17"/>
  <c r="AH665" i="17"/>
  <c r="AS665" i="17"/>
  <c r="AO665" i="17"/>
  <c r="AK665" i="17"/>
  <c r="AR665" i="17"/>
  <c r="AN665" i="17"/>
  <c r="AJ665" i="17"/>
  <c r="AM665" i="17"/>
  <c r="AI665" i="17"/>
  <c r="AQ665" i="17"/>
  <c r="O666" i="17" l="1"/>
  <c r="H666" i="17"/>
  <c r="P666" i="17"/>
  <c r="BJ666" i="17"/>
  <c r="F667" i="17"/>
  <c r="R665" i="17"/>
  <c r="B667" i="17"/>
  <c r="AW667" i="17"/>
  <c r="C668" i="17"/>
  <c r="G668" i="17" s="1"/>
  <c r="AS666" i="17"/>
  <c r="AO666" i="17"/>
  <c r="AK666" i="17"/>
  <c r="AR666" i="17"/>
  <c r="AN666" i="17"/>
  <c r="AJ666" i="17"/>
  <c r="AQ666" i="17"/>
  <c r="AM666" i="17"/>
  <c r="AI666" i="17"/>
  <c r="AL666" i="17"/>
  <c r="AH666" i="17"/>
  <c r="AP666" i="17"/>
  <c r="O667" i="17" l="1"/>
  <c r="H667" i="17"/>
  <c r="P667" i="17"/>
  <c r="BJ667" i="17"/>
  <c r="F668" i="17"/>
  <c r="R666" i="17"/>
  <c r="AR667" i="17"/>
  <c r="AN667" i="17"/>
  <c r="AJ667" i="17"/>
  <c r="AQ667" i="17"/>
  <c r="AM667" i="17"/>
  <c r="AI667" i="17"/>
  <c r="AP667" i="17"/>
  <c r="AL667" i="17"/>
  <c r="AH667" i="17"/>
  <c r="AO667" i="17"/>
  <c r="AK667" i="17"/>
  <c r="AS667" i="17"/>
  <c r="B668" i="17"/>
  <c r="C669" i="17"/>
  <c r="G669" i="17" s="1"/>
  <c r="AW668" i="17"/>
  <c r="O668" i="17" l="1"/>
  <c r="H668" i="17"/>
  <c r="P668" i="17"/>
  <c r="BJ668" i="17"/>
  <c r="F669" i="17"/>
  <c r="R667" i="17"/>
  <c r="AQ668" i="17"/>
  <c r="AM668" i="17"/>
  <c r="AI668" i="17"/>
  <c r="AP668" i="17"/>
  <c r="AL668" i="17"/>
  <c r="AH668" i="17"/>
  <c r="AS668" i="17"/>
  <c r="AO668" i="17"/>
  <c r="AK668" i="17"/>
  <c r="AJ668" i="17"/>
  <c r="AR668" i="17"/>
  <c r="AN668" i="17"/>
  <c r="C670" i="17"/>
  <c r="G670" i="17" s="1"/>
  <c r="AW669" i="17"/>
  <c r="B669" i="17"/>
  <c r="O669" i="17" l="1"/>
  <c r="H669" i="17"/>
  <c r="P669" i="17"/>
  <c r="BJ669" i="17"/>
  <c r="F670" i="17"/>
  <c r="R668" i="17"/>
  <c r="C671" i="17"/>
  <c r="G671" i="17" s="1"/>
  <c r="AW670" i="17"/>
  <c r="B670" i="17"/>
  <c r="AP669" i="17"/>
  <c r="AL669" i="17"/>
  <c r="AH669" i="17"/>
  <c r="AS669" i="17"/>
  <c r="AO669" i="17"/>
  <c r="AK669" i="17"/>
  <c r="AR669" i="17"/>
  <c r="AN669" i="17"/>
  <c r="AJ669" i="17"/>
  <c r="AI669" i="17"/>
  <c r="AQ669" i="17"/>
  <c r="AM669" i="17"/>
  <c r="O670" i="17" l="1"/>
  <c r="P670" i="17" s="1"/>
  <c r="H670" i="17"/>
  <c r="F671" i="17"/>
  <c r="R669" i="17"/>
  <c r="AS670" i="17"/>
  <c r="AO670" i="17"/>
  <c r="AK670" i="17"/>
  <c r="AR670" i="17"/>
  <c r="AN670" i="17"/>
  <c r="AJ670" i="17"/>
  <c r="AQ670" i="17"/>
  <c r="AM670" i="17"/>
  <c r="AI670" i="17"/>
  <c r="AH670" i="17"/>
  <c r="AP670" i="17"/>
  <c r="AL670" i="17"/>
  <c r="B671" i="17"/>
  <c r="AW671" i="17"/>
  <c r="C672" i="17"/>
  <c r="G672" i="17" s="1"/>
  <c r="BJ670" i="17" l="1"/>
  <c r="O671" i="17"/>
  <c r="BJ671" i="17" s="1"/>
  <c r="H671" i="17"/>
  <c r="F672" i="17"/>
  <c r="R670" i="17"/>
  <c r="AR671" i="17"/>
  <c r="AN671" i="17"/>
  <c r="AJ671" i="17"/>
  <c r="AQ671" i="17"/>
  <c r="AM671" i="17"/>
  <c r="AI671" i="17"/>
  <c r="AP671" i="17"/>
  <c r="AL671" i="17"/>
  <c r="AH671" i="17"/>
  <c r="AK671" i="17"/>
  <c r="AS671" i="17"/>
  <c r="AO671" i="17"/>
  <c r="B672" i="17"/>
  <c r="C673" i="17"/>
  <c r="G673" i="17" s="1"/>
  <c r="AW672" i="17"/>
  <c r="P671" i="17" l="1"/>
  <c r="O672" i="17"/>
  <c r="BJ672" i="17" s="1"/>
  <c r="H672" i="17"/>
  <c r="F673" i="17"/>
  <c r="R671" i="17"/>
  <c r="C674" i="17"/>
  <c r="G674" i="17" s="1"/>
  <c r="AW673" i="17"/>
  <c r="B673" i="17"/>
  <c r="AQ672" i="17"/>
  <c r="AM672" i="17"/>
  <c r="AI672" i="17"/>
  <c r="AP672" i="17"/>
  <c r="AL672" i="17"/>
  <c r="AH672" i="17"/>
  <c r="AS672" i="17"/>
  <c r="AO672" i="17"/>
  <c r="AK672" i="17"/>
  <c r="AR672" i="17"/>
  <c r="AN672" i="17"/>
  <c r="AJ672" i="17"/>
  <c r="P672" i="17" l="1"/>
  <c r="O673" i="17"/>
  <c r="BJ673" i="17" s="1"/>
  <c r="H673" i="17"/>
  <c r="F674" i="17"/>
  <c r="R672" i="17"/>
  <c r="AP673" i="17"/>
  <c r="AL673" i="17"/>
  <c r="AH673" i="17"/>
  <c r="AS673" i="17"/>
  <c r="AO673" i="17"/>
  <c r="AK673" i="17"/>
  <c r="AR673" i="17"/>
  <c r="AN673" i="17"/>
  <c r="AJ673" i="17"/>
  <c r="AQ673" i="17"/>
  <c r="AM673" i="17"/>
  <c r="AI673" i="17"/>
  <c r="AW674" i="17"/>
  <c r="B674" i="17"/>
  <c r="P673" i="17" l="1"/>
  <c r="O674" i="17"/>
  <c r="P674" i="17" s="1"/>
  <c r="R674" i="17" s="1"/>
  <c r="H674" i="17"/>
  <c r="R673" i="17"/>
  <c r="AS674" i="17"/>
  <c r="AO674" i="17"/>
  <c r="AK674" i="17"/>
  <c r="AR674" i="17"/>
  <c r="AN674" i="17"/>
  <c r="AJ674" i="17"/>
  <c r="AQ674" i="17"/>
  <c r="AM674" i="17"/>
  <c r="AI674" i="17"/>
  <c r="AP674" i="17"/>
  <c r="C13" i="17" s="1"/>
  <c r="AL674" i="17"/>
  <c r="AH674" i="17"/>
  <c r="C11" i="17" l="1"/>
  <c r="C16" i="17"/>
  <c r="C12" i="17"/>
  <c r="C8" i="17"/>
  <c r="C15" i="17"/>
  <c r="C7" i="17"/>
  <c r="C14" i="17"/>
  <c r="L14" i="17" s="1"/>
  <c r="M47" i="13" s="1"/>
  <c r="C10" i="17"/>
  <c r="C6" i="17"/>
  <c r="C9" i="17"/>
  <c r="C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7" i="17"/>
  <c r="A76" i="17"/>
  <c r="A78" i="17"/>
  <c r="A75" i="17"/>
  <c r="E104" i="17"/>
  <c r="E136" i="17"/>
  <c r="E184" i="17"/>
  <c r="E200" i="17"/>
  <c r="E216" i="17"/>
  <c r="E264" i="17"/>
  <c r="E280" i="17"/>
  <c r="E328" i="17"/>
  <c r="E376" i="17"/>
  <c r="E392" i="17"/>
  <c r="E424" i="17"/>
  <c r="E504" i="17"/>
  <c r="E536" i="17"/>
  <c r="E568" i="17"/>
  <c r="E600" i="17"/>
  <c r="E648" i="17"/>
  <c r="E664" i="17"/>
  <c r="E76" i="17"/>
  <c r="E92" i="17"/>
  <c r="E156" i="17"/>
  <c r="E172" i="17"/>
  <c r="E236" i="17"/>
  <c r="E252" i="17"/>
  <c r="E284" i="17"/>
  <c r="E332" i="17"/>
  <c r="E348" i="17"/>
  <c r="E364" i="17"/>
  <c r="E396" i="17"/>
  <c r="E412" i="17"/>
  <c r="E444" i="17"/>
  <c r="E476" i="17"/>
  <c r="E492" i="17"/>
  <c r="E524" i="17"/>
  <c r="E540" i="17"/>
  <c r="E556" i="17"/>
  <c r="E572" i="17"/>
  <c r="E668" i="17"/>
  <c r="E80" i="17"/>
  <c r="E96" i="17"/>
  <c r="E112" i="17"/>
  <c r="E128" i="17"/>
  <c r="E144" i="17"/>
  <c r="E160" i="17"/>
  <c r="E176" i="17"/>
  <c r="E192" i="17"/>
  <c r="E208" i="17"/>
  <c r="E224" i="17"/>
  <c r="E240" i="17"/>
  <c r="E256" i="17"/>
  <c r="E272" i="17"/>
  <c r="E288" i="17"/>
  <c r="E304" i="17"/>
  <c r="E320" i="17"/>
  <c r="E336" i="17"/>
  <c r="E352" i="17"/>
  <c r="E368" i="17"/>
  <c r="E384" i="17"/>
  <c r="E400" i="17"/>
  <c r="E416" i="17"/>
  <c r="E432" i="17"/>
  <c r="E448" i="17"/>
  <c r="E464" i="17"/>
  <c r="E480" i="17"/>
  <c r="E496" i="17"/>
  <c r="E512" i="17"/>
  <c r="E528" i="17"/>
  <c r="E544" i="17"/>
  <c r="E560" i="17"/>
  <c r="E576" i="17"/>
  <c r="E592" i="17"/>
  <c r="E608" i="17"/>
  <c r="E624" i="17"/>
  <c r="E640" i="17"/>
  <c r="E656" i="17"/>
  <c r="E672" i="17"/>
  <c r="E88" i="17"/>
  <c r="E120" i="17"/>
  <c r="E152" i="17"/>
  <c r="E168" i="17"/>
  <c r="E232" i="17"/>
  <c r="E248" i="17"/>
  <c r="E296" i="17"/>
  <c r="E312" i="17"/>
  <c r="E344" i="17"/>
  <c r="E360" i="17"/>
  <c r="E408" i="17"/>
  <c r="E440" i="17"/>
  <c r="E456" i="17"/>
  <c r="E472" i="17"/>
  <c r="E488" i="17"/>
  <c r="E520" i="17"/>
  <c r="E552" i="17"/>
  <c r="E584" i="17"/>
  <c r="E616" i="17"/>
  <c r="E632" i="17"/>
  <c r="E108" i="17"/>
  <c r="E124" i="17"/>
  <c r="E140" i="17"/>
  <c r="E188" i="17"/>
  <c r="E204" i="17"/>
  <c r="E220" i="17"/>
  <c r="E268" i="17"/>
  <c r="E300" i="17"/>
  <c r="E316" i="17"/>
  <c r="E380" i="17"/>
  <c r="E428" i="17"/>
  <c r="E460" i="17"/>
  <c r="E508" i="17"/>
  <c r="E588" i="17"/>
  <c r="E604" i="17"/>
  <c r="E620" i="17"/>
  <c r="E636" i="17"/>
  <c r="E652" i="17"/>
  <c r="E84" i="17"/>
  <c r="E100" i="17"/>
  <c r="E116" i="17"/>
  <c r="E132" i="17"/>
  <c r="E148" i="17"/>
  <c r="E164" i="17"/>
  <c r="E180" i="17"/>
  <c r="E196" i="17"/>
  <c r="E212" i="17"/>
  <c r="E228" i="17"/>
  <c r="E244" i="17"/>
  <c r="E260" i="17"/>
  <c r="E276" i="17"/>
  <c r="E292" i="17"/>
  <c r="E308" i="17"/>
  <c r="E324" i="17"/>
  <c r="E340" i="17"/>
  <c r="E356" i="17"/>
  <c r="E372" i="17"/>
  <c r="E388" i="17"/>
  <c r="E404" i="17"/>
  <c r="E420" i="17"/>
  <c r="E436" i="17"/>
  <c r="E452" i="17"/>
  <c r="E468" i="17"/>
  <c r="E484" i="17"/>
  <c r="E500" i="17"/>
  <c r="E516" i="17"/>
  <c r="E532" i="17"/>
  <c r="E548" i="17"/>
  <c r="E564" i="17"/>
  <c r="E580" i="17"/>
  <c r="E596" i="17"/>
  <c r="E612" i="17"/>
  <c r="E628" i="17"/>
  <c r="E644" i="17"/>
  <c r="E660" i="17"/>
  <c r="E75" i="17"/>
  <c r="BF75" i="17" s="1"/>
  <c r="E78" i="17"/>
  <c r="E82" i="17"/>
  <c r="E86" i="17"/>
  <c r="E90" i="17"/>
  <c r="E94" i="17"/>
  <c r="E98" i="17"/>
  <c r="E102" i="17"/>
  <c r="E106" i="17"/>
  <c r="E110" i="17"/>
  <c r="E114" i="17"/>
  <c r="E118" i="17"/>
  <c r="E122" i="17"/>
  <c r="E130" i="17"/>
  <c r="E134" i="17"/>
  <c r="E138" i="17"/>
  <c r="E142" i="17"/>
  <c r="E146" i="17"/>
  <c r="E150" i="17"/>
  <c r="E154" i="17"/>
  <c r="E158" i="17"/>
  <c r="E162" i="17"/>
  <c r="E166" i="17"/>
  <c r="E170" i="17"/>
  <c r="E174" i="17"/>
  <c r="E178" i="17"/>
  <c r="E182" i="17"/>
  <c r="E186" i="17"/>
  <c r="E190" i="17"/>
  <c r="E194" i="17"/>
  <c r="E198" i="17"/>
  <c r="E202" i="17"/>
  <c r="E206" i="17"/>
  <c r="E210" i="17"/>
  <c r="E214" i="17"/>
  <c r="E218" i="17"/>
  <c r="E222" i="17"/>
  <c r="E226" i="17"/>
  <c r="E230" i="17"/>
  <c r="E234" i="17"/>
  <c r="E238" i="17"/>
  <c r="E242" i="17"/>
  <c r="E246" i="17"/>
  <c r="E250" i="17"/>
  <c r="E254" i="17"/>
  <c r="E258" i="17"/>
  <c r="E262" i="17"/>
  <c r="E266" i="17"/>
  <c r="E270" i="17"/>
  <c r="E274" i="17"/>
  <c r="E278" i="17"/>
  <c r="E282" i="17"/>
  <c r="E286" i="17"/>
  <c r="E290" i="17"/>
  <c r="E294" i="17"/>
  <c r="E298" i="17"/>
  <c r="E302" i="17"/>
  <c r="E306" i="17"/>
  <c r="E310" i="17"/>
  <c r="E314" i="17"/>
  <c r="E318" i="17"/>
  <c r="E322" i="17"/>
  <c r="E326" i="17"/>
  <c r="E330" i="17"/>
  <c r="E334" i="17"/>
  <c r="E338" i="17"/>
  <c r="E342" i="17"/>
  <c r="E346" i="17"/>
  <c r="E350" i="17"/>
  <c r="E354" i="17"/>
  <c r="E358" i="17"/>
  <c r="E362" i="17"/>
  <c r="E366" i="17"/>
  <c r="E370" i="17"/>
  <c r="E374" i="17"/>
  <c r="E378" i="17"/>
  <c r="E382" i="17"/>
  <c r="E386" i="17"/>
  <c r="E390" i="17"/>
  <c r="E398" i="17"/>
  <c r="E402" i="17"/>
  <c r="E406" i="17"/>
  <c r="E410" i="17"/>
  <c r="E414" i="17"/>
  <c r="E418" i="17"/>
  <c r="E422" i="17"/>
  <c r="E426" i="17"/>
  <c r="E430" i="17"/>
  <c r="E434" i="17"/>
  <c r="E438" i="17"/>
  <c r="E442" i="17"/>
  <c r="E446" i="17"/>
  <c r="E450" i="17"/>
  <c r="E454" i="17"/>
  <c r="E458" i="17"/>
  <c r="E462" i="17"/>
  <c r="E466" i="17"/>
  <c r="E470" i="17"/>
  <c r="E474" i="17"/>
  <c r="E478" i="17"/>
  <c r="E482" i="17"/>
  <c r="E486" i="17"/>
  <c r="E490" i="17"/>
  <c r="E494" i="17"/>
  <c r="E498" i="17"/>
  <c r="E502" i="17"/>
  <c r="E506" i="17"/>
  <c r="E510" i="17"/>
  <c r="E514" i="17"/>
  <c r="E518" i="17"/>
  <c r="E522" i="17"/>
  <c r="E526" i="17"/>
  <c r="E530" i="17"/>
  <c r="E534" i="17"/>
  <c r="E538" i="17"/>
  <c r="E542" i="17"/>
  <c r="E546" i="17"/>
  <c r="E550" i="17"/>
  <c r="E554" i="17"/>
  <c r="E558" i="17"/>
  <c r="E562" i="17"/>
  <c r="E566" i="17"/>
  <c r="E570" i="17"/>
  <c r="E574" i="17"/>
  <c r="E578" i="17"/>
  <c r="E582" i="17"/>
  <c r="E586" i="17"/>
  <c r="E590" i="17"/>
  <c r="E594" i="17"/>
  <c r="E598" i="17"/>
  <c r="E602" i="17"/>
  <c r="E606" i="17"/>
  <c r="E610" i="17"/>
  <c r="E614" i="17"/>
  <c r="E618" i="17"/>
  <c r="E622" i="17"/>
  <c r="E626" i="17"/>
  <c r="E630" i="17"/>
  <c r="E634" i="17"/>
  <c r="E638" i="17"/>
  <c r="E642" i="17"/>
  <c r="E646" i="17"/>
  <c r="E650" i="17"/>
  <c r="E654" i="17"/>
  <c r="E658" i="17"/>
  <c r="E662" i="17"/>
  <c r="E666" i="17"/>
  <c r="E670" i="17"/>
  <c r="E674" i="17"/>
  <c r="E79" i="17"/>
  <c r="E83" i="17"/>
  <c r="E87" i="17"/>
  <c r="E91" i="17"/>
  <c r="E95" i="17"/>
  <c r="E99" i="17"/>
  <c r="E103" i="17"/>
  <c r="E107" i="17"/>
  <c r="E111" i="17"/>
  <c r="E115" i="17"/>
  <c r="E119" i="17"/>
  <c r="E123" i="17"/>
  <c r="E127" i="17"/>
  <c r="E131" i="17"/>
  <c r="E135" i="17"/>
  <c r="E139" i="17"/>
  <c r="E143" i="17"/>
  <c r="E147" i="17"/>
  <c r="E151" i="17"/>
  <c r="E155" i="17"/>
  <c r="E159" i="17"/>
  <c r="E163" i="17"/>
  <c r="E167" i="17"/>
  <c r="E171" i="17"/>
  <c r="E175" i="17"/>
  <c r="E179" i="17"/>
  <c r="E183" i="17"/>
  <c r="E187" i="17"/>
  <c r="E191" i="17"/>
  <c r="E195" i="17"/>
  <c r="E199" i="17"/>
  <c r="E203" i="17"/>
  <c r="E207" i="17"/>
  <c r="E211" i="17"/>
  <c r="E215" i="17"/>
  <c r="E219" i="17"/>
  <c r="E223" i="17"/>
  <c r="E227" i="17"/>
  <c r="E231" i="17"/>
  <c r="E235" i="17"/>
  <c r="E239" i="17"/>
  <c r="E243" i="17"/>
  <c r="E247" i="17"/>
  <c r="E251" i="17"/>
  <c r="E255" i="17"/>
  <c r="E259" i="17"/>
  <c r="E263" i="17"/>
  <c r="E267" i="17"/>
  <c r="E271" i="17"/>
  <c r="E275" i="17"/>
  <c r="E279" i="17"/>
  <c r="E283" i="17"/>
  <c r="E287" i="17"/>
  <c r="E291" i="17"/>
  <c r="E295" i="17"/>
  <c r="E299" i="17"/>
  <c r="E303" i="17"/>
  <c r="E307" i="17"/>
  <c r="E311" i="17"/>
  <c r="E315" i="17"/>
  <c r="E319" i="17"/>
  <c r="E323" i="17"/>
  <c r="E327" i="17"/>
  <c r="E331" i="17"/>
  <c r="E335" i="17"/>
  <c r="E339" i="17"/>
  <c r="E343" i="17"/>
  <c r="E347" i="17"/>
  <c r="E351" i="17"/>
  <c r="E355" i="17"/>
  <c r="E359" i="17"/>
  <c r="E363" i="17"/>
  <c r="E367" i="17"/>
  <c r="E371" i="17"/>
  <c r="E375" i="17"/>
  <c r="E379" i="17"/>
  <c r="E383" i="17"/>
  <c r="E387" i="17"/>
  <c r="E391" i="17"/>
  <c r="E395" i="17"/>
  <c r="E399" i="17"/>
  <c r="E403" i="17"/>
  <c r="E407" i="17"/>
  <c r="E411" i="17"/>
  <c r="E415" i="17"/>
  <c r="E419" i="17"/>
  <c r="E423" i="17"/>
  <c r="E427" i="17"/>
  <c r="E431" i="17"/>
  <c r="E435" i="17"/>
  <c r="E439" i="17"/>
  <c r="E443" i="17"/>
  <c r="E447" i="17"/>
  <c r="E451" i="17"/>
  <c r="E455" i="17"/>
  <c r="E459" i="17"/>
  <c r="E463" i="17"/>
  <c r="E467" i="17"/>
  <c r="E471" i="17"/>
  <c r="E475" i="17"/>
  <c r="E479" i="17"/>
  <c r="E483" i="17"/>
  <c r="E487" i="17"/>
  <c r="E491" i="17"/>
  <c r="E495" i="17"/>
  <c r="E499" i="17"/>
  <c r="E503" i="17"/>
  <c r="E507" i="17"/>
  <c r="E511" i="17"/>
  <c r="E515" i="17"/>
  <c r="E519" i="17"/>
  <c r="E523" i="17"/>
  <c r="E527" i="17"/>
  <c r="E531" i="17"/>
  <c r="E535" i="17"/>
  <c r="E539" i="17"/>
  <c r="E543" i="17"/>
  <c r="E547" i="17"/>
  <c r="E551" i="17"/>
  <c r="E555" i="17"/>
  <c r="E559" i="17"/>
  <c r="E563" i="17"/>
  <c r="E567" i="17"/>
  <c r="E571" i="17"/>
  <c r="E575" i="17"/>
  <c r="E579" i="17"/>
  <c r="E583" i="17"/>
  <c r="E587" i="17"/>
  <c r="E591" i="17"/>
  <c r="E595" i="17"/>
  <c r="E599" i="17"/>
  <c r="E603" i="17"/>
  <c r="E607" i="17"/>
  <c r="E611" i="17"/>
  <c r="E615" i="17"/>
  <c r="E619" i="17"/>
  <c r="E623" i="17"/>
  <c r="E627" i="17"/>
  <c r="E631" i="17"/>
  <c r="E635" i="17"/>
  <c r="E639" i="17"/>
  <c r="E643" i="17"/>
  <c r="E647" i="17"/>
  <c r="E651" i="17"/>
  <c r="E655" i="17"/>
  <c r="E659" i="17"/>
  <c r="E663" i="17"/>
  <c r="E667" i="17"/>
  <c r="E671" i="17"/>
  <c r="E126" i="17"/>
  <c r="E394" i="17"/>
  <c r="E77" i="17"/>
  <c r="E81" i="17"/>
  <c r="E85" i="17"/>
  <c r="E89" i="17"/>
  <c r="E93" i="17"/>
  <c r="E97" i="17"/>
  <c r="E101" i="17"/>
  <c r="E105" i="17"/>
  <c r="E109" i="17"/>
  <c r="E113" i="17"/>
  <c r="E117" i="17"/>
  <c r="E121" i="17"/>
  <c r="E125" i="17"/>
  <c r="E129" i="17"/>
  <c r="E133" i="17"/>
  <c r="E137" i="17"/>
  <c r="E141" i="17"/>
  <c r="E145" i="17"/>
  <c r="E149" i="17"/>
  <c r="E153" i="17"/>
  <c r="E157" i="17"/>
  <c r="E161" i="17"/>
  <c r="E165" i="17"/>
  <c r="E169" i="17"/>
  <c r="E173" i="17"/>
  <c r="E177" i="17"/>
  <c r="E181" i="17"/>
  <c r="E185" i="17"/>
  <c r="E189" i="17"/>
  <c r="E193" i="17"/>
  <c r="E197" i="17"/>
  <c r="E201" i="17"/>
  <c r="E205" i="17"/>
  <c r="E209" i="17"/>
  <c r="E213" i="17"/>
  <c r="E217" i="17"/>
  <c r="E221" i="17"/>
  <c r="E225" i="17"/>
  <c r="E229" i="17"/>
  <c r="E233" i="17"/>
  <c r="E237" i="17"/>
  <c r="E241" i="17"/>
  <c r="E245" i="17"/>
  <c r="E249" i="17"/>
  <c r="E253" i="17"/>
  <c r="E257" i="17"/>
  <c r="E261" i="17"/>
  <c r="E265" i="17"/>
  <c r="E269" i="17"/>
  <c r="E273" i="17"/>
  <c r="E277" i="17"/>
  <c r="E281" i="17"/>
  <c r="E285" i="17"/>
  <c r="E289" i="17"/>
  <c r="E293" i="17"/>
  <c r="E297" i="17"/>
  <c r="E301" i="17"/>
  <c r="E305" i="17"/>
  <c r="E309" i="17"/>
  <c r="E313" i="17"/>
  <c r="E317" i="17"/>
  <c r="E321" i="17"/>
  <c r="E325" i="17"/>
  <c r="E329" i="17"/>
  <c r="E333" i="17"/>
  <c r="E337" i="17"/>
  <c r="E341" i="17"/>
  <c r="E345" i="17"/>
  <c r="E349" i="17"/>
  <c r="E353" i="17"/>
  <c r="E357" i="17"/>
  <c r="E361" i="17"/>
  <c r="E365" i="17"/>
  <c r="E369" i="17"/>
  <c r="E373" i="17"/>
  <c r="E377" i="17"/>
  <c r="E381" i="17"/>
  <c r="E385" i="17"/>
  <c r="E389" i="17"/>
  <c r="E393" i="17"/>
  <c r="E397" i="17"/>
  <c r="E401" i="17"/>
  <c r="E405" i="17"/>
  <c r="E409" i="17"/>
  <c r="E413" i="17"/>
  <c r="E417" i="17"/>
  <c r="E421" i="17"/>
  <c r="E425" i="17"/>
  <c r="E429" i="17"/>
  <c r="E433" i="17"/>
  <c r="E437" i="17"/>
  <c r="E441" i="17"/>
  <c r="E445" i="17"/>
  <c r="E449" i="17"/>
  <c r="E453" i="17"/>
  <c r="E457" i="17"/>
  <c r="E461" i="17"/>
  <c r="E465" i="17"/>
  <c r="E469" i="17"/>
  <c r="E473" i="17"/>
  <c r="E477" i="17"/>
  <c r="E481" i="17"/>
  <c r="E485" i="17"/>
  <c r="E489" i="17"/>
  <c r="E493" i="17"/>
  <c r="E497" i="17"/>
  <c r="E501" i="17"/>
  <c r="E505" i="17"/>
  <c r="E509" i="17"/>
  <c r="E513" i="17"/>
  <c r="E517" i="17"/>
  <c r="E521" i="17"/>
  <c r="E525" i="17"/>
  <c r="E529" i="17"/>
  <c r="E533" i="17"/>
  <c r="E537" i="17"/>
  <c r="E541" i="17"/>
  <c r="E545" i="17"/>
  <c r="E549" i="17"/>
  <c r="E553" i="17"/>
  <c r="E557" i="17"/>
  <c r="E561" i="17"/>
  <c r="E565" i="17"/>
  <c r="E569" i="17"/>
  <c r="E573" i="17"/>
  <c r="E577" i="17"/>
  <c r="E581" i="17"/>
  <c r="E585" i="17"/>
  <c r="E589" i="17"/>
  <c r="E593" i="17"/>
  <c r="E597" i="17"/>
  <c r="E601" i="17"/>
  <c r="E605" i="17"/>
  <c r="E609" i="17"/>
  <c r="E613" i="17"/>
  <c r="E617" i="17"/>
  <c r="E621" i="17"/>
  <c r="E625" i="17"/>
  <c r="E629" i="17"/>
  <c r="E633" i="17"/>
  <c r="E637" i="17"/>
  <c r="E641" i="17"/>
  <c r="E645" i="17"/>
  <c r="E649" i="17"/>
  <c r="E653" i="17"/>
  <c r="E657" i="17"/>
  <c r="E661" i="17"/>
  <c r="E665" i="17"/>
  <c r="E669" i="17"/>
  <c r="E673" i="17"/>
  <c r="D90" i="17"/>
  <c r="D147" i="17"/>
  <c r="D83" i="17"/>
  <c r="D97" i="17"/>
  <c r="D111" i="17"/>
  <c r="D126" i="17"/>
  <c r="D139" i="17"/>
  <c r="D154" i="17"/>
  <c r="D169" i="17"/>
  <c r="D182" i="17"/>
  <c r="D197" i="17"/>
  <c r="D211" i="17"/>
  <c r="D225" i="17"/>
  <c r="D239" i="17"/>
  <c r="D254" i="17"/>
  <c r="D267" i="17"/>
  <c r="D282" i="17"/>
  <c r="D297" i="17"/>
  <c r="D310" i="17"/>
  <c r="D325" i="17"/>
  <c r="D339" i="17"/>
  <c r="D353" i="17"/>
  <c r="D367" i="17"/>
  <c r="D382" i="17"/>
  <c r="D395" i="17"/>
  <c r="D410" i="17"/>
  <c r="D425" i="17"/>
  <c r="D438" i="17"/>
  <c r="D453" i="17"/>
  <c r="D467" i="17"/>
  <c r="D481" i="17"/>
  <c r="D495" i="17"/>
  <c r="D510" i="17"/>
  <c r="D523" i="17"/>
  <c r="D538" i="17"/>
  <c r="D553" i="17"/>
  <c r="D566" i="17"/>
  <c r="D581" i="17"/>
  <c r="D597" i="17"/>
  <c r="D615" i="17"/>
  <c r="D634" i="17"/>
  <c r="D661" i="17"/>
  <c r="D105" i="17"/>
  <c r="D118" i="17"/>
  <c r="D133" i="17"/>
  <c r="D161" i="17"/>
  <c r="D175" i="17"/>
  <c r="D190" i="17"/>
  <c r="D203" i="17"/>
  <c r="D218" i="17"/>
  <c r="D233" i="17"/>
  <c r="D246" i="17"/>
  <c r="D261" i="17"/>
  <c r="D275" i="17"/>
  <c r="D289" i="17"/>
  <c r="D303" i="17"/>
  <c r="D318" i="17"/>
  <c r="D331" i="17"/>
  <c r="D346" i="17"/>
  <c r="D361" i="17"/>
  <c r="D374" i="17"/>
  <c r="D389" i="17"/>
  <c r="D403" i="17"/>
  <c r="D417" i="17"/>
  <c r="D431" i="17"/>
  <c r="D446" i="17"/>
  <c r="D459" i="17"/>
  <c r="D474" i="17"/>
  <c r="D489" i="17"/>
  <c r="D502" i="17"/>
  <c r="D517" i="17"/>
  <c r="D531" i="17"/>
  <c r="D545" i="17"/>
  <c r="D559" i="17"/>
  <c r="D574" i="17"/>
  <c r="D587" i="17"/>
  <c r="D606" i="17"/>
  <c r="D626" i="17"/>
  <c r="D647" i="17"/>
  <c r="D78" i="17"/>
  <c r="D91" i="17"/>
  <c r="D106" i="17"/>
  <c r="D121" i="17"/>
  <c r="D134" i="17"/>
  <c r="D149" i="17"/>
  <c r="D163" i="17"/>
  <c r="D177" i="17"/>
  <c r="D191" i="17"/>
  <c r="D206" i="17"/>
  <c r="D219" i="17"/>
  <c r="D234" i="17"/>
  <c r="D249" i="17"/>
  <c r="D262" i="17"/>
  <c r="D277" i="17"/>
  <c r="D291" i="17"/>
  <c r="D305" i="17"/>
  <c r="D319" i="17"/>
  <c r="D334" i="17"/>
  <c r="D347" i="17"/>
  <c r="D362" i="17"/>
  <c r="D377" i="17"/>
  <c r="D390" i="17"/>
  <c r="D405" i="17"/>
  <c r="D419" i="17"/>
  <c r="D433" i="17"/>
  <c r="D447" i="17"/>
  <c r="D462" i="17"/>
  <c r="D475" i="17"/>
  <c r="D490" i="17"/>
  <c r="D505" i="17"/>
  <c r="D518" i="17"/>
  <c r="D533" i="17"/>
  <c r="D547" i="17"/>
  <c r="D561" i="17"/>
  <c r="D575" i="17"/>
  <c r="D590" i="17"/>
  <c r="D607" i="17"/>
  <c r="D627" i="17"/>
  <c r="D649" i="17"/>
  <c r="D85" i="17"/>
  <c r="D99" i="17"/>
  <c r="D113" i="17"/>
  <c r="D127" i="17"/>
  <c r="D142" i="17"/>
  <c r="D155" i="17"/>
  <c r="D170" i="17"/>
  <c r="D185" i="17"/>
  <c r="D198" i="17"/>
  <c r="D213" i="17"/>
  <c r="D227" i="17"/>
  <c r="D241" i="17"/>
  <c r="D255" i="17"/>
  <c r="D270" i="17"/>
  <c r="D283" i="17"/>
  <c r="D298" i="17"/>
  <c r="D313" i="17"/>
  <c r="D326" i="17"/>
  <c r="D341" i="17"/>
  <c r="D355" i="17"/>
  <c r="D369" i="17"/>
  <c r="D383" i="17"/>
  <c r="D398" i="17"/>
  <c r="D411" i="17"/>
  <c r="D426" i="17"/>
  <c r="D441" i="17"/>
  <c r="D454" i="17"/>
  <c r="D469" i="17"/>
  <c r="D483" i="17"/>
  <c r="D497" i="17"/>
  <c r="D511" i="17"/>
  <c r="D526" i="17"/>
  <c r="D539" i="17"/>
  <c r="D554" i="17"/>
  <c r="D569" i="17"/>
  <c r="D582" i="17"/>
  <c r="D599" i="17"/>
  <c r="D618" i="17"/>
  <c r="D637" i="17"/>
  <c r="D663" i="17"/>
  <c r="D79" i="17"/>
  <c r="D86" i="17"/>
  <c r="D94" i="17"/>
  <c r="D101" i="17"/>
  <c r="D107" i="17"/>
  <c r="D115" i="17"/>
  <c r="D122" i="17"/>
  <c r="D129" i="17"/>
  <c r="D137" i="17"/>
  <c r="D143" i="17"/>
  <c r="D150" i="17"/>
  <c r="D158" i="17"/>
  <c r="D165" i="17"/>
  <c r="D171" i="17"/>
  <c r="D179" i="17"/>
  <c r="D186" i="17"/>
  <c r="D193" i="17"/>
  <c r="D201" i="17"/>
  <c r="D207" i="17"/>
  <c r="D214" i="17"/>
  <c r="D222" i="17"/>
  <c r="D229" i="17"/>
  <c r="D235" i="17"/>
  <c r="D243" i="17"/>
  <c r="D250" i="17"/>
  <c r="D257" i="17"/>
  <c r="D265" i="17"/>
  <c r="D271" i="17"/>
  <c r="D278" i="17"/>
  <c r="D286" i="17"/>
  <c r="D293" i="17"/>
  <c r="D299" i="17"/>
  <c r="D307" i="17"/>
  <c r="D314" i="17"/>
  <c r="D321" i="17"/>
  <c r="D329" i="17"/>
  <c r="D335" i="17"/>
  <c r="D342" i="17"/>
  <c r="D350" i="17"/>
  <c r="D357" i="17"/>
  <c r="D363" i="17"/>
  <c r="D371" i="17"/>
  <c r="D378" i="17"/>
  <c r="D385" i="17"/>
  <c r="D393" i="17"/>
  <c r="D399" i="17"/>
  <c r="D406" i="17"/>
  <c r="D414" i="17"/>
  <c r="D421" i="17"/>
  <c r="D427" i="17"/>
  <c r="D435" i="17"/>
  <c r="D442" i="17"/>
  <c r="D449" i="17"/>
  <c r="D457" i="17"/>
  <c r="D463" i="17"/>
  <c r="D470" i="17"/>
  <c r="D478" i="17"/>
  <c r="D485" i="17"/>
  <c r="D491" i="17"/>
  <c r="D499" i="17"/>
  <c r="D506" i="17"/>
  <c r="D513" i="17"/>
  <c r="D521" i="17"/>
  <c r="D527" i="17"/>
  <c r="D534" i="17"/>
  <c r="D542" i="17"/>
  <c r="D549" i="17"/>
  <c r="D555" i="17"/>
  <c r="D563" i="17"/>
  <c r="D570" i="17"/>
  <c r="D577" i="17"/>
  <c r="D585" i="17"/>
  <c r="D591" i="17"/>
  <c r="D601" i="17"/>
  <c r="D611" i="17"/>
  <c r="D621" i="17"/>
  <c r="D629" i="17"/>
  <c r="D639" i="17"/>
  <c r="D654" i="17"/>
  <c r="D669" i="17"/>
  <c r="D81" i="17"/>
  <c r="D89" i="17"/>
  <c r="D95" i="17"/>
  <c r="D102" i="17"/>
  <c r="D110" i="17"/>
  <c r="D117" i="17"/>
  <c r="D123" i="17"/>
  <c r="D131" i="17"/>
  <c r="D138" i="17"/>
  <c r="D145" i="17"/>
  <c r="D153" i="17"/>
  <c r="D159" i="17"/>
  <c r="D166" i="17"/>
  <c r="D174" i="17"/>
  <c r="D181" i="17"/>
  <c r="D187" i="17"/>
  <c r="D195" i="17"/>
  <c r="D202" i="17"/>
  <c r="D209" i="17"/>
  <c r="D217" i="17"/>
  <c r="D223" i="17"/>
  <c r="D230" i="17"/>
  <c r="D238" i="17"/>
  <c r="D245" i="17"/>
  <c r="D251" i="17"/>
  <c r="D259" i="17"/>
  <c r="D266" i="17"/>
  <c r="D273" i="17"/>
  <c r="D281" i="17"/>
  <c r="D287" i="17"/>
  <c r="D294" i="17"/>
  <c r="D302" i="17"/>
  <c r="D309" i="17"/>
  <c r="D315" i="17"/>
  <c r="D323" i="17"/>
  <c r="D330" i="17"/>
  <c r="D337" i="17"/>
  <c r="D345" i="17"/>
  <c r="D351" i="17"/>
  <c r="D358" i="17"/>
  <c r="D366" i="17"/>
  <c r="D373" i="17"/>
  <c r="D379" i="17"/>
  <c r="D387" i="17"/>
  <c r="D394" i="17"/>
  <c r="D401" i="17"/>
  <c r="D409" i="17"/>
  <c r="D415" i="17"/>
  <c r="D422" i="17"/>
  <c r="D430" i="17"/>
  <c r="D437" i="17"/>
  <c r="D443" i="17"/>
  <c r="D451" i="17"/>
  <c r="D458" i="17"/>
  <c r="D465" i="17"/>
  <c r="D473" i="17"/>
  <c r="D479" i="17"/>
  <c r="D486" i="17"/>
  <c r="D494" i="17"/>
  <c r="D501" i="17"/>
  <c r="D507" i="17"/>
  <c r="D515" i="17"/>
  <c r="D522" i="17"/>
  <c r="D529" i="17"/>
  <c r="D537" i="17"/>
  <c r="D543" i="17"/>
  <c r="D550" i="17"/>
  <c r="D558" i="17"/>
  <c r="D565" i="17"/>
  <c r="D571" i="17"/>
  <c r="D579" i="17"/>
  <c r="D586" i="17"/>
  <c r="D594" i="17"/>
  <c r="D605" i="17"/>
  <c r="D613" i="17"/>
  <c r="D622" i="17"/>
  <c r="D633" i="17"/>
  <c r="D642" i="17"/>
  <c r="D655" i="17"/>
  <c r="D670" i="17"/>
  <c r="D643" i="17"/>
  <c r="D650" i="17"/>
  <c r="D658" i="17"/>
  <c r="D665" i="17"/>
  <c r="D671" i="17"/>
  <c r="D77" i="17"/>
  <c r="D82" i="17"/>
  <c r="D87" i="17"/>
  <c r="D93" i="17"/>
  <c r="D98" i="17"/>
  <c r="D103" i="17"/>
  <c r="D109" i="17"/>
  <c r="D114" i="17"/>
  <c r="D119" i="17"/>
  <c r="D125" i="17"/>
  <c r="D130" i="17"/>
  <c r="D135" i="17"/>
  <c r="D141" i="17"/>
  <c r="D146" i="17"/>
  <c r="D151" i="17"/>
  <c r="D157" i="17"/>
  <c r="D162" i="17"/>
  <c r="D167" i="17"/>
  <c r="D173" i="17"/>
  <c r="D178" i="17"/>
  <c r="D183" i="17"/>
  <c r="D189" i="17"/>
  <c r="D194" i="17"/>
  <c r="D199" i="17"/>
  <c r="D205" i="17"/>
  <c r="D210" i="17"/>
  <c r="D215" i="17"/>
  <c r="D221" i="17"/>
  <c r="D226" i="17"/>
  <c r="D231" i="17"/>
  <c r="D237" i="17"/>
  <c r="D242" i="17"/>
  <c r="D247" i="17"/>
  <c r="D253" i="17"/>
  <c r="D258" i="17"/>
  <c r="D263" i="17"/>
  <c r="D269" i="17"/>
  <c r="D274" i="17"/>
  <c r="D279" i="17"/>
  <c r="D285" i="17"/>
  <c r="D290" i="17"/>
  <c r="D295" i="17"/>
  <c r="D301" i="17"/>
  <c r="D306" i="17"/>
  <c r="D311" i="17"/>
  <c r="D317" i="17"/>
  <c r="D322" i="17"/>
  <c r="D327" i="17"/>
  <c r="D333" i="17"/>
  <c r="D338" i="17"/>
  <c r="D343" i="17"/>
  <c r="D349" i="17"/>
  <c r="D354" i="17"/>
  <c r="D359" i="17"/>
  <c r="D365" i="17"/>
  <c r="D370" i="17"/>
  <c r="D375" i="17"/>
  <c r="D381" i="17"/>
  <c r="D386" i="17"/>
  <c r="D391" i="17"/>
  <c r="D397" i="17"/>
  <c r="D402" i="17"/>
  <c r="D407" i="17"/>
  <c r="D413" i="17"/>
  <c r="D418" i="17"/>
  <c r="D423" i="17"/>
  <c r="D429" i="17"/>
  <c r="D434" i="17"/>
  <c r="D439" i="17"/>
  <c r="D445" i="17"/>
  <c r="D450" i="17"/>
  <c r="D455" i="17"/>
  <c r="D461" i="17"/>
  <c r="D466" i="17"/>
  <c r="D471" i="17"/>
  <c r="D477" i="17"/>
  <c r="D482" i="17"/>
  <c r="D487" i="17"/>
  <c r="D493" i="17"/>
  <c r="D498" i="17"/>
  <c r="D503" i="17"/>
  <c r="D509" i="17"/>
  <c r="D514" i="17"/>
  <c r="D519" i="17"/>
  <c r="D525" i="17"/>
  <c r="D530" i="17"/>
  <c r="D535" i="17"/>
  <c r="D541" i="17"/>
  <c r="D546" i="17"/>
  <c r="D551" i="17"/>
  <c r="D557" i="17"/>
  <c r="D562" i="17"/>
  <c r="D567" i="17"/>
  <c r="D573" i="17"/>
  <c r="D578" i="17"/>
  <c r="D583" i="17"/>
  <c r="D589" i="17"/>
  <c r="D595" i="17"/>
  <c r="D602" i="17"/>
  <c r="D610" i="17"/>
  <c r="D617" i="17"/>
  <c r="D623" i="17"/>
  <c r="D631" i="17"/>
  <c r="D638" i="17"/>
  <c r="D645" i="17"/>
  <c r="D653" i="17"/>
  <c r="D659" i="17"/>
  <c r="D666" i="17"/>
  <c r="D674" i="17"/>
  <c r="D76" i="17"/>
  <c r="D80" i="17"/>
  <c r="D84" i="17"/>
  <c r="D88" i="17"/>
  <c r="D92" i="17"/>
  <c r="D96" i="17"/>
  <c r="D100" i="17"/>
  <c r="D104" i="17"/>
  <c r="D108" i="17"/>
  <c r="D112" i="17"/>
  <c r="D116" i="17"/>
  <c r="D120" i="17"/>
  <c r="D124" i="17"/>
  <c r="D128" i="17"/>
  <c r="D132" i="17"/>
  <c r="D136" i="17"/>
  <c r="D140" i="17"/>
  <c r="D144" i="17"/>
  <c r="D148" i="17"/>
  <c r="D152" i="17"/>
  <c r="D156" i="17"/>
  <c r="D160" i="17"/>
  <c r="D164" i="17"/>
  <c r="D168" i="17"/>
  <c r="D172" i="17"/>
  <c r="D176" i="17"/>
  <c r="D180" i="17"/>
  <c r="D184" i="17"/>
  <c r="D188" i="17"/>
  <c r="D192" i="17"/>
  <c r="D196" i="17"/>
  <c r="D200" i="17"/>
  <c r="D204" i="17"/>
  <c r="D208" i="17"/>
  <c r="D212" i="17"/>
  <c r="D216" i="17"/>
  <c r="D220" i="17"/>
  <c r="D224" i="17"/>
  <c r="D228" i="17"/>
  <c r="D232" i="17"/>
  <c r="D236" i="17"/>
  <c r="D240" i="17"/>
  <c r="D244" i="17"/>
  <c r="D248" i="17"/>
  <c r="D252" i="17"/>
  <c r="D256" i="17"/>
  <c r="D260" i="17"/>
  <c r="D264" i="17"/>
  <c r="D268" i="17"/>
  <c r="D272" i="17"/>
  <c r="D276" i="17"/>
  <c r="D280" i="17"/>
  <c r="D284" i="17"/>
  <c r="D288" i="17"/>
  <c r="D292" i="17"/>
  <c r="D296" i="17"/>
  <c r="D300" i="17"/>
  <c r="D304" i="17"/>
  <c r="D308" i="17"/>
  <c r="D312" i="17"/>
  <c r="D316" i="17"/>
  <c r="D320" i="17"/>
  <c r="D324" i="17"/>
  <c r="D328" i="17"/>
  <c r="D332" i="17"/>
  <c r="D336" i="17"/>
  <c r="D340" i="17"/>
  <c r="D344" i="17"/>
  <c r="D348" i="17"/>
  <c r="D352" i="17"/>
  <c r="D356" i="17"/>
  <c r="D360" i="17"/>
  <c r="D364" i="17"/>
  <c r="D368" i="17"/>
  <c r="D372" i="17"/>
  <c r="D376" i="17"/>
  <c r="D380" i="17"/>
  <c r="D384" i="17"/>
  <c r="D388" i="17"/>
  <c r="D392" i="17"/>
  <c r="D396" i="17"/>
  <c r="D400" i="17"/>
  <c r="D404" i="17"/>
  <c r="D408" i="17"/>
  <c r="D412" i="17"/>
  <c r="D416" i="17"/>
  <c r="D420" i="17"/>
  <c r="D424" i="17"/>
  <c r="D428" i="17"/>
  <c r="D432" i="17"/>
  <c r="D436" i="17"/>
  <c r="D440" i="17"/>
  <c r="D444" i="17"/>
  <c r="D448" i="17"/>
  <c r="D452" i="17"/>
  <c r="D456" i="17"/>
  <c r="D460" i="17"/>
  <c r="D464" i="17"/>
  <c r="D468" i="17"/>
  <c r="D472" i="17"/>
  <c r="D476" i="17"/>
  <c r="D480" i="17"/>
  <c r="D484" i="17"/>
  <c r="D488" i="17"/>
  <c r="D492" i="17"/>
  <c r="D496" i="17"/>
  <c r="D500" i="17"/>
  <c r="D504" i="17"/>
  <c r="D508" i="17"/>
  <c r="D512" i="17"/>
  <c r="D516" i="17"/>
  <c r="D520" i="17"/>
  <c r="D524" i="17"/>
  <c r="D528" i="17"/>
  <c r="D532" i="17"/>
  <c r="D536" i="17"/>
  <c r="D540" i="17"/>
  <c r="D544" i="17"/>
  <c r="D548" i="17"/>
  <c r="D552" i="17"/>
  <c r="D556" i="17"/>
  <c r="D560" i="17"/>
  <c r="D564" i="17"/>
  <c r="D568" i="17"/>
  <c r="D572" i="17"/>
  <c r="D576" i="17"/>
  <c r="D580" i="17"/>
  <c r="D584" i="17"/>
  <c r="D588" i="17"/>
  <c r="D593" i="17"/>
  <c r="D598" i="17"/>
  <c r="D603" i="17"/>
  <c r="D609" i="17"/>
  <c r="D614" i="17"/>
  <c r="D619" i="17"/>
  <c r="D625" i="17"/>
  <c r="D630" i="17"/>
  <c r="D635" i="17"/>
  <c r="D641" i="17"/>
  <c r="D646" i="17"/>
  <c r="D651" i="17"/>
  <c r="D657" i="17"/>
  <c r="D662" i="17"/>
  <c r="D667" i="17"/>
  <c r="D673" i="17"/>
  <c r="D592" i="17"/>
  <c r="D596" i="17"/>
  <c r="D600" i="17"/>
  <c r="D604" i="17"/>
  <c r="D608" i="17"/>
  <c r="D612" i="17"/>
  <c r="D616" i="17"/>
  <c r="D620" i="17"/>
  <c r="D624" i="17"/>
  <c r="D628" i="17"/>
  <c r="D632" i="17"/>
  <c r="D636" i="17"/>
  <c r="D640" i="17"/>
  <c r="D644" i="17"/>
  <c r="D648" i="17"/>
  <c r="D652" i="17"/>
  <c r="D656" i="17"/>
  <c r="D660" i="17"/>
  <c r="D664" i="17"/>
  <c r="D668" i="17"/>
  <c r="D672" i="17"/>
  <c r="K44" i="17"/>
  <c r="M22" i="13" l="1"/>
  <c r="S75" i="17"/>
  <c r="L8" i="17"/>
  <c r="M41" i="13" s="1"/>
  <c r="L7" i="17"/>
  <c r="M40" i="13" s="1"/>
  <c r="L6" i="17"/>
  <c r="M39" i="13" s="1"/>
  <c r="L15" i="17"/>
  <c r="M48" i="13" s="1"/>
  <c r="L9" i="17"/>
  <c r="M42" i="13" s="1"/>
  <c r="L16" i="17"/>
  <c r="M49" i="13" s="1"/>
  <c r="L13" i="17"/>
  <c r="M46" i="13" s="1"/>
  <c r="L12" i="17"/>
  <c r="M45" i="13" s="1"/>
  <c r="L11" i="17"/>
  <c r="M44" i="13" s="1"/>
  <c r="L10" i="17"/>
  <c r="M43" i="13" s="1"/>
  <c r="N75" i="17" l="1"/>
  <c r="AU75" i="17" s="1"/>
  <c r="T75" i="17"/>
  <c r="L5" i="17"/>
  <c r="M38" i="13" s="1"/>
  <c r="V75" i="17" l="1"/>
  <c r="U75" i="17"/>
  <c r="X75" i="17"/>
  <c r="Z75" i="17" l="1"/>
  <c r="W75" i="17" l="1"/>
  <c r="AE75" i="17" s="1"/>
  <c r="BK75" i="17" l="1"/>
  <c r="BG75" i="17"/>
  <c r="BD76" i="17" s="1"/>
  <c r="AA75" i="17"/>
  <c r="AC75" i="17" l="1"/>
  <c r="AB76" i="17"/>
  <c r="BH76" i="17"/>
  <c r="BI76" i="17" s="1"/>
  <c r="BE76" i="17"/>
  <c r="BF76" i="17" s="1"/>
  <c r="Y76" i="17"/>
  <c r="Q76" i="17" l="1"/>
  <c r="AT75" i="17"/>
  <c r="AD75" i="17"/>
  <c r="K76" i="17" s="1"/>
  <c r="AF75" i="17" l="1"/>
  <c r="AG75" i="17" s="1"/>
  <c r="S76" i="17"/>
  <c r="T76" i="17" s="1"/>
  <c r="M76" i="17"/>
  <c r="N76" i="17" l="1"/>
  <c r="AU76" i="17" s="1"/>
  <c r="U76" i="17" s="1"/>
  <c r="X76" i="17" l="1"/>
  <c r="V76" i="17"/>
  <c r="Z76" i="17" l="1"/>
  <c r="W76" i="17"/>
  <c r="AE76" i="17" s="1"/>
  <c r="BK76" i="17" l="1"/>
  <c r="BH77" i="17" s="1"/>
  <c r="BI77" i="17" s="1"/>
  <c r="BG76" i="17"/>
  <c r="BD77" i="17" s="1"/>
  <c r="AA76" i="17"/>
  <c r="AC76" i="17" l="1"/>
  <c r="Q77" i="17" s="1"/>
  <c r="AB77" i="17"/>
  <c r="BE77" i="17"/>
  <c r="BF77" i="17" s="1"/>
  <c r="Y77" i="17"/>
  <c r="AD76" i="17" l="1"/>
  <c r="K77" i="17" s="1"/>
  <c r="M77" i="17" s="1"/>
  <c r="N77" i="17" s="1"/>
  <c r="AT76" i="17"/>
  <c r="AF76" i="17" l="1"/>
  <c r="AG76" i="17" s="1"/>
  <c r="AU77" i="17"/>
  <c r="S77" i="17"/>
  <c r="T77" i="17" s="1"/>
  <c r="X77" i="17" s="1"/>
  <c r="Z77" i="17" l="1"/>
  <c r="V77" i="17" l="1"/>
  <c r="U77" i="17"/>
  <c r="W77" i="17" l="1"/>
  <c r="BK77" i="17" s="1"/>
  <c r="BH78" i="17" s="1"/>
  <c r="BI78" i="17" s="1"/>
  <c r="AA77" i="17" l="1"/>
  <c r="Y78" i="17" s="1"/>
  <c r="AE77" i="17"/>
  <c r="BG77" i="17"/>
  <c r="BD78" i="17" s="1"/>
  <c r="BE78" i="17" s="1"/>
  <c r="BF78" i="17" s="1"/>
  <c r="AC77" i="17"/>
  <c r="Q78" i="17" s="1"/>
  <c r="AB78" i="17" l="1"/>
  <c r="AT77" i="17"/>
  <c r="AD77" i="17"/>
  <c r="K78" i="17" s="1"/>
  <c r="M78" i="17" s="1"/>
  <c r="N78" i="17" s="1"/>
  <c r="AF77" i="17" l="1"/>
  <c r="AG77" i="17" s="1"/>
  <c r="AU78" i="17"/>
  <c r="S78" i="17"/>
  <c r="T78" i="17" s="1"/>
  <c r="U78" i="17"/>
  <c r="V78" i="17" l="1"/>
  <c r="X78" i="17"/>
  <c r="Z78" i="17" l="1"/>
  <c r="W78" i="17"/>
  <c r="BK78" i="17" l="1"/>
  <c r="BH79" i="17" s="1"/>
  <c r="BI79" i="17" s="1"/>
  <c r="AE78" i="17"/>
  <c r="BG78" i="17"/>
  <c r="BD79" i="17" s="1"/>
  <c r="AA78" i="17"/>
  <c r="AB79" i="17" s="1"/>
  <c r="BE79" i="17" l="1"/>
  <c r="BF79" i="17" s="1"/>
  <c r="AC78" i="17"/>
  <c r="Q79" i="17" s="1"/>
  <c r="Y79" i="17"/>
  <c r="AD78" i="17" l="1"/>
  <c r="K79" i="17" s="1"/>
  <c r="AT78" i="17"/>
  <c r="AF78" i="17" l="1"/>
  <c r="AG78" i="17" s="1"/>
  <c r="M79" i="17"/>
  <c r="N79" i="17" s="1"/>
  <c r="AU79" i="17" l="1"/>
  <c r="S79" i="17"/>
  <c r="T79" i="17" s="1"/>
  <c r="U79" i="17" s="1"/>
  <c r="V79" i="17" l="1"/>
  <c r="X79" i="17"/>
  <c r="Z79" i="17" l="1"/>
  <c r="W79" i="17"/>
  <c r="BK79" i="17" l="1"/>
  <c r="BH80" i="17" s="1"/>
  <c r="BI80" i="17" s="1"/>
  <c r="AE79" i="17"/>
  <c r="BG79" i="17"/>
  <c r="BD80" i="17" s="1"/>
  <c r="AA79" i="17"/>
  <c r="AB80" i="17" s="1"/>
  <c r="BE80" i="17" l="1"/>
  <c r="BF80" i="17" s="1"/>
  <c r="Y80" i="17"/>
  <c r="AC79" i="17"/>
  <c r="Q80" i="17" s="1"/>
  <c r="AD79" i="17" l="1"/>
  <c r="K80" i="17" s="1"/>
  <c r="AT79" i="17"/>
  <c r="AF79" i="17" l="1"/>
  <c r="AG79" i="17" s="1"/>
  <c r="M80" i="17"/>
  <c r="N80" i="17" s="1"/>
  <c r="AU80" i="17" l="1"/>
  <c r="S80" i="17"/>
  <c r="T80" i="17" s="1"/>
  <c r="V80" i="17" l="1"/>
  <c r="U80" i="17"/>
  <c r="X80" i="17"/>
  <c r="Z80" i="17" s="1"/>
  <c r="W80" i="17" l="1"/>
  <c r="BK80" i="17" s="1"/>
  <c r="BH81" i="17" s="1"/>
  <c r="BI81" i="17" s="1"/>
  <c r="AA80" i="17" l="1"/>
  <c r="AB81" i="17" s="1"/>
  <c r="BG80" i="17"/>
  <c r="BD81" i="17" s="1"/>
  <c r="BE81" i="17" s="1"/>
  <c r="BF81" i="17" s="1"/>
  <c r="AE80" i="17"/>
  <c r="AC80" i="17"/>
  <c r="Q81" i="17" s="1"/>
  <c r="Y81" i="17"/>
  <c r="AD80" i="17" l="1"/>
  <c r="K81" i="17" s="1"/>
  <c r="AT80" i="17"/>
  <c r="AF80" i="17" l="1"/>
  <c r="AG80" i="17" s="1"/>
  <c r="M81" i="17"/>
  <c r="N81" i="17" s="1"/>
  <c r="AU81" i="17" l="1"/>
  <c r="S81" i="17"/>
  <c r="T81" i="17" s="1"/>
  <c r="V81" i="17" l="1"/>
  <c r="U81" i="17"/>
  <c r="X81" i="17"/>
  <c r="Z81" i="17" s="1"/>
  <c r="W81" i="17" l="1"/>
  <c r="BK81" i="17" s="1"/>
  <c r="BH82" i="17" s="1"/>
  <c r="BI82" i="17" s="1"/>
  <c r="AA81" i="17" l="1"/>
  <c r="AC81" i="17" s="1"/>
  <c r="Q82" i="17" s="1"/>
  <c r="BG81" i="17"/>
  <c r="BD82" i="17" s="1"/>
  <c r="BE82" i="17" s="1"/>
  <c r="BF82" i="17" s="1"/>
  <c r="AE81" i="17"/>
  <c r="Y82" i="17" l="1"/>
  <c r="AB82" i="17"/>
  <c r="AD81" i="17"/>
  <c r="K82" i="17" s="1"/>
  <c r="AT81" i="17"/>
  <c r="AF81" i="17" l="1"/>
  <c r="AG81" i="17" s="1"/>
  <c r="M82" i="17"/>
  <c r="N82" i="17" s="1"/>
  <c r="S82" i="17"/>
  <c r="T82" i="17" s="1"/>
  <c r="AU82" i="17" l="1"/>
  <c r="U82" i="17"/>
  <c r="V82" i="17" l="1"/>
  <c r="W82" i="17" s="1"/>
  <c r="X82" i="17"/>
  <c r="BK82" i="17" l="1"/>
  <c r="BH83" i="17" s="1"/>
  <c r="BI83" i="17" s="1"/>
  <c r="AE82" i="17"/>
  <c r="BG82" i="17"/>
  <c r="BD83" i="17" s="1"/>
  <c r="Z82" i="17"/>
  <c r="AA82" i="17"/>
  <c r="AC82" i="17" l="1"/>
  <c r="Q83" i="17" s="1"/>
  <c r="AB83" i="17"/>
  <c r="BE83" i="17"/>
  <c r="BF83" i="17" s="1"/>
  <c r="Y83" i="17"/>
  <c r="AD82" i="17" l="1"/>
  <c r="AF82" i="17" s="1"/>
  <c r="AG82" i="17" s="1"/>
  <c r="AT82" i="17"/>
  <c r="K83" i="17" l="1"/>
  <c r="M83" i="17" s="1"/>
  <c r="N83" i="17" s="1"/>
  <c r="S83" i="17"/>
  <c r="T83" i="17" s="1"/>
  <c r="AU83" i="17" l="1"/>
  <c r="X83" i="17"/>
  <c r="Z83" i="17" s="1"/>
  <c r="V83" i="17" l="1"/>
  <c r="U83" i="17"/>
  <c r="W83" i="17" l="1"/>
  <c r="BK83" i="17" s="1"/>
  <c r="BH84" i="17" s="1"/>
  <c r="BI84" i="17" s="1"/>
  <c r="AA83" i="17" l="1"/>
  <c r="AE83" i="17"/>
  <c r="BG83" i="17"/>
  <c r="BD84" i="17" s="1"/>
  <c r="BE84" i="17" s="1"/>
  <c r="BF84" i="17" s="1"/>
  <c r="AC83" i="17"/>
  <c r="Q84" i="17" s="1"/>
  <c r="AB84" i="17"/>
  <c r="Y84" i="17"/>
  <c r="AD83" i="17" l="1"/>
  <c r="K84" i="17" s="1"/>
  <c r="AT83" i="17"/>
  <c r="AF83" i="17" l="1"/>
  <c r="AG83" i="17" s="1"/>
  <c r="S84" i="17"/>
  <c r="T84" i="17" s="1"/>
  <c r="M84" i="17"/>
  <c r="N84" i="17" l="1"/>
  <c r="X84" i="17" s="1"/>
  <c r="Z84" i="17" s="1"/>
  <c r="AU84" i="17" l="1"/>
  <c r="V84" i="17"/>
  <c r="U84" i="17"/>
  <c r="W84" i="17" l="1"/>
  <c r="BK84" i="17" l="1"/>
  <c r="BH85" i="17" s="1"/>
  <c r="BI85" i="17" s="1"/>
  <c r="AE84" i="17"/>
  <c r="AA84" i="17"/>
  <c r="AB85" i="17" s="1"/>
  <c r="BG84" i="17"/>
  <c r="BD85" i="17" s="1"/>
  <c r="BE85" i="17" s="1"/>
  <c r="BF85" i="17" s="1"/>
  <c r="AC84" i="17" l="1"/>
  <c r="Q85" i="17" s="1"/>
  <c r="Y85" i="17"/>
  <c r="AD84" i="17" l="1"/>
  <c r="AT84" i="17"/>
  <c r="AF84" i="17" l="1"/>
  <c r="AG84" i="17" s="1"/>
  <c r="K85" i="17"/>
  <c r="M85" i="17" s="1"/>
  <c r="N85" i="17" s="1"/>
  <c r="AU85" i="17" s="1"/>
  <c r="S85" i="17"/>
  <c r="T85" i="17" s="1"/>
  <c r="U85" i="17" l="1"/>
  <c r="V85" i="17"/>
  <c r="X85" i="17"/>
  <c r="Z85" i="17" s="1"/>
  <c r="W85" i="17" l="1"/>
  <c r="BK85" i="17" s="1"/>
  <c r="BH86" i="17" s="1"/>
  <c r="BI86" i="17" s="1"/>
  <c r="BG85" i="17" l="1"/>
  <c r="BD86" i="17" s="1"/>
  <c r="BE86" i="17" s="1"/>
  <c r="BF86" i="17" s="1"/>
  <c r="AA85" i="17"/>
  <c r="AB86" i="17" s="1"/>
  <c r="AE85" i="17"/>
  <c r="AC85" i="17" l="1"/>
  <c r="Q86" i="17" s="1"/>
  <c r="Y86" i="17"/>
  <c r="AD85" i="17" l="1"/>
  <c r="AF85" i="17" s="1"/>
  <c r="AG85" i="17" s="1"/>
  <c r="AT85" i="17"/>
  <c r="K86" i="17"/>
  <c r="M86" i="17" l="1"/>
  <c r="N86" i="17" s="1"/>
  <c r="S86" i="17"/>
  <c r="T86" i="17" s="1"/>
  <c r="AU86" i="17" l="1"/>
  <c r="U86" i="17" s="1"/>
  <c r="X86" i="17"/>
  <c r="Z86" i="17" s="1"/>
  <c r="V86" i="17" l="1"/>
  <c r="W86" i="17" s="1"/>
  <c r="AE86" i="17" s="1"/>
  <c r="BK86" i="17" l="1"/>
  <c r="BH87" i="17" s="1"/>
  <c r="BI87" i="17" s="1"/>
  <c r="BG86" i="17"/>
  <c r="BD87" i="17" s="1"/>
  <c r="BE87" i="17" s="1"/>
  <c r="BF87" i="17" s="1"/>
  <c r="AA86" i="17"/>
  <c r="AC86" i="17" l="1"/>
  <c r="Q87" i="17" s="1"/>
  <c r="AB87" i="17"/>
  <c r="Y87" i="17"/>
  <c r="AT86" i="17" l="1"/>
  <c r="AD86" i="17"/>
  <c r="AF86" i="17" s="1"/>
  <c r="AG86" i="17" s="1"/>
  <c r="S87" i="17"/>
  <c r="T87" i="17" s="1"/>
  <c r="K87" i="17" l="1"/>
  <c r="M87" i="17" s="1"/>
  <c r="H5" i="17"/>
  <c r="L5" i="13" s="1"/>
  <c r="N87" i="17" l="1"/>
  <c r="AU87" i="17" s="1"/>
  <c r="Q22" i="13"/>
  <c r="M23" i="13"/>
  <c r="U87" i="17"/>
  <c r="V87" i="17"/>
  <c r="X87" i="17"/>
  <c r="Z87" i="17" s="1"/>
  <c r="W87" i="17" l="1"/>
  <c r="BG87" i="17" l="1"/>
  <c r="BD88" i="17" s="1"/>
  <c r="BE88" i="17" s="1"/>
  <c r="BF88" i="17" s="1"/>
  <c r="AA87" i="17"/>
  <c r="AB88" i="17" s="1"/>
  <c r="BK87" i="17"/>
  <c r="BH88" i="17" s="1"/>
  <c r="BI88" i="17" s="1"/>
  <c r="AV87" i="17"/>
  <c r="AE87" i="17"/>
  <c r="AC87" i="17" l="1"/>
  <c r="Q88" i="17" s="1"/>
  <c r="Y88" i="17"/>
  <c r="AD87" i="17" l="1"/>
  <c r="K88" i="17" s="1"/>
  <c r="AT87" i="17"/>
  <c r="M88" i="17" l="1"/>
  <c r="N88" i="17" s="1"/>
  <c r="S88" i="17"/>
  <c r="T88" i="17" s="1"/>
  <c r="AF87" i="17"/>
  <c r="AG87" i="17" s="1"/>
  <c r="AU88" i="17" l="1"/>
  <c r="X88" i="17"/>
  <c r="Z88" i="17" s="1"/>
  <c r="V88" i="17" l="1"/>
  <c r="U88" i="17"/>
  <c r="W88" i="17" l="1"/>
  <c r="BK88" i="17" s="1"/>
  <c r="BH89" i="17" s="1"/>
  <c r="BI89" i="17" s="1"/>
  <c r="AV88" i="17" l="1"/>
  <c r="AA88" i="17"/>
  <c r="AB89" i="17" s="1"/>
  <c r="AE88" i="17"/>
  <c r="BG88" i="17"/>
  <c r="BD89" i="17" s="1"/>
  <c r="BE89" i="17" s="1"/>
  <c r="BF89" i="17" s="1"/>
  <c r="Y89" i="17" l="1"/>
  <c r="AC88" i="17"/>
  <c r="Q89" i="17" s="1"/>
  <c r="S89" i="17" s="1"/>
  <c r="T89" i="17" s="1"/>
  <c r="AT88" i="17" l="1"/>
  <c r="AD88" i="17"/>
  <c r="AF88" i="17" s="1"/>
  <c r="AG88" i="17" s="1"/>
  <c r="K89" i="17" l="1"/>
  <c r="M89" i="17" s="1"/>
  <c r="N89" i="17" l="1"/>
  <c r="X89" i="17" s="1"/>
  <c r="Z89" i="17" s="1"/>
  <c r="AU89" i="17" l="1"/>
  <c r="U89" i="17"/>
  <c r="V89" i="17"/>
  <c r="W89" i="17" l="1"/>
  <c r="AE89" i="17" l="1"/>
  <c r="BG89" i="17"/>
  <c r="BD90" i="17" s="1"/>
  <c r="BE90" i="17" s="1"/>
  <c r="BF90" i="17" s="1"/>
  <c r="BK89" i="17"/>
  <c r="BH90" i="17" s="1"/>
  <c r="BI90" i="17" s="1"/>
  <c r="AA89" i="17"/>
  <c r="AV89" i="17"/>
  <c r="AB90" i="17" l="1"/>
  <c r="Y90" i="17"/>
  <c r="AC89" i="17"/>
  <c r="Q90" i="17" l="1"/>
  <c r="S90" i="17" s="1"/>
  <c r="T90" i="17" s="1"/>
  <c r="AD89" i="17"/>
  <c r="K90" i="17" s="1"/>
  <c r="AT89" i="17"/>
  <c r="AF89" i="17" l="1"/>
  <c r="AG89" i="17" s="1"/>
  <c r="M90" i="17"/>
  <c r="N90" i="17" s="1"/>
  <c r="X90" i="17" l="1"/>
  <c r="Z90" i="17" s="1"/>
  <c r="AU90" i="17"/>
  <c r="U90" i="17" s="1"/>
  <c r="V90" i="17"/>
  <c r="W90" i="17" l="1"/>
  <c r="AE90" i="17" s="1"/>
  <c r="BG90" i="17" l="1"/>
  <c r="BD91" i="17" s="1"/>
  <c r="BE91" i="17" s="1"/>
  <c r="BF91" i="17" s="1"/>
  <c r="AV90" i="17"/>
  <c r="BK90" i="17"/>
  <c r="BH91" i="17" s="1"/>
  <c r="BI91" i="17" s="1"/>
  <c r="AA90" i="17"/>
  <c r="AB91" i="17" s="1"/>
  <c r="Y91" i="17" l="1"/>
  <c r="AC90" i="17"/>
  <c r="AD90" i="17" s="1"/>
  <c r="AT90" i="17" l="1"/>
  <c r="Q91" i="17"/>
  <c r="S91" i="17" s="1"/>
  <c r="T91" i="17" s="1"/>
  <c r="K91" i="17"/>
  <c r="M91" i="17" s="1"/>
  <c r="AF90" i="17"/>
  <c r="AG90" i="17" s="1"/>
  <c r="N91" i="17" l="1"/>
  <c r="X91" i="17" s="1"/>
  <c r="Z91" i="17" s="1"/>
  <c r="AU91" i="17" l="1"/>
  <c r="U91" i="17" s="1"/>
  <c r="V91" i="17"/>
  <c r="W91" i="17" l="1"/>
  <c r="AV91" i="17" s="1"/>
  <c r="BG91" i="17" l="1"/>
  <c r="BD92" i="17" s="1"/>
  <c r="BE92" i="17" s="1"/>
  <c r="BF92" i="17" s="1"/>
  <c r="AE91" i="17"/>
  <c r="AA91" i="17"/>
  <c r="AB92" i="17" s="1"/>
  <c r="BK91" i="17"/>
  <c r="BH92" i="17" s="1"/>
  <c r="BI92" i="17" s="1"/>
  <c r="Y92" i="17" l="1"/>
  <c r="AC91" i="17"/>
  <c r="Q92" i="17" s="1"/>
  <c r="S92" i="17" s="1"/>
  <c r="AD91" i="17" l="1"/>
  <c r="AT91" i="17"/>
  <c r="T92" i="17"/>
  <c r="AF91" i="17" l="1"/>
  <c r="AG91" i="17" s="1"/>
  <c r="K92" i="17"/>
  <c r="M92" i="17" s="1"/>
  <c r="N92" i="17" l="1"/>
  <c r="X92" i="17" s="1"/>
  <c r="Z92" i="17" s="1"/>
  <c r="AU92" i="17" l="1"/>
  <c r="U92" i="17" s="1"/>
  <c r="V92" i="17"/>
  <c r="W92" i="17" l="1"/>
  <c r="AE92" i="17" s="1"/>
  <c r="BG92" i="17" l="1"/>
  <c r="BD93" i="17" s="1"/>
  <c r="BE93" i="17" s="1"/>
  <c r="BF93" i="17" s="1"/>
  <c r="AA92" i="17"/>
  <c r="AB93" i="17" s="1"/>
  <c r="BK92" i="17"/>
  <c r="BH93" i="17" s="1"/>
  <c r="BI93" i="17" s="1"/>
  <c r="AV92" i="17"/>
  <c r="AC92" i="17" l="1"/>
  <c r="Q93" i="17" s="1"/>
  <c r="S93" i="17" s="1"/>
  <c r="T93" i="17" s="1"/>
  <c r="Y93" i="17"/>
  <c r="AD92" i="17" l="1"/>
  <c r="K93" i="17" s="1"/>
  <c r="M93" i="17" s="1"/>
  <c r="N93" i="17" s="1"/>
  <c r="X93" i="17" s="1"/>
  <c r="Z93" i="17" s="1"/>
  <c r="AT92" i="17"/>
  <c r="V93" i="17"/>
  <c r="AF92" i="17" l="1"/>
  <c r="AG92" i="17" s="1"/>
  <c r="AU93" i="17"/>
  <c r="U93" i="17" s="1"/>
  <c r="W93" i="17" s="1"/>
  <c r="BK93" i="17" l="1"/>
  <c r="BH94" i="17" s="1"/>
  <c r="BI94" i="17" s="1"/>
  <c r="AE93" i="17"/>
  <c r="BG93" i="17"/>
  <c r="BD94" i="17" s="1"/>
  <c r="AA93" i="17"/>
  <c r="AV93" i="17"/>
  <c r="Y94" i="17" l="1"/>
  <c r="AB94" i="17"/>
  <c r="AC93" i="17"/>
  <c r="BE94" i="17"/>
  <c r="BF94" i="17" s="1"/>
  <c r="AT93" i="17" l="1"/>
  <c r="Q94" i="17"/>
  <c r="AD93" i="17"/>
  <c r="AF93" i="17" l="1"/>
  <c r="AG93" i="17" s="1"/>
  <c r="K94" i="17"/>
  <c r="S94" i="17" l="1"/>
  <c r="T94" i="17" s="1"/>
  <c r="M94" i="17"/>
  <c r="N94" i="17" s="1"/>
  <c r="AU94" i="17" l="1"/>
  <c r="X94" i="17"/>
  <c r="Z94" i="17" s="1"/>
  <c r="V94" i="17" l="1"/>
  <c r="U94" i="17"/>
  <c r="W94" i="17" l="1"/>
  <c r="AV94" i="17" s="1"/>
  <c r="BG94" i="17" l="1"/>
  <c r="BD95" i="17" s="1"/>
  <c r="BE95" i="17" s="1"/>
  <c r="BF95" i="17" s="1"/>
  <c r="AE94" i="17"/>
  <c r="BK94" i="17"/>
  <c r="BH95" i="17" s="1"/>
  <c r="BI95" i="17" s="1"/>
  <c r="AA94" i="17"/>
  <c r="AC94" i="17" s="1"/>
  <c r="Q95" i="17" l="1"/>
  <c r="S95" i="17" s="1"/>
  <c r="T95" i="17" s="1"/>
  <c r="AT94" i="17"/>
  <c r="AD94" i="17"/>
  <c r="AF94" i="17" s="1"/>
  <c r="AG94" i="17" s="1"/>
  <c r="AB95" i="17"/>
  <c r="Y95" i="17"/>
  <c r="K95" i="17" l="1"/>
  <c r="M95" i="17" s="1"/>
  <c r="N95" i="17" l="1"/>
  <c r="AU95" i="17" s="1"/>
  <c r="U95" i="17" s="1"/>
  <c r="X95" i="17" l="1"/>
  <c r="Z95" i="17" s="1"/>
  <c r="V95" i="17"/>
  <c r="W95" i="17" s="1"/>
  <c r="AE95" i="17" l="1"/>
  <c r="BG95" i="17"/>
  <c r="BD96" i="17" s="1"/>
  <c r="BE96" i="17" s="1"/>
  <c r="BF96" i="17" s="1"/>
  <c r="BK95" i="17"/>
  <c r="BH96" i="17" s="1"/>
  <c r="BI96" i="17" s="1"/>
  <c r="AA95" i="17"/>
  <c r="AB96" i="17" s="1"/>
  <c r="AV95" i="17"/>
  <c r="Y96" i="17" l="1"/>
  <c r="AC95" i="17"/>
  <c r="Q96" i="17" s="1"/>
  <c r="AD95" i="17" l="1"/>
  <c r="K96" i="17" s="1"/>
  <c r="S96" i="17"/>
  <c r="T96" i="17" s="1"/>
  <c r="AT95" i="17"/>
  <c r="AF95" i="17" l="1"/>
  <c r="AG95" i="17" s="1"/>
  <c r="M96" i="17"/>
  <c r="N96" i="17" s="1"/>
  <c r="AU96" i="17" s="1"/>
  <c r="X96" i="17" l="1"/>
  <c r="Z96" i="17" s="1"/>
  <c r="U96" i="17"/>
  <c r="V96" i="17"/>
  <c r="W96" i="17" l="1"/>
  <c r="BK96" i="17" s="1"/>
  <c r="BH97" i="17" s="1"/>
  <c r="BI97" i="17" s="1"/>
  <c r="BG96" i="17" l="1"/>
  <c r="BD97" i="17" s="1"/>
  <c r="BE97" i="17" s="1"/>
  <c r="BF97" i="17" s="1"/>
  <c r="AE96" i="17"/>
  <c r="AV96" i="17"/>
  <c r="AA96" i="17"/>
  <c r="AB97" i="17" s="1"/>
  <c r="Y97" i="17" l="1"/>
  <c r="AC96" i="17"/>
  <c r="Q97" i="17" s="1"/>
  <c r="AT96" i="17" l="1"/>
  <c r="AD96" i="17"/>
  <c r="K97" i="17" s="1"/>
  <c r="M97" i="17" s="1"/>
  <c r="N97" i="17" s="1"/>
  <c r="AU97" i="17" s="1"/>
  <c r="S97" i="17"/>
  <c r="T97" i="17" s="1"/>
  <c r="AF96" i="17" l="1"/>
  <c r="AG96" i="17" s="1"/>
  <c r="X97" i="17"/>
  <c r="Z97" i="17" s="1"/>
  <c r="V97" i="17"/>
  <c r="U97" i="17"/>
  <c r="W97" i="17" l="1"/>
  <c r="BG97" i="17" s="1"/>
  <c r="BD98" i="17" s="1"/>
  <c r="BE98" i="17" s="1"/>
  <c r="BF98" i="17" s="1"/>
  <c r="AE97" i="17" l="1"/>
  <c r="BK97" i="17"/>
  <c r="BH98" i="17" s="1"/>
  <c r="BI98" i="17" s="1"/>
  <c r="AA97" i="17"/>
  <c r="AC97" i="17" s="1"/>
  <c r="Q98" i="17" s="1"/>
  <c r="AV97" i="17"/>
  <c r="Y98" i="17" l="1"/>
  <c r="AB98" i="17"/>
  <c r="AT97" i="17"/>
  <c r="AD97" i="17"/>
  <c r="K98" i="17" s="1"/>
  <c r="AF97" i="17" l="1"/>
  <c r="AG97" i="17" s="1"/>
  <c r="S98" i="17"/>
  <c r="T98" i="17" s="1"/>
  <c r="M98" i="17"/>
  <c r="N98" i="17" s="1"/>
  <c r="AU98" i="17" l="1"/>
  <c r="X98" i="17"/>
  <c r="Z98" i="17" s="1"/>
  <c r="V98" i="17" l="1"/>
  <c r="U98" i="17"/>
  <c r="W98" i="17" l="1"/>
  <c r="BK98" i="17" s="1"/>
  <c r="BH99" i="17" s="1"/>
  <c r="BI99" i="17" s="1"/>
  <c r="AV98" i="17" l="1"/>
  <c r="AA98" i="17"/>
  <c r="AB99" i="17" s="1"/>
  <c r="BG98" i="17"/>
  <c r="BD99" i="17" s="1"/>
  <c r="BE99" i="17" s="1"/>
  <c r="BF99" i="17" s="1"/>
  <c r="AE98" i="17"/>
  <c r="Y99" i="17" l="1"/>
  <c r="AC98" i="17"/>
  <c r="Q99" i="17" s="1"/>
  <c r="AT98" i="17" l="1"/>
  <c r="AD98" i="17"/>
  <c r="K99" i="17" s="1"/>
  <c r="AF98" i="17" l="1"/>
  <c r="AG98" i="17" s="1"/>
  <c r="H6" i="17" s="1"/>
  <c r="S99" i="17"/>
  <c r="T99" i="17" s="1"/>
  <c r="M99" i="17"/>
  <c r="N99" i="17" l="1"/>
  <c r="L23" i="13"/>
  <c r="M24" i="13"/>
  <c r="Q23" i="13"/>
  <c r="L6" i="13"/>
  <c r="AU99" i="17" l="1"/>
  <c r="U99" i="17" s="1"/>
  <c r="V99" i="17"/>
  <c r="X99" i="17"/>
  <c r="Z99" i="17" s="1"/>
  <c r="W99" i="17" l="1"/>
  <c r="BK99" i="17" s="1"/>
  <c r="BH100" i="17" s="1"/>
  <c r="BI100" i="17" s="1"/>
  <c r="BG99" i="17" l="1"/>
  <c r="BD100" i="17" s="1"/>
  <c r="BE100" i="17" s="1"/>
  <c r="BF100" i="17" s="1"/>
  <c r="AE99" i="17"/>
  <c r="AA99" i="17"/>
  <c r="AV99" i="17"/>
  <c r="AC99" i="17" l="1"/>
  <c r="Q100" i="17" s="1"/>
  <c r="AB100" i="17"/>
  <c r="Y100" i="17"/>
  <c r="AD99" i="17" l="1"/>
  <c r="K100" i="17" s="1"/>
  <c r="AT99" i="17"/>
  <c r="AF99" i="17" l="1"/>
  <c r="AG99" i="17" s="1"/>
  <c r="S100" i="17"/>
  <c r="T100" i="17" s="1"/>
  <c r="M100" i="17"/>
  <c r="N100" i="17" s="1"/>
  <c r="AU100" i="17" l="1"/>
  <c r="X100" i="17"/>
  <c r="Z100" i="17" s="1"/>
  <c r="V100" i="17" l="1"/>
  <c r="U100" i="17"/>
  <c r="W100" i="17" l="1"/>
  <c r="BK100" i="17" s="1"/>
  <c r="BH101" i="17" s="1"/>
  <c r="BI101" i="17" s="1"/>
  <c r="AV100" i="17" l="1"/>
  <c r="AA100" i="17"/>
  <c r="AB101" i="17" s="1"/>
  <c r="BG100" i="17"/>
  <c r="BD101" i="17" s="1"/>
  <c r="BE101" i="17" s="1"/>
  <c r="BF101" i="17" s="1"/>
  <c r="AE100" i="17"/>
  <c r="AC100" i="17" l="1"/>
  <c r="Q101" i="17" s="1"/>
  <c r="Y101" i="17"/>
  <c r="AT100" i="17" l="1"/>
  <c r="AD100" i="17"/>
  <c r="K101" i="17" s="1"/>
  <c r="AF100" i="17" l="1"/>
  <c r="AG100" i="17" s="1"/>
  <c r="S101" i="17"/>
  <c r="T101" i="17" s="1"/>
  <c r="M101" i="17"/>
  <c r="N101" i="17" s="1"/>
  <c r="AU101" i="17" l="1"/>
  <c r="U101" i="17" s="1"/>
  <c r="X101" i="17"/>
  <c r="V101" i="17" l="1"/>
  <c r="W101" i="17" s="1"/>
  <c r="BG101" i="17" s="1"/>
  <c r="BD102" i="17" s="1"/>
  <c r="Z101" i="17"/>
  <c r="AV101" i="17" l="1"/>
  <c r="AA101" i="17"/>
  <c r="BK101" i="17"/>
  <c r="BH102" i="17" s="1"/>
  <c r="BI102" i="17" s="1"/>
  <c r="AE101" i="17"/>
  <c r="BE102" i="17"/>
  <c r="BF102" i="17" s="1"/>
  <c r="AC101" i="17" l="1"/>
  <c r="AT101" i="17" s="1"/>
  <c r="AB102" i="17"/>
  <c r="Y102" i="17"/>
  <c r="AD101" i="17" l="1"/>
  <c r="AF101" i="17" s="1"/>
  <c r="AG101" i="17" s="1"/>
  <c r="Q102" i="17"/>
  <c r="K102" i="17" l="1"/>
  <c r="M102" i="17" s="1"/>
  <c r="S102" i="17"/>
  <c r="T102" i="17" s="1"/>
  <c r="N102" i="17" l="1"/>
  <c r="AU102" i="17" s="1"/>
  <c r="X102" i="17" l="1"/>
  <c r="Z102" i="17" s="1"/>
  <c r="V102" i="17"/>
  <c r="U102" i="17"/>
  <c r="W102" i="17" l="1"/>
  <c r="BK102" i="17" s="1"/>
  <c r="BH103" i="17" s="1"/>
  <c r="BI103" i="17" s="1"/>
  <c r="BG102" i="17" l="1"/>
  <c r="BD103" i="17" s="1"/>
  <c r="BE103" i="17" s="1"/>
  <c r="BF103" i="17" s="1"/>
  <c r="AV102" i="17"/>
  <c r="AA102" i="17"/>
  <c r="AC102" i="17" s="1"/>
  <c r="AT102" i="17" s="1"/>
  <c r="AE102" i="17"/>
  <c r="Y103" i="17" l="1"/>
  <c r="AB103" i="17"/>
  <c r="AD102" i="17"/>
  <c r="AF102" i="17" s="1"/>
  <c r="AG102" i="17" s="1"/>
  <c r="Q103" i="17"/>
  <c r="S103" i="17" s="1"/>
  <c r="T103" i="17" s="1"/>
  <c r="K103" i="17" l="1"/>
  <c r="M103" i="17" s="1"/>
  <c r="N103" i="17" s="1"/>
  <c r="AU103" i="17" s="1"/>
  <c r="X103" i="17" l="1"/>
  <c r="Z103" i="17" s="1"/>
  <c r="U103" i="17"/>
  <c r="V103" i="17" l="1"/>
  <c r="W103" i="17" s="1"/>
  <c r="BG103" i="17" s="1"/>
  <c r="BD104" i="17" s="1"/>
  <c r="BE104" i="17" l="1"/>
  <c r="BF104" i="17" s="1"/>
  <c r="AA103" i="17"/>
  <c r="AB104" i="17" s="1"/>
  <c r="AE103" i="17"/>
  <c r="BK103" i="17"/>
  <c r="BH104" i="17" s="1"/>
  <c r="BI104" i="17" s="1"/>
  <c r="AV103" i="17"/>
  <c r="AC103" i="17" l="1"/>
  <c r="AD103" i="17" s="1"/>
  <c r="K104" i="17" s="1"/>
  <c r="Y104" i="17"/>
  <c r="AT103" i="17" l="1"/>
  <c r="Q104" i="17"/>
  <c r="S104" i="17" s="1"/>
  <c r="T104" i="17" s="1"/>
  <c r="AF103" i="17"/>
  <c r="AG103" i="17" s="1"/>
  <c r="M104" i="17"/>
  <c r="N104" i="17" s="1"/>
  <c r="AU104" i="17" l="1"/>
  <c r="X104" i="17"/>
  <c r="Z104" i="17" s="1"/>
  <c r="V104" i="17" l="1"/>
  <c r="U104" i="17"/>
  <c r="W104" i="17" l="1"/>
  <c r="BK104" i="17" s="1"/>
  <c r="BH105" i="17" s="1"/>
  <c r="BI105" i="17" s="1"/>
  <c r="BG104" i="17" l="1"/>
  <c r="BD105" i="17" s="1"/>
  <c r="BE105" i="17" s="1"/>
  <c r="BF105" i="17" s="1"/>
  <c r="AA104" i="17"/>
  <c r="AC104" i="17" s="1"/>
  <c r="Q105" i="17" s="1"/>
  <c r="AE104" i="17"/>
  <c r="AV104" i="17"/>
  <c r="Y105" i="17" l="1"/>
  <c r="AB105" i="17"/>
  <c r="AD104" i="17"/>
  <c r="AF104" i="17" s="1"/>
  <c r="AG104" i="17" s="1"/>
  <c r="AT104" i="17"/>
  <c r="K105" i="17" l="1"/>
  <c r="M105" i="17" s="1"/>
  <c r="S105" i="17"/>
  <c r="T105" i="17" s="1"/>
  <c r="N105" i="17" l="1"/>
  <c r="X105" i="17" s="1"/>
  <c r="Z105" i="17" s="1"/>
  <c r="AU105" i="17" l="1"/>
  <c r="U105" i="17" s="1"/>
  <c r="V105" i="17"/>
  <c r="W105" i="17" l="1"/>
  <c r="BK105" i="17" s="1"/>
  <c r="BH106" i="17" s="1"/>
  <c r="BI106" i="17" s="1"/>
  <c r="AA105" i="17" l="1"/>
  <c r="AB106" i="17" s="1"/>
  <c r="BG105" i="17"/>
  <c r="BD106" i="17" s="1"/>
  <c r="BE106" i="17" s="1"/>
  <c r="BF106" i="17" s="1"/>
  <c r="AE105" i="17"/>
  <c r="AV105" i="17"/>
  <c r="AC105" i="17"/>
  <c r="Q106" i="17" s="1"/>
  <c r="Y106" i="17"/>
  <c r="AD105" i="17" l="1"/>
  <c r="AT105" i="17"/>
  <c r="AF105" i="17" l="1"/>
  <c r="AG105" i="17" s="1"/>
  <c r="K106" i="17"/>
  <c r="S106" i="17" l="1"/>
  <c r="T106" i="17" s="1"/>
  <c r="M106" i="17"/>
  <c r="N106" i="17" s="1"/>
  <c r="AU106" i="17" l="1"/>
  <c r="X106" i="17"/>
  <c r="Z106" i="17" s="1"/>
  <c r="V106" i="17" l="1"/>
  <c r="U106" i="17"/>
  <c r="W106" i="17" l="1"/>
  <c r="BK106" i="17" s="1"/>
  <c r="BH107" i="17" s="1"/>
  <c r="BI107" i="17" s="1"/>
  <c r="AV106" i="17" l="1"/>
  <c r="AA106" i="17"/>
  <c r="AB107" i="17" s="1"/>
  <c r="BG106" i="17"/>
  <c r="BD107" i="17" s="1"/>
  <c r="BE107" i="17" s="1"/>
  <c r="BF107" i="17" s="1"/>
  <c r="AE106" i="17"/>
  <c r="AC106" i="17" l="1"/>
  <c r="Q107" i="17" s="1"/>
  <c r="Y107" i="17"/>
  <c r="AT106" i="17" l="1"/>
  <c r="AD106" i="17"/>
  <c r="K107" i="17" s="1"/>
  <c r="AF106" i="17" l="1"/>
  <c r="AG106" i="17" s="1"/>
  <c r="S107" i="17"/>
  <c r="T107" i="17" s="1"/>
  <c r="M107" i="17"/>
  <c r="N107" i="17" s="1"/>
  <c r="AU107" i="17" l="1"/>
  <c r="X107" i="17"/>
  <c r="Z107" i="17" s="1"/>
  <c r="V107" i="17" l="1"/>
  <c r="U107" i="17"/>
  <c r="W107" i="17" l="1"/>
  <c r="BK107" i="17" s="1"/>
  <c r="BH108" i="17" s="1"/>
  <c r="BI108" i="17" s="1"/>
  <c r="AV107" i="17" l="1"/>
  <c r="AA107" i="17"/>
  <c r="AB108" i="17" s="1"/>
  <c r="BG107" i="17"/>
  <c r="BD108" i="17" s="1"/>
  <c r="BE108" i="17" s="1"/>
  <c r="BF108" i="17" s="1"/>
  <c r="AE107" i="17"/>
  <c r="Y108" i="17" l="1"/>
  <c r="AC107" i="17"/>
  <c r="Q108" i="17" s="1"/>
  <c r="AT107" i="17" l="1"/>
  <c r="AD107" i="17"/>
  <c r="K108" i="17" s="1"/>
  <c r="AF107" i="17" l="1"/>
  <c r="AG107" i="17" s="1"/>
  <c r="S108" i="17"/>
  <c r="T108" i="17" s="1"/>
  <c r="M108" i="17"/>
  <c r="N108" i="17" l="1"/>
  <c r="X108" i="17" s="1"/>
  <c r="Z108" i="17" s="1"/>
  <c r="AU108" i="17" l="1"/>
  <c r="V108" i="17" s="1"/>
  <c r="U108" i="17" l="1"/>
  <c r="W108" i="17" s="1"/>
  <c r="BG108" i="17" s="1"/>
  <c r="BD109" i="17" s="1"/>
  <c r="BE109" i="17" s="1"/>
  <c r="BF109" i="17" s="1"/>
  <c r="AA108" i="17" l="1"/>
  <c r="AB109" i="17" s="1"/>
  <c r="BK108" i="17"/>
  <c r="BH109" i="17" s="1"/>
  <c r="BI109" i="17" s="1"/>
  <c r="AE108" i="17"/>
  <c r="AV108" i="17"/>
  <c r="Y109" i="17" l="1"/>
  <c r="AC108" i="17"/>
  <c r="Q109" i="17" s="1"/>
  <c r="AT108" i="17" l="1"/>
  <c r="AD108" i="17"/>
  <c r="K109" i="17" s="1"/>
  <c r="M109" i="17" s="1"/>
  <c r="S109" i="17"/>
  <c r="T109" i="17" s="1"/>
  <c r="AF108" i="17" l="1"/>
  <c r="AG108" i="17" s="1"/>
  <c r="N109" i="17"/>
  <c r="X109" i="17" s="1"/>
  <c r="Z109" i="17" s="1"/>
  <c r="AU109" i="17" l="1"/>
  <c r="V109" i="17"/>
  <c r="U109" i="17"/>
  <c r="W109" i="17" l="1"/>
  <c r="BK109" i="17" s="1"/>
  <c r="BH110" i="17" s="1"/>
  <c r="BI110" i="17" s="1"/>
  <c r="AA109" i="17" l="1"/>
  <c r="AB110" i="17" s="1"/>
  <c r="AV109" i="17"/>
  <c r="BG109" i="17"/>
  <c r="BD110" i="17" s="1"/>
  <c r="BE110" i="17" s="1"/>
  <c r="BF110" i="17" s="1"/>
  <c r="AE109" i="17"/>
  <c r="AC109" i="17" l="1"/>
  <c r="Q110" i="17" s="1"/>
  <c r="Y110" i="17"/>
  <c r="AT109" i="17" l="1"/>
  <c r="AD109" i="17"/>
  <c r="AF109" i="17" s="1"/>
  <c r="AG109" i="17" s="1"/>
  <c r="K110" i="17" l="1"/>
  <c r="M110" i="17" s="1"/>
  <c r="N110" i="17" s="1"/>
  <c r="AU110" i="17" s="1"/>
  <c r="S110" i="17"/>
  <c r="T110" i="17" s="1"/>
  <c r="V110" i="17" l="1"/>
  <c r="U110" i="17"/>
  <c r="X110" i="17"/>
  <c r="Z110" i="17" s="1"/>
  <c r="W110" i="17" l="1"/>
  <c r="BK110" i="17" l="1"/>
  <c r="BH111" i="17" s="1"/>
  <c r="BI111" i="17" s="1"/>
  <c r="AE110" i="17"/>
  <c r="BG110" i="17"/>
  <c r="BD111" i="17" s="1"/>
  <c r="AA110" i="17"/>
  <c r="AB111" i="17" s="1"/>
  <c r="AV110" i="17"/>
  <c r="BE111" i="17" l="1"/>
  <c r="BF111" i="17" s="1"/>
  <c r="Y111" i="17"/>
  <c r="AC110" i="17"/>
  <c r="Q111" i="17" s="1"/>
  <c r="AT110" i="17" l="1"/>
  <c r="AD110" i="17"/>
  <c r="K111" i="17" s="1"/>
  <c r="AF110" i="17" l="1"/>
  <c r="AG110" i="17" s="1"/>
  <c r="S111" i="17" l="1"/>
  <c r="T111" i="17" s="1"/>
  <c r="M111" i="17"/>
  <c r="H7" i="17"/>
  <c r="N111" i="17" l="1"/>
  <c r="X111" i="17" s="1"/>
  <c r="Z111" i="17" s="1"/>
  <c r="L24" i="13"/>
  <c r="M25" i="13"/>
  <c r="Q24" i="13"/>
  <c r="AU111" i="17" l="1"/>
  <c r="U111" i="17"/>
  <c r="V111" i="17"/>
  <c r="W111" i="17" l="1"/>
  <c r="BK111" i="17" s="1"/>
  <c r="BH112" i="17" s="1"/>
  <c r="BI112" i="17" s="1"/>
  <c r="AV111" i="17" l="1"/>
  <c r="BG111" i="17"/>
  <c r="BD112" i="17" s="1"/>
  <c r="BE112" i="17" s="1"/>
  <c r="BF112" i="17" s="1"/>
  <c r="AE111" i="17"/>
  <c r="AA111" i="17"/>
  <c r="Y112" i="17" l="1"/>
  <c r="AB112" i="17"/>
  <c r="AC111" i="17"/>
  <c r="AT111" i="17" s="1"/>
  <c r="AD111" i="17" l="1"/>
  <c r="K112" i="17" s="1"/>
  <c r="Q112" i="17"/>
  <c r="AF111" i="17" l="1"/>
  <c r="AG111" i="17" s="1"/>
  <c r="S112" i="17"/>
  <c r="T112" i="17" s="1"/>
  <c r="M112" i="17"/>
  <c r="N112" i="17" s="1"/>
  <c r="X112" i="17" l="1"/>
  <c r="Z112" i="17" s="1"/>
  <c r="AU112" i="17"/>
  <c r="V112" i="17" s="1"/>
  <c r="U112" i="17" l="1"/>
  <c r="W112" i="17" s="1"/>
  <c r="BK112" i="17" l="1"/>
  <c r="BH113" i="17" s="1"/>
  <c r="BI113" i="17" s="1"/>
  <c r="BG112" i="17"/>
  <c r="BD113" i="17" s="1"/>
  <c r="BE113" i="17" s="1"/>
  <c r="BF113" i="17" s="1"/>
  <c r="AV112" i="17"/>
  <c r="AE112" i="17"/>
  <c r="AA112" i="17"/>
  <c r="AB113" i="17" s="1"/>
  <c r="Y113" i="17" l="1"/>
  <c r="AC112" i="17"/>
  <c r="Q113" i="17" s="1"/>
  <c r="AT112" i="17" l="1"/>
  <c r="AD112" i="17"/>
  <c r="S113" i="17"/>
  <c r="T113" i="17" s="1"/>
  <c r="AF112" i="17" l="1"/>
  <c r="AG112" i="17" s="1"/>
  <c r="K113" i="17"/>
  <c r="M113" i="17" s="1"/>
  <c r="N113" i="17" l="1"/>
  <c r="X113" i="17" s="1"/>
  <c r="Z113" i="17" s="1"/>
  <c r="AU113" i="17" l="1"/>
  <c r="U113" i="17" s="1"/>
  <c r="V113" i="17"/>
  <c r="W113" i="17" l="1"/>
  <c r="BG113" i="17" s="1"/>
  <c r="BD114" i="17" s="1"/>
  <c r="BE114" i="17" s="1"/>
  <c r="BF114" i="17" s="1"/>
  <c r="AE113" i="17" l="1"/>
  <c r="AA113" i="17"/>
  <c r="AB114" i="17" s="1"/>
  <c r="BK113" i="17"/>
  <c r="BH114" i="17" s="1"/>
  <c r="BI114" i="17" s="1"/>
  <c r="AV113" i="17"/>
  <c r="Y114" i="17" l="1"/>
  <c r="AC113" i="17"/>
  <c r="Q114" i="17" s="1"/>
  <c r="AD113" i="17" l="1"/>
  <c r="K114" i="17" s="1"/>
  <c r="M114" i="17" s="1"/>
  <c r="AT113" i="17"/>
  <c r="S114" i="17"/>
  <c r="T114" i="17" s="1"/>
  <c r="AF113" i="17" l="1"/>
  <c r="AG113" i="17" s="1"/>
  <c r="N114" i="17"/>
  <c r="AU114" i="17" l="1"/>
  <c r="U114" i="17" s="1"/>
  <c r="X114" i="17"/>
  <c r="Z114" i="17" s="1"/>
  <c r="V114" i="17" l="1"/>
  <c r="W114" i="17" s="1"/>
  <c r="BK114" i="17" l="1"/>
  <c r="BH115" i="17" s="1"/>
  <c r="BI115" i="17" s="1"/>
  <c r="AA114" i="17"/>
  <c r="AB115" i="17" s="1"/>
  <c r="BG114" i="17"/>
  <c r="BD115" i="17" s="1"/>
  <c r="AV114" i="17"/>
  <c r="AE114" i="17"/>
  <c r="BE115" i="17" l="1"/>
  <c r="BF115" i="17" s="1"/>
  <c r="Y115" i="17"/>
  <c r="AC114" i="17"/>
  <c r="Q115" i="17" s="1"/>
  <c r="AD114" i="17" l="1"/>
  <c r="AT114" i="17"/>
  <c r="S115" i="17" l="1"/>
  <c r="T115" i="17" s="1"/>
  <c r="K115" i="17"/>
  <c r="AF114" i="17"/>
  <c r="AG114" i="17" s="1"/>
  <c r="M115" i="17" l="1"/>
  <c r="N115" i="17" s="1"/>
  <c r="X115" i="17" s="1"/>
  <c r="Z115" i="17" s="1"/>
  <c r="AU115" i="17" l="1"/>
  <c r="U115" i="17" s="1"/>
  <c r="V115" i="17" l="1"/>
  <c r="W115" i="17" s="1"/>
  <c r="AE115" i="17" l="1"/>
  <c r="AV115" i="17"/>
  <c r="BK115" i="17"/>
  <c r="BH116" i="17" s="1"/>
  <c r="BI116" i="17" s="1"/>
  <c r="AA115" i="17"/>
  <c r="AB116" i="17" s="1"/>
  <c r="BG115" i="17"/>
  <c r="BD116" i="17" s="1"/>
  <c r="BE116" i="17" s="1"/>
  <c r="BF116" i="17" s="1"/>
  <c r="Y116" i="17" l="1"/>
  <c r="AC115" i="17"/>
  <c r="Q116" i="17" s="1"/>
  <c r="AD115" i="17" l="1"/>
  <c r="K116" i="17" s="1"/>
  <c r="AT115" i="17"/>
  <c r="M116" i="17" l="1"/>
  <c r="S116" i="17"/>
  <c r="T116" i="17" s="1"/>
  <c r="AF115" i="17"/>
  <c r="AG115" i="17" s="1"/>
  <c r="N116" i="17" l="1"/>
  <c r="AU116" i="17" s="1"/>
  <c r="U116" i="17" s="1"/>
  <c r="X116" i="17" l="1"/>
  <c r="V116" i="17"/>
  <c r="W116" i="17" s="1"/>
  <c r="BG116" i="17" l="1"/>
  <c r="BD117" i="17" s="1"/>
  <c r="BE117" i="17" s="1"/>
  <c r="BF117" i="17" s="1"/>
  <c r="AV116" i="17"/>
  <c r="AA116" i="17"/>
  <c r="AB117" i="17" s="1"/>
  <c r="BK116" i="17"/>
  <c r="BH117" i="17" s="1"/>
  <c r="BI117" i="17" s="1"/>
  <c r="AE116" i="17"/>
  <c r="Z116" i="17"/>
  <c r="Y117" i="17" l="1"/>
  <c r="AC116" i="17"/>
  <c r="Q117" i="17" s="1"/>
  <c r="AD116" i="17" l="1"/>
  <c r="AT116" i="17"/>
  <c r="AF116" i="17" l="1"/>
  <c r="AG116" i="17" s="1"/>
  <c r="K117" i="17"/>
  <c r="M117" i="17" s="1"/>
  <c r="S117" i="17"/>
  <c r="T117" i="17" s="1"/>
  <c r="N117" i="17" l="1"/>
  <c r="AU117" i="17" s="1"/>
  <c r="X117" i="17" l="1"/>
  <c r="Z117" i="17" s="1"/>
  <c r="U117" i="17"/>
  <c r="V117" i="17"/>
  <c r="W117" i="17" l="1"/>
  <c r="AA117" i="17" s="1"/>
  <c r="BG117" i="17" l="1"/>
  <c r="BD118" i="17" s="1"/>
  <c r="BE118" i="17" s="1"/>
  <c r="BF118" i="17" s="1"/>
  <c r="BK117" i="17"/>
  <c r="BH118" i="17" s="1"/>
  <c r="BI118" i="17" s="1"/>
  <c r="AE117" i="17"/>
  <c r="AV117" i="17"/>
  <c r="AB118" i="17"/>
  <c r="Y118" i="17"/>
  <c r="AC117" i="17"/>
  <c r="Q118" i="17" s="1"/>
  <c r="AD117" i="17" l="1"/>
  <c r="K118" i="17" s="1"/>
  <c r="M118" i="17" s="1"/>
  <c r="N118" i="17" s="1"/>
  <c r="AT117" i="17"/>
  <c r="AF117" i="17" l="1"/>
  <c r="AG117" i="17" s="1"/>
  <c r="S118" i="17"/>
  <c r="T118" i="17" s="1"/>
  <c r="X118" i="17" s="1"/>
  <c r="Z118" i="17" s="1"/>
  <c r="AU118" i="17"/>
  <c r="U118" i="17" s="1"/>
  <c r="V118" i="17" l="1"/>
  <c r="W118" i="17" s="1"/>
  <c r="BG118" i="17" l="1"/>
  <c r="BD119" i="17" s="1"/>
  <c r="BE119" i="17" s="1"/>
  <c r="BF119" i="17" s="1"/>
  <c r="BK118" i="17"/>
  <c r="BH119" i="17" s="1"/>
  <c r="BI119" i="17" s="1"/>
  <c r="AV118" i="17"/>
  <c r="AA118" i="17"/>
  <c r="AB119" i="17" s="1"/>
  <c r="AE118" i="17"/>
  <c r="Y119" i="17" l="1"/>
  <c r="AC118" i="17"/>
  <c r="Q119" i="17" s="1"/>
  <c r="AD118" i="17" l="1"/>
  <c r="AT118" i="17"/>
  <c r="AF118" i="17" l="1"/>
  <c r="AG118" i="17" s="1"/>
  <c r="K119" i="17"/>
  <c r="M119" i="17" s="1"/>
  <c r="S119" i="17"/>
  <c r="T119" i="17" s="1"/>
  <c r="N119" i="17" l="1"/>
  <c r="AU119" i="17" s="1"/>
  <c r="U119" i="17" s="1"/>
  <c r="X119" i="17" l="1"/>
  <c r="Z119" i="17" s="1"/>
  <c r="V119" i="17"/>
  <c r="W119" i="17" s="1"/>
  <c r="BG119" i="17" l="1"/>
  <c r="BD120" i="17" s="1"/>
  <c r="BE120" i="17" s="1"/>
  <c r="BF120" i="17" s="1"/>
  <c r="AA119" i="17"/>
  <c r="AB120" i="17" s="1"/>
  <c r="AV119" i="17"/>
  <c r="BK119" i="17"/>
  <c r="BH120" i="17" s="1"/>
  <c r="BI120" i="17" s="1"/>
  <c r="AE119" i="17"/>
  <c r="Y120" i="17" l="1"/>
  <c r="AC119" i="17"/>
  <c r="Q120" i="17" s="1"/>
  <c r="AT119" i="17" l="1"/>
  <c r="AD119" i="17"/>
  <c r="S120" i="17" l="1"/>
  <c r="T120" i="17" s="1"/>
  <c r="K120" i="17"/>
  <c r="M120" i="17" s="1"/>
  <c r="N120" i="17" s="1"/>
  <c r="AF119" i="17"/>
  <c r="AG119" i="17" s="1"/>
  <c r="AU120" i="17" l="1"/>
  <c r="V120" i="17" s="1"/>
  <c r="U120" i="17"/>
  <c r="X120" i="17"/>
  <c r="Z120" i="17" s="1"/>
  <c r="W120" i="17" l="1"/>
  <c r="AE120" i="17" s="1"/>
  <c r="AV120" i="17" l="1"/>
  <c r="BG120" i="17"/>
  <c r="BD121" i="17" s="1"/>
  <c r="BE121" i="17" s="1"/>
  <c r="BF121" i="17" s="1"/>
  <c r="AA120" i="17"/>
  <c r="AB121" i="17" s="1"/>
  <c r="BK120" i="17"/>
  <c r="BH121" i="17" s="1"/>
  <c r="BI121" i="17" s="1"/>
  <c r="Y121" i="17" l="1"/>
  <c r="AC120" i="17"/>
  <c r="Q121" i="17" s="1"/>
  <c r="AT120" i="17" l="1"/>
  <c r="AD120" i="17"/>
  <c r="AF120" i="17" s="1"/>
  <c r="AG120" i="17" s="1"/>
  <c r="S121" i="17"/>
  <c r="T121" i="17" s="1"/>
  <c r="K121" i="17" l="1"/>
  <c r="M121" i="17" s="1"/>
  <c r="N121" i="17" s="1"/>
  <c r="X121" i="17" l="1"/>
  <c r="Z121" i="17" s="1"/>
  <c r="AU121" i="17"/>
  <c r="U121" i="17" s="1"/>
  <c r="V121" i="17" l="1"/>
  <c r="W121" i="17" s="1"/>
  <c r="AV121" i="17" l="1"/>
  <c r="BK121" i="17"/>
  <c r="BH122" i="17" s="1"/>
  <c r="BI122" i="17" s="1"/>
  <c r="AA121" i="17"/>
  <c r="AB122" i="17" s="1"/>
  <c r="BG121" i="17"/>
  <c r="BD122" i="17" s="1"/>
  <c r="BE122" i="17" s="1"/>
  <c r="BF122" i="17" s="1"/>
  <c r="AE121" i="17"/>
  <c r="AC121" i="17" l="1"/>
  <c r="Q122" i="17" s="1"/>
  <c r="Y122" i="17"/>
  <c r="AT121" i="17" l="1"/>
  <c r="AD121" i="17"/>
  <c r="AF121" i="17" l="1"/>
  <c r="AG121" i="17" s="1"/>
  <c r="K122" i="17"/>
  <c r="M122" i="17" s="1"/>
  <c r="S122" i="17"/>
  <c r="T122" i="17" s="1"/>
  <c r="N122" i="17" l="1"/>
  <c r="X122" i="17" s="1"/>
  <c r="Z122" i="17" s="1"/>
  <c r="AU122" i="17" l="1"/>
  <c r="U122" i="17" s="1"/>
  <c r="V122" i="17" l="1"/>
  <c r="W122" i="17" s="1"/>
  <c r="AV122" i="17" l="1"/>
  <c r="BG122" i="17"/>
  <c r="BD123" i="17" s="1"/>
  <c r="BE123" i="17" s="1"/>
  <c r="BF123" i="17" s="1"/>
  <c r="AE122" i="17"/>
  <c r="AA122" i="17"/>
  <c r="AB123" i="17" s="1"/>
  <c r="BK122" i="17"/>
  <c r="BH123" i="17" s="1"/>
  <c r="BI123" i="17" s="1"/>
  <c r="AC122" i="17" l="1"/>
  <c r="Q123" i="17" s="1"/>
  <c r="Y123" i="17"/>
  <c r="AT122" i="17" l="1"/>
  <c r="AD122" i="17"/>
  <c r="K123" i="17" s="1"/>
  <c r="S123" i="17"/>
  <c r="T123" i="17" s="1"/>
  <c r="AF122" i="17" l="1"/>
  <c r="AG122" i="17" s="1"/>
  <c r="M123" i="17"/>
  <c r="H8" i="17"/>
  <c r="L8" i="13" l="1"/>
  <c r="L25" i="13"/>
  <c r="M26" i="13"/>
  <c r="Q25" i="13"/>
  <c r="N123" i="17"/>
  <c r="AU123" i="17" s="1"/>
  <c r="U123" i="17" s="1"/>
  <c r="X123" i="17" l="1"/>
  <c r="Z123" i="17" s="1"/>
  <c r="V123" i="17"/>
  <c r="W123" i="17" s="1"/>
  <c r="AV123" i="17" l="1"/>
  <c r="BK123" i="17"/>
  <c r="BH124" i="17" s="1"/>
  <c r="BI124" i="17" s="1"/>
  <c r="AA123" i="17"/>
  <c r="BG123" i="17"/>
  <c r="BD124" i="17" s="1"/>
  <c r="BE124" i="17" s="1"/>
  <c r="BF124" i="17" s="1"/>
  <c r="AE123" i="17"/>
  <c r="AC123" i="17" l="1"/>
  <c r="Q124" i="17" s="1"/>
  <c r="AB124" i="17"/>
  <c r="Y124" i="17"/>
  <c r="AT123" i="17" l="1"/>
  <c r="AD123" i="17"/>
  <c r="AF123" i="17" s="1"/>
  <c r="AG123" i="17" s="1"/>
  <c r="S124" i="17"/>
  <c r="T124" i="17" s="1"/>
  <c r="K124" i="17" l="1"/>
  <c r="M124" i="17" s="1"/>
  <c r="N124" i="17" s="1"/>
  <c r="AU124" i="17" s="1"/>
  <c r="U124" i="17" s="1"/>
  <c r="X124" i="17" l="1"/>
  <c r="Z124" i="17" s="1"/>
  <c r="V124" i="17"/>
  <c r="W124" i="17" s="1"/>
  <c r="AE124" i="17" s="1"/>
  <c r="BK124" i="17" l="1"/>
  <c r="BH125" i="17" s="1"/>
  <c r="BI125" i="17" s="1"/>
  <c r="AA124" i="17"/>
  <c r="AB125" i="17" s="1"/>
  <c r="AV124" i="17"/>
  <c r="BG124" i="17"/>
  <c r="BD125" i="17" s="1"/>
  <c r="BE125" i="17" s="1"/>
  <c r="BF125" i="17" s="1"/>
  <c r="Y125" i="17" l="1"/>
  <c r="AC124" i="17"/>
  <c r="Q125" i="17" s="1"/>
  <c r="AT124" i="17" l="1"/>
  <c r="AD124" i="17"/>
  <c r="K125" i="17" s="1"/>
  <c r="S125" i="17"/>
  <c r="T125" i="17" s="1"/>
  <c r="AF124" i="17" l="1"/>
  <c r="AG124" i="17" s="1"/>
  <c r="M125" i="17"/>
  <c r="N125" i="17" s="1"/>
  <c r="X125" i="17" s="1"/>
  <c r="Z125" i="17" s="1"/>
  <c r="AU125" i="17" l="1"/>
  <c r="V125" i="17" s="1"/>
  <c r="U125" i="17" l="1"/>
  <c r="W125" i="17" s="1"/>
  <c r="BK125" i="17" l="1"/>
  <c r="BH126" i="17" s="1"/>
  <c r="BI126" i="17" s="1"/>
  <c r="AA125" i="17"/>
  <c r="AB126" i="17" s="1"/>
  <c r="BG125" i="17"/>
  <c r="BD126" i="17" s="1"/>
  <c r="AV125" i="17"/>
  <c r="AE125" i="17"/>
  <c r="BE126" i="17" l="1"/>
  <c r="BF126" i="17" s="1"/>
  <c r="AC125" i="17"/>
  <c r="Q126" i="17" s="1"/>
  <c r="Y126" i="17"/>
  <c r="AT125" i="17" l="1"/>
  <c r="AD125" i="17"/>
  <c r="K126" i="17" s="1"/>
  <c r="AF125" i="17" l="1"/>
  <c r="AG125" i="17" s="1"/>
  <c r="S126" i="17"/>
  <c r="T126" i="17" s="1"/>
  <c r="M126" i="17"/>
  <c r="N126" i="17" s="1"/>
  <c r="AU126" i="17" l="1"/>
  <c r="U126" i="17" s="1"/>
  <c r="X126" i="17"/>
  <c r="Z126" i="17" s="1"/>
  <c r="V126" i="17" l="1"/>
  <c r="W126" i="17" s="1"/>
  <c r="BK126" i="17" l="1"/>
  <c r="BH127" i="17" s="1"/>
  <c r="BI127" i="17" s="1"/>
  <c r="AV126" i="17"/>
  <c r="BG126" i="17"/>
  <c r="BD127" i="17" s="1"/>
  <c r="AA126" i="17"/>
  <c r="AB127" i="17" s="1"/>
  <c r="AE126" i="17"/>
  <c r="AC126" i="17" l="1"/>
  <c r="Q127" i="17" s="1"/>
  <c r="Y127" i="17"/>
  <c r="BE127" i="17"/>
  <c r="BF127" i="17" s="1"/>
  <c r="AD126" i="17" l="1"/>
  <c r="AT126" i="17"/>
  <c r="AF126" i="17" l="1"/>
  <c r="AG126" i="17" s="1"/>
  <c r="K127" i="17"/>
  <c r="M127" i="17" s="1"/>
  <c r="N127" i="17" s="1"/>
  <c r="S127" i="17"/>
  <c r="T127" i="17" s="1"/>
  <c r="AU127" i="17" l="1"/>
  <c r="V127" i="17" s="1"/>
  <c r="X127" i="17"/>
  <c r="Z127" i="17" s="1"/>
  <c r="U127" i="17" l="1"/>
  <c r="W127" i="17" s="1"/>
  <c r="AE127" i="17" l="1"/>
  <c r="AA127" i="17"/>
  <c r="AB128" i="17" s="1"/>
  <c r="BK127" i="17"/>
  <c r="BH128" i="17" s="1"/>
  <c r="BI128" i="17" s="1"/>
  <c r="BG127" i="17"/>
  <c r="BD128" i="17" s="1"/>
  <c r="BE128" i="17" s="1"/>
  <c r="BF128" i="17" s="1"/>
  <c r="AV127" i="17"/>
  <c r="Y128" i="17" l="1"/>
  <c r="AC127" i="17"/>
  <c r="Q128" i="17" s="1"/>
  <c r="AT127" i="17" l="1"/>
  <c r="AD127" i="17"/>
  <c r="K128" i="17" s="1"/>
  <c r="S128" i="17"/>
  <c r="T128" i="17" s="1"/>
  <c r="AF127" i="17" l="1"/>
  <c r="AG127" i="17" s="1"/>
  <c r="M128" i="17"/>
  <c r="N128" i="17" s="1"/>
  <c r="AU128" i="17" l="1"/>
  <c r="V128" i="17" s="1"/>
  <c r="U128" i="17"/>
  <c r="X128" i="17"/>
  <c r="Z128" i="17" s="1"/>
  <c r="W128" i="17" l="1"/>
  <c r="AE128" i="17" s="1"/>
  <c r="AV128" i="17" l="1"/>
  <c r="BK128" i="17"/>
  <c r="BH129" i="17" s="1"/>
  <c r="BI129" i="17" s="1"/>
  <c r="AA128" i="17"/>
  <c r="AB129" i="17" s="1"/>
  <c r="BG128" i="17"/>
  <c r="BD129" i="17" s="1"/>
  <c r="BE129" i="17" s="1"/>
  <c r="BF129" i="17" s="1"/>
  <c r="AC128" i="17" l="1"/>
  <c r="Q129" i="17" s="1"/>
  <c r="Y129" i="17"/>
  <c r="AT128" i="17" l="1"/>
  <c r="AD128" i="17"/>
  <c r="AF128" i="17" s="1"/>
  <c r="AG128" i="17" s="1"/>
  <c r="S129" i="17"/>
  <c r="T129" i="17" s="1"/>
  <c r="K129" i="17" l="1"/>
  <c r="M129" i="17" s="1"/>
  <c r="N129" i="17" l="1"/>
  <c r="AU129" i="17" s="1"/>
  <c r="V129" i="17" s="1"/>
  <c r="U129" i="17"/>
  <c r="W129" i="17" l="1"/>
  <c r="AE129" i="17" s="1"/>
  <c r="X129" i="17"/>
  <c r="Z129" i="17" s="1"/>
  <c r="BK129" i="17" l="1"/>
  <c r="BH130" i="17" s="1"/>
  <c r="BI130" i="17" s="1"/>
  <c r="AA129" i="17"/>
  <c r="AB130" i="17" s="1"/>
  <c r="AV129" i="17"/>
  <c r="BG129" i="17"/>
  <c r="BD130" i="17" s="1"/>
  <c r="BE130" i="17" s="1"/>
  <c r="BF130" i="17" s="1"/>
  <c r="AC129" i="17" l="1"/>
  <c r="Q130" i="17" s="1"/>
  <c r="S130" i="17" s="1"/>
  <c r="T130" i="17" s="1"/>
  <c r="Y130" i="17"/>
  <c r="AD129" i="17" l="1"/>
  <c r="K130" i="17" s="1"/>
  <c r="M130" i="17" s="1"/>
  <c r="N130" i="17" s="1"/>
  <c r="AU130" i="17" s="1"/>
  <c r="U130" i="17" s="1"/>
  <c r="AT129" i="17"/>
  <c r="V130" i="17"/>
  <c r="X130" i="17" l="1"/>
  <c r="Z130" i="17" s="1"/>
  <c r="AF129" i="17"/>
  <c r="AG129" i="17" s="1"/>
  <c r="W130" i="17"/>
  <c r="AA130" i="17" l="1"/>
  <c r="AB131" i="17" s="1"/>
  <c r="BK130" i="17"/>
  <c r="BH131" i="17" s="1"/>
  <c r="BI131" i="17" s="1"/>
  <c r="AV130" i="17"/>
  <c r="BG130" i="17"/>
  <c r="BD131" i="17" s="1"/>
  <c r="BE131" i="17" s="1"/>
  <c r="BF131" i="17" s="1"/>
  <c r="AE130" i="17"/>
  <c r="Y131" i="17" l="1"/>
  <c r="AC130" i="17"/>
  <c r="Q131" i="17" s="1"/>
  <c r="AD130" i="17" l="1"/>
  <c r="AT130" i="17"/>
  <c r="AF130" i="17" l="1"/>
  <c r="AG130" i="17" s="1"/>
  <c r="K131" i="17"/>
  <c r="S131" i="17"/>
  <c r="T131" i="17" s="1"/>
  <c r="M131" i="17" l="1"/>
  <c r="N131" i="17" s="1"/>
  <c r="AU131" i="17" l="1"/>
  <c r="V131" i="17" s="1"/>
  <c r="X131" i="17"/>
  <c r="Z131" i="17" s="1"/>
  <c r="U131" i="17" l="1"/>
  <c r="W131" i="17" s="1"/>
  <c r="AE131" i="17" s="1"/>
  <c r="AV131" i="17" l="1"/>
  <c r="BK131" i="17"/>
  <c r="BH132" i="17" s="1"/>
  <c r="BI132" i="17" s="1"/>
  <c r="AA131" i="17"/>
  <c r="AB132" i="17" s="1"/>
  <c r="BG131" i="17"/>
  <c r="BD132" i="17" s="1"/>
  <c r="BE132" i="17" s="1"/>
  <c r="BF132" i="17" s="1"/>
  <c r="AC131" i="17" l="1"/>
  <c r="Q132" i="17" s="1"/>
  <c r="Y132" i="17"/>
  <c r="AT131" i="17" l="1"/>
  <c r="AD131" i="17"/>
  <c r="K132" i="17" s="1"/>
  <c r="M132" i="17" s="1"/>
  <c r="N132" i="17" s="1"/>
  <c r="S132" i="17"/>
  <c r="T132" i="17" s="1"/>
  <c r="AF131" i="17" l="1"/>
  <c r="AG131" i="17" s="1"/>
  <c r="AU132" i="17"/>
  <c r="U132" i="17" s="1"/>
  <c r="X132" i="17"/>
  <c r="Z132" i="17" s="1"/>
  <c r="V132" i="17" l="1"/>
  <c r="W132" i="17" s="1"/>
  <c r="AV132" i="17" l="1"/>
  <c r="BK132" i="17"/>
  <c r="BH133" i="17" s="1"/>
  <c r="BI133" i="17" s="1"/>
  <c r="AA132" i="17"/>
  <c r="AB133" i="17" s="1"/>
  <c r="BG132" i="17"/>
  <c r="BD133" i="17" s="1"/>
  <c r="BE133" i="17" s="1"/>
  <c r="BF133" i="17" s="1"/>
  <c r="AE132" i="17"/>
  <c r="Y133" i="17" l="1"/>
  <c r="AC132" i="17"/>
  <c r="Q133" i="17" s="1"/>
  <c r="AD132" i="17" l="1"/>
  <c r="AT132" i="17"/>
  <c r="AF132" i="17" l="1"/>
  <c r="AG132" i="17" s="1"/>
  <c r="K133" i="17"/>
  <c r="S133" i="17"/>
  <c r="T133" i="17" s="1"/>
  <c r="M133" i="17" l="1"/>
  <c r="N133" i="17" l="1"/>
  <c r="AU133" i="17" s="1"/>
  <c r="U133" i="17" s="1"/>
  <c r="V133" i="17" l="1"/>
  <c r="W133" i="17" s="1"/>
  <c r="X133" i="17"/>
  <c r="Z133" i="17" s="1"/>
  <c r="BG133" i="17" l="1"/>
  <c r="BD134" i="17" s="1"/>
  <c r="BE134" i="17" s="1"/>
  <c r="BF134" i="17" s="1"/>
  <c r="BK133" i="17"/>
  <c r="BH134" i="17" s="1"/>
  <c r="BI134" i="17" s="1"/>
  <c r="AV133" i="17"/>
  <c r="AA133" i="17"/>
  <c r="AB134" i="17" s="1"/>
  <c r="AE133" i="17"/>
  <c r="Y134" i="17" l="1"/>
  <c r="AC133" i="17"/>
  <c r="Q134" i="17" s="1"/>
  <c r="AT133" i="17" l="1"/>
  <c r="AD133" i="17"/>
  <c r="AF133" i="17" l="1"/>
  <c r="AG133" i="17" s="1"/>
  <c r="K134" i="17"/>
  <c r="M134" i="17" s="1"/>
  <c r="N134" i="17" s="1"/>
  <c r="S134" i="17"/>
  <c r="T134" i="17" s="1"/>
  <c r="AU134" i="17" l="1"/>
  <c r="U134" i="17" s="1"/>
  <c r="X134" i="17"/>
  <c r="Z134" i="17" s="1"/>
  <c r="V134" i="17" l="1"/>
  <c r="W134" i="17" s="1"/>
  <c r="BK134" i="17" l="1"/>
  <c r="BH135" i="17" s="1"/>
  <c r="BI135" i="17" s="1"/>
  <c r="BG134" i="17"/>
  <c r="BD135" i="17" s="1"/>
  <c r="AA134" i="17"/>
  <c r="AB135" i="17" s="1"/>
  <c r="AV134" i="17"/>
  <c r="AE134" i="17"/>
  <c r="AC134" i="17" l="1"/>
  <c r="Q135" i="17" s="1"/>
  <c r="Y135" i="17"/>
  <c r="BE135" i="17"/>
  <c r="BF135" i="17" s="1"/>
  <c r="AD134" i="17" l="1"/>
  <c r="AT134" i="17"/>
  <c r="S135" i="17"/>
  <c r="T135" i="17" s="1"/>
  <c r="AF134" i="17" l="1"/>
  <c r="AG134" i="17" s="1"/>
  <c r="K135" i="17"/>
  <c r="M135" i="17" s="1"/>
  <c r="H9" i="17"/>
  <c r="Q26" i="13" l="1"/>
  <c r="M27" i="13"/>
  <c r="L26" i="13"/>
  <c r="N135" i="17"/>
  <c r="X135" i="17" s="1"/>
  <c r="Z135" i="17" s="1"/>
  <c r="AU135" i="17" l="1"/>
  <c r="V135" i="17" s="1"/>
  <c r="U135" i="17"/>
  <c r="W135" i="17" l="1"/>
  <c r="AV135" i="17" l="1"/>
  <c r="BK135" i="17"/>
  <c r="BH136" i="17" s="1"/>
  <c r="BI136" i="17" s="1"/>
  <c r="AA135" i="17"/>
  <c r="AB136" i="17" s="1"/>
  <c r="BG135" i="17"/>
  <c r="BD136" i="17" s="1"/>
  <c r="BE136" i="17" s="1"/>
  <c r="BF136" i="17" s="1"/>
  <c r="AE135" i="17"/>
  <c r="AC135" i="17" l="1"/>
  <c r="Q136" i="17" s="1"/>
  <c r="Y136" i="17"/>
  <c r="AT135" i="17" l="1"/>
  <c r="AD135" i="17"/>
  <c r="K136" i="17" s="1"/>
  <c r="S136" i="17" l="1"/>
  <c r="T136" i="17" s="1"/>
  <c r="AF135" i="17"/>
  <c r="AG135" i="17" s="1"/>
  <c r="M136" i="17" l="1"/>
  <c r="N136" i="17" s="1"/>
  <c r="X136" i="17" s="1"/>
  <c r="Z136" i="17" s="1"/>
  <c r="AU136" i="17" l="1"/>
  <c r="U136" i="17" s="1"/>
  <c r="V136" i="17"/>
  <c r="W136" i="17" l="1"/>
  <c r="BK136" i="17" s="1"/>
  <c r="BH137" i="17" s="1"/>
  <c r="BI137" i="17" s="1"/>
  <c r="AE136" i="17" l="1"/>
  <c r="AA136" i="17"/>
  <c r="AB137" i="17" s="1"/>
  <c r="AV136" i="17"/>
  <c r="BG136" i="17"/>
  <c r="BD137" i="17" s="1"/>
  <c r="BE137" i="17" s="1"/>
  <c r="BF137" i="17" s="1"/>
  <c r="AC136" i="17" l="1"/>
  <c r="Q137" i="17" s="1"/>
  <c r="Y137" i="17"/>
  <c r="AT136" i="17" l="1"/>
  <c r="AD136" i="17"/>
  <c r="K137" i="17" s="1"/>
  <c r="M137" i="17" s="1"/>
  <c r="N137" i="17" s="1"/>
  <c r="AU137" i="17" s="1"/>
  <c r="U137" i="17" s="1"/>
  <c r="AF136" i="17" l="1"/>
  <c r="AG136" i="17" s="1"/>
  <c r="S137" i="17"/>
  <c r="T137" i="17" s="1"/>
  <c r="X137" i="17" s="1"/>
  <c r="Z137" i="17" s="1"/>
  <c r="V137" i="17" l="1"/>
  <c r="W137" i="17" s="1"/>
  <c r="AE137" i="17" l="1"/>
  <c r="AV137" i="17"/>
  <c r="BK137" i="17"/>
  <c r="BH138" i="17" s="1"/>
  <c r="BI138" i="17" s="1"/>
  <c r="BG137" i="17"/>
  <c r="BD138" i="17" s="1"/>
  <c r="BE138" i="17" s="1"/>
  <c r="BF138" i="17" s="1"/>
  <c r="AA137" i="17"/>
  <c r="AB138" i="17" s="1"/>
  <c r="AC137" i="17" l="1"/>
  <c r="Q138" i="17" s="1"/>
  <c r="Y138" i="17"/>
  <c r="AD137" i="17" l="1"/>
  <c r="S138" i="17"/>
  <c r="T138" i="17" s="1"/>
  <c r="AT137" i="17"/>
  <c r="AF137" i="17" l="1"/>
  <c r="AG137" i="17" s="1"/>
  <c r="K138" i="17"/>
  <c r="M138" i="17" s="1"/>
  <c r="N138" i="17" l="1"/>
  <c r="AU138" i="17" s="1"/>
  <c r="V138" i="17" l="1"/>
  <c r="U138" i="17"/>
  <c r="X138" i="17"/>
  <c r="Z138" i="17" s="1"/>
  <c r="W138" i="17" l="1"/>
  <c r="AE138" i="17" s="1"/>
  <c r="BK138" i="17" l="1"/>
  <c r="BH139" i="17" s="1"/>
  <c r="BI139" i="17" s="1"/>
  <c r="AV138" i="17"/>
  <c r="BG138" i="17"/>
  <c r="BD139" i="17" s="1"/>
  <c r="BE139" i="17" s="1"/>
  <c r="BF139" i="17" s="1"/>
  <c r="AA138" i="17"/>
  <c r="AB139" i="17" s="1"/>
  <c r="AC138" i="17" l="1"/>
  <c r="Q139" i="17" s="1"/>
  <c r="S139" i="17" s="1"/>
  <c r="T139" i="17" s="1"/>
  <c r="Y139" i="17"/>
  <c r="AD138" i="17" l="1"/>
  <c r="K139" i="17" s="1"/>
  <c r="M139" i="17" s="1"/>
  <c r="N139" i="17" s="1"/>
  <c r="X139" i="17" s="1"/>
  <c r="Z139" i="17" s="1"/>
  <c r="AT138" i="17"/>
  <c r="AF138" i="17" l="1"/>
  <c r="AG138" i="17" s="1"/>
  <c r="AU139" i="17"/>
  <c r="U139" i="17" s="1"/>
  <c r="V139" i="17"/>
  <c r="W139" i="17" l="1"/>
  <c r="AE139" i="17" s="1"/>
  <c r="BG139" i="17" l="1"/>
  <c r="BD140" i="17" s="1"/>
  <c r="BE140" i="17" s="1"/>
  <c r="BF140" i="17" s="1"/>
  <c r="BK139" i="17"/>
  <c r="BH140" i="17" s="1"/>
  <c r="BI140" i="17" s="1"/>
  <c r="AV139" i="17"/>
  <c r="AA139" i="17"/>
  <c r="AC139" i="17" s="1"/>
  <c r="Q140" i="17" s="1"/>
  <c r="AB140" i="17" l="1"/>
  <c r="Y140" i="17"/>
  <c r="AT139" i="17"/>
  <c r="AD139" i="17"/>
  <c r="K140" i="17" s="1"/>
  <c r="S140" i="17"/>
  <c r="T140" i="17" s="1"/>
  <c r="AF139" i="17" l="1"/>
  <c r="AG139" i="17" s="1"/>
  <c r="M140" i="17"/>
  <c r="N140" i="17" l="1"/>
  <c r="X140" i="17" l="1"/>
  <c r="Z140" i="17" s="1"/>
  <c r="AU140" i="17"/>
  <c r="U140" i="17" s="1"/>
  <c r="V140" i="17" l="1"/>
  <c r="W140" i="17" s="1"/>
  <c r="AA140" i="17" l="1"/>
  <c r="AV140" i="17"/>
  <c r="BK140" i="17"/>
  <c r="BH141" i="17" s="1"/>
  <c r="BI141" i="17" s="1"/>
  <c r="BG140" i="17"/>
  <c r="BD141" i="17" s="1"/>
  <c r="BE141" i="17" s="1"/>
  <c r="BF141" i="17" s="1"/>
  <c r="AE140" i="17"/>
  <c r="AB141" i="17" l="1"/>
  <c r="Y141" i="17"/>
  <c r="AC140" i="17"/>
  <c r="Q141" i="17" l="1"/>
  <c r="S141" i="17" s="1"/>
  <c r="T141" i="17" s="1"/>
  <c r="AD140" i="17"/>
  <c r="AT140" i="17"/>
  <c r="K141" i="17" l="1"/>
  <c r="AF140" i="17"/>
  <c r="AG140" i="17" s="1"/>
  <c r="M141" i="17" l="1"/>
  <c r="N141" i="17" l="1"/>
  <c r="AU141" i="17" l="1"/>
  <c r="X141" i="17"/>
  <c r="Z141" i="17" s="1"/>
  <c r="U141" i="17" l="1"/>
  <c r="V141" i="17"/>
  <c r="W141" i="17" l="1"/>
  <c r="AA141" i="17" s="1"/>
  <c r="BG141" i="17" l="1"/>
  <c r="BD142" i="17" s="1"/>
  <c r="BE142" i="17" s="1"/>
  <c r="BF142" i="17" s="1"/>
  <c r="AE141" i="17"/>
  <c r="AV141" i="17"/>
  <c r="BK141" i="17"/>
  <c r="BH142" i="17" s="1"/>
  <c r="BI142" i="17" s="1"/>
  <c r="AB142" i="17"/>
  <c r="Y142" i="17"/>
  <c r="AC141" i="17"/>
  <c r="Q142" i="17" l="1"/>
  <c r="AD141" i="17"/>
  <c r="K142" i="17" s="1"/>
  <c r="AT141" i="17"/>
  <c r="M142" i="17" l="1"/>
  <c r="N142" i="17" s="1"/>
  <c r="AU142" i="17" s="1"/>
  <c r="U142" i="17" s="1"/>
  <c r="AF141" i="17"/>
  <c r="AG141" i="17" s="1"/>
  <c r="S142" i="17"/>
  <c r="T142" i="17" l="1"/>
  <c r="V142" i="17" s="1"/>
  <c r="W142" i="17" s="1"/>
  <c r="AE142" i="17" s="1"/>
  <c r="BK142" i="17" l="1"/>
  <c r="BH143" i="17" s="1"/>
  <c r="BI143" i="17" s="1"/>
  <c r="AV142" i="17"/>
  <c r="BG142" i="17"/>
  <c r="BD143" i="17" s="1"/>
  <c r="BE143" i="17" s="1"/>
  <c r="BF143" i="17" s="1"/>
  <c r="X142" i="17"/>
  <c r="Z142" i="17" l="1"/>
  <c r="AA142" i="17"/>
  <c r="AB143" i="17" l="1"/>
  <c r="AC142" i="17"/>
  <c r="Y143" i="17"/>
  <c r="Q143" i="17" l="1"/>
  <c r="S143" i="17" s="1"/>
  <c r="T143" i="17" s="1"/>
  <c r="AD142" i="17"/>
  <c r="K143" i="17" s="1"/>
  <c r="AT142" i="17"/>
  <c r="AF142" i="17" l="1"/>
  <c r="AG142" i="17" s="1"/>
  <c r="M143" i="17"/>
  <c r="N143" i="17" s="1"/>
  <c r="X143" i="17" s="1"/>
  <c r="Z143" i="17" s="1"/>
  <c r="AU143" i="17" l="1"/>
  <c r="U143" i="17" s="1"/>
  <c r="V143" i="17"/>
  <c r="W143" i="17" l="1"/>
  <c r="AA143" i="17" s="1"/>
  <c r="AB144" i="17" s="1"/>
  <c r="AV143" i="17" l="1"/>
  <c r="Y144" i="17"/>
  <c r="AC143" i="17"/>
  <c r="Q144" i="17" s="1"/>
  <c r="S144" i="17" s="1"/>
  <c r="T144" i="17" s="1"/>
  <c r="BG143" i="17"/>
  <c r="BD144" i="17" s="1"/>
  <c r="BE144" i="17" s="1"/>
  <c r="BF144" i="17" s="1"/>
  <c r="AE143" i="17"/>
  <c r="BK143" i="17"/>
  <c r="BH144" i="17" s="1"/>
  <c r="BI144" i="17" s="1"/>
  <c r="AD143" i="17" l="1"/>
  <c r="K144" i="17" s="1"/>
  <c r="M144" i="17" s="1"/>
  <c r="N144" i="17" s="1"/>
  <c r="X144" i="17" s="1"/>
  <c r="Z144" i="17" s="1"/>
  <c r="AT143" i="17"/>
  <c r="AF143" i="17"/>
  <c r="V144" i="17"/>
  <c r="AU144" i="17" l="1"/>
  <c r="U144" i="17" s="1"/>
  <c r="W144" i="17" s="1"/>
  <c r="BG144" i="17" s="1"/>
  <c r="BD145" i="17" s="1"/>
  <c r="BE145" i="17" s="1"/>
  <c r="BF145" i="17" s="1"/>
  <c r="AG143" i="17"/>
  <c r="AA144" i="17" l="1"/>
  <c r="Y145" i="17" s="1"/>
  <c r="AE144" i="17"/>
  <c r="BK144" i="17"/>
  <c r="BH145" i="17" s="1"/>
  <c r="BI145" i="17" s="1"/>
  <c r="AV144" i="17"/>
  <c r="AB145" i="17"/>
  <c r="AC144" i="17"/>
  <c r="Q145" i="17" s="1"/>
  <c r="S145" i="17" s="1"/>
  <c r="T145" i="17" s="1"/>
  <c r="AT144" i="17" l="1"/>
  <c r="AD144" i="17"/>
  <c r="K145" i="17" l="1"/>
  <c r="AF144" i="17"/>
  <c r="AG144" i="17" s="1"/>
  <c r="M145" i="17" l="1"/>
  <c r="N145" i="17" s="1"/>
  <c r="AU145" i="17" s="1"/>
  <c r="U145" i="17" s="1"/>
  <c r="X145" i="17" l="1"/>
  <c r="Z145" i="17" s="1"/>
  <c r="V145" i="17"/>
  <c r="W145" i="17" s="1"/>
  <c r="AV145" i="17" l="1"/>
  <c r="AE145" i="17"/>
  <c r="AA145" i="17"/>
  <c r="AB146" i="17" s="1"/>
  <c r="BK145" i="17"/>
  <c r="BH146" i="17" s="1"/>
  <c r="BI146" i="17" s="1"/>
  <c r="BG145" i="17"/>
  <c r="BD146" i="17" s="1"/>
  <c r="BE146" i="17" s="1"/>
  <c r="AC145" i="17" l="1"/>
  <c r="AD145" i="17" s="1"/>
  <c r="K146" i="17" s="1"/>
  <c r="M146" i="17" s="1"/>
  <c r="N146" i="17" s="1"/>
  <c r="AU146" i="17" s="1"/>
  <c r="U146" i="17" s="1"/>
  <c r="BF146" i="17"/>
  <c r="Y146" i="17"/>
  <c r="Q146" i="17" l="1"/>
  <c r="S146" i="17" s="1"/>
  <c r="T146" i="17" s="1"/>
  <c r="AT145" i="17"/>
  <c r="AF145" i="17"/>
  <c r="AG145" i="17" s="1"/>
  <c r="V146" i="17"/>
  <c r="W146" i="17" s="1"/>
  <c r="AE146" i="17" l="1"/>
  <c r="X146" i="17"/>
  <c r="Z146" i="17" s="1"/>
  <c r="AV146" i="17"/>
  <c r="BG146" i="17"/>
  <c r="BD147" i="17" s="1"/>
  <c r="BE147" i="17" s="1"/>
  <c r="BF147" i="17" s="1"/>
  <c r="BK146" i="17"/>
  <c r="BH147" i="17" s="1"/>
  <c r="BI147" i="17" s="1"/>
  <c r="AA146" i="17" l="1"/>
  <c r="AB147" i="17" s="1"/>
  <c r="Y147" i="17"/>
  <c r="AC146" i="17" l="1"/>
  <c r="Q147" i="17" s="1"/>
  <c r="AT146" i="17"/>
  <c r="AD146" i="17"/>
  <c r="K147" i="17" s="1"/>
  <c r="M147" i="17" s="1"/>
  <c r="N147" i="17" s="1"/>
  <c r="AU147" i="17" s="1"/>
  <c r="S147" i="17"/>
  <c r="T147" i="17" s="1"/>
  <c r="AF146" i="17" l="1"/>
  <c r="AG146" i="17" s="1"/>
  <c r="X147" i="17"/>
  <c r="Z147" i="17" s="1"/>
  <c r="V147" i="17"/>
  <c r="U147" i="17"/>
  <c r="W147" i="17" l="1"/>
  <c r="AV147" i="17" s="1"/>
  <c r="AA147" i="17" l="1"/>
  <c r="AB148" i="17" s="1"/>
  <c r="BG147" i="17"/>
  <c r="BD148" i="17" s="1"/>
  <c r="BE148" i="17" s="1"/>
  <c r="BF148" i="17" s="1"/>
  <c r="AE147" i="17"/>
  <c r="BK147" i="17"/>
  <c r="BH148" i="17" s="1"/>
  <c r="BI148" i="17" s="1"/>
  <c r="AC147" i="17"/>
  <c r="Q148" i="17" s="1"/>
  <c r="Y148" i="17"/>
  <c r="AD147" i="17" l="1"/>
  <c r="K148" i="17" s="1"/>
  <c r="M148" i="17" s="1"/>
  <c r="N148" i="17" s="1"/>
  <c r="AT147" i="17"/>
  <c r="S148" i="17"/>
  <c r="T148" i="17" s="1"/>
  <c r="AF147" i="17" l="1"/>
  <c r="AG147" i="17" s="1"/>
  <c r="AU148" i="17"/>
  <c r="X148" i="17"/>
  <c r="V148" i="17" l="1"/>
  <c r="U148" i="17"/>
  <c r="Z148" i="17"/>
  <c r="W148" i="17" l="1"/>
  <c r="BK148" i="17" l="1"/>
  <c r="BH149" i="17" s="1"/>
  <c r="BI149" i="17" s="1"/>
  <c r="AE148" i="17"/>
  <c r="BG148" i="17"/>
  <c r="BD149" i="17" s="1"/>
  <c r="AV148" i="17"/>
  <c r="AA148" i="17"/>
  <c r="AB149" i="17" s="1"/>
  <c r="BE149" i="17" l="1"/>
  <c r="BF149" i="17" s="1"/>
  <c r="AC148" i="17"/>
  <c r="Q149" i="17" s="1"/>
  <c r="Y149" i="17"/>
  <c r="AD148" i="17" l="1"/>
  <c r="K149" i="17" s="1"/>
  <c r="AT148" i="17"/>
  <c r="AF148" i="17" l="1"/>
  <c r="AG148" i="17" s="1"/>
  <c r="S149" i="17" l="1"/>
  <c r="T149" i="17" s="1"/>
  <c r="M149" i="17"/>
  <c r="N149" i="17" l="1"/>
  <c r="X149" i="17" s="1"/>
  <c r="Z149" i="17" s="1"/>
  <c r="AU149" i="17" l="1"/>
  <c r="V149" i="17" s="1"/>
  <c r="U149" i="17" l="1"/>
  <c r="W149" i="17" s="1"/>
  <c r="BK149" i="17" s="1"/>
  <c r="BH150" i="17" s="1"/>
  <c r="BI150" i="17" s="1"/>
  <c r="BG149" i="17" l="1"/>
  <c r="BD150" i="17" s="1"/>
  <c r="BE150" i="17" s="1"/>
  <c r="BF150" i="17" s="1"/>
  <c r="AV149" i="17"/>
  <c r="AE149" i="17"/>
  <c r="AA149" i="17"/>
  <c r="Y150" i="17" l="1"/>
  <c r="AB150" i="17"/>
  <c r="AC149" i="17"/>
  <c r="Q150" i="17" s="1"/>
  <c r="AT149" i="17" l="1"/>
  <c r="AD149" i="17"/>
  <c r="K150" i="17" s="1"/>
  <c r="AF149" i="17" l="1"/>
  <c r="AG149" i="17" s="1"/>
  <c r="S150" i="17"/>
  <c r="T150" i="17" s="1"/>
  <c r="M150" i="17"/>
  <c r="N150" i="17" l="1"/>
  <c r="X150" i="17" s="1"/>
  <c r="Z150" i="17" s="1"/>
  <c r="AU150" i="17" l="1"/>
  <c r="U150" i="17" s="1"/>
  <c r="V150" i="17" l="1"/>
  <c r="W150" i="17" s="1"/>
  <c r="AE150" i="17" s="1"/>
  <c r="BG150" i="17" l="1"/>
  <c r="BD151" i="17" s="1"/>
  <c r="BE151" i="17" s="1"/>
  <c r="AV150" i="17"/>
  <c r="AA150" i="17"/>
  <c r="Y151" i="17" s="1"/>
  <c r="BK150" i="17"/>
  <c r="BH151" i="17" s="1"/>
  <c r="BI151" i="17" s="1"/>
  <c r="BF151" i="17" l="1"/>
  <c r="AC150" i="17"/>
  <c r="AB151" i="17"/>
  <c r="Q151" i="17" l="1"/>
  <c r="S151" i="17" s="1"/>
  <c r="T151" i="17" s="1"/>
  <c r="AD150" i="17"/>
  <c r="AT150" i="17"/>
  <c r="K151" i="17" l="1"/>
  <c r="M151" i="17" s="1"/>
  <c r="AF150" i="17"/>
  <c r="AG150" i="17" s="1"/>
  <c r="N151" i="17" l="1"/>
  <c r="X151" i="17" s="1"/>
  <c r="Z151" i="17" s="1"/>
  <c r="AU151" i="17" l="1"/>
  <c r="V151" i="17" s="1"/>
  <c r="U151" i="17"/>
  <c r="W151" i="17" l="1"/>
  <c r="BK151" i="17" s="1"/>
  <c r="BH152" i="17" s="1"/>
  <c r="BI152" i="17" s="1"/>
  <c r="AA151" i="17" l="1"/>
  <c r="AB152" i="17" s="1"/>
  <c r="AE151" i="17"/>
  <c r="AV151" i="17"/>
  <c r="BG151" i="17"/>
  <c r="BD152" i="17" s="1"/>
  <c r="BE152" i="17" s="1"/>
  <c r="BF152" i="17" s="1"/>
  <c r="AC151" i="17"/>
  <c r="AD151" i="17" s="1"/>
  <c r="Y152" i="17" l="1"/>
  <c r="AT151" i="17"/>
  <c r="Q152" i="17"/>
  <c r="S152" i="17" s="1"/>
  <c r="T152" i="17" s="1"/>
  <c r="AF151" i="17"/>
  <c r="AG151" i="17" s="1"/>
  <c r="K152" i="17"/>
  <c r="M152" i="17" s="1"/>
  <c r="N152" i="17" s="1"/>
  <c r="AU152" i="17" l="1"/>
  <c r="X152" i="17"/>
  <c r="V152" i="17" l="1"/>
  <c r="U152" i="17"/>
  <c r="Z152" i="17"/>
  <c r="W152" i="17" l="1"/>
  <c r="BK152" i="17" l="1"/>
  <c r="BH153" i="17" s="1"/>
  <c r="BI153" i="17" s="1"/>
  <c r="AE152" i="17"/>
  <c r="BG152" i="17"/>
  <c r="BD153" i="17" s="1"/>
  <c r="AA152" i="17"/>
  <c r="AB153" i="17" s="1"/>
  <c r="AV152" i="17"/>
  <c r="BE153" i="17" l="1"/>
  <c r="BF153" i="17" s="1"/>
  <c r="AC152" i="17"/>
  <c r="Q153" i="17" s="1"/>
  <c r="Y153" i="17"/>
  <c r="AD152" i="17" l="1"/>
  <c r="K153" i="17" s="1"/>
  <c r="AT152" i="17"/>
  <c r="M153" i="17" l="1"/>
  <c r="N153" i="17" s="1"/>
  <c r="AF152" i="17"/>
  <c r="AG152" i="17" s="1"/>
  <c r="AU153" i="17" l="1"/>
  <c r="S153" i="17"/>
  <c r="T153" i="17" s="1"/>
  <c r="U153" i="17" l="1"/>
  <c r="V153" i="17" l="1"/>
  <c r="W153" i="17" s="1"/>
  <c r="X153" i="17"/>
  <c r="BK153" i="17" l="1"/>
  <c r="BH154" i="17" s="1"/>
  <c r="BI154" i="17" s="1"/>
  <c r="AE153" i="17"/>
  <c r="BG153" i="17"/>
  <c r="BD154" i="17" s="1"/>
  <c r="AA153" i="17"/>
  <c r="AB154" i="17" s="1"/>
  <c r="AV153" i="17"/>
  <c r="Z153" i="17"/>
  <c r="BE154" i="17" l="1"/>
  <c r="BF154" i="17" s="1"/>
  <c r="AC153" i="17"/>
  <c r="Q154" i="17" s="1"/>
  <c r="Y154" i="17"/>
  <c r="AD153" i="17" l="1"/>
  <c r="AT153" i="17"/>
  <c r="AF153" i="17" l="1"/>
  <c r="AG153" i="17" s="1"/>
  <c r="K154" i="17"/>
  <c r="M154" i="17" l="1"/>
  <c r="N154" i="17" s="1"/>
  <c r="S154" i="17"/>
  <c r="T154" i="17" s="1"/>
  <c r="AU154" i="17" l="1"/>
  <c r="U154" i="17" s="1"/>
  <c r="X154" i="17"/>
  <c r="Z154" i="17" s="1"/>
  <c r="V154" i="17" l="1"/>
  <c r="W154" i="17" s="1"/>
  <c r="AE154" i="17" s="1"/>
  <c r="BK154" i="17" l="1"/>
  <c r="BH155" i="17" s="1"/>
  <c r="BI155" i="17" s="1"/>
  <c r="AA154" i="17"/>
  <c r="AV154" i="17"/>
  <c r="BG154" i="17"/>
  <c r="BD155" i="17" s="1"/>
  <c r="AC154" i="17" l="1"/>
  <c r="Q155" i="17" s="1"/>
  <c r="AB155" i="17"/>
  <c r="BE155" i="17"/>
  <c r="BF155" i="17" s="1"/>
  <c r="Y155" i="17"/>
  <c r="AT154" i="17" l="1"/>
  <c r="AD154" i="17"/>
  <c r="K155" i="17" s="1"/>
  <c r="AF154" i="17" l="1"/>
  <c r="AG154" i="17" s="1"/>
  <c r="S155" i="17"/>
  <c r="T155" i="17" s="1"/>
  <c r="M155" i="17"/>
  <c r="N155" i="17" l="1"/>
  <c r="X155" i="17" s="1"/>
  <c r="Z155" i="17" s="1"/>
  <c r="AU155" i="17" l="1"/>
  <c r="U155" i="17" s="1"/>
  <c r="V155" i="17"/>
  <c r="W155" i="17" l="1"/>
  <c r="AE155" i="17" s="1"/>
  <c r="BG155" i="17" l="1"/>
  <c r="BD156" i="17" s="1"/>
  <c r="AV155" i="17"/>
  <c r="BK155" i="17"/>
  <c r="BH156" i="17" s="1"/>
  <c r="BI156" i="17" s="1"/>
  <c r="AA155" i="17"/>
  <c r="BE156" i="17"/>
  <c r="BF156" i="17" s="1"/>
  <c r="AB156" i="17" l="1"/>
  <c r="Y156" i="17"/>
  <c r="AC155" i="17"/>
  <c r="Q156" i="17" l="1"/>
  <c r="S156" i="17" s="1"/>
  <c r="T156" i="17" s="1"/>
  <c r="AD155" i="17"/>
  <c r="AT155" i="17"/>
  <c r="K156" i="17" l="1"/>
  <c r="M156" i="17" s="1"/>
  <c r="N156" i="17" s="1"/>
  <c r="AU156" i="17" s="1"/>
  <c r="U156" i="17" s="1"/>
  <c r="AF155" i="17"/>
  <c r="AG155" i="17" s="1"/>
  <c r="X156" i="17" l="1"/>
  <c r="Z156" i="17" s="1"/>
  <c r="V156" i="17"/>
  <c r="W156" i="17" s="1"/>
  <c r="BK156" i="17" l="1"/>
  <c r="BH157" i="17" s="1"/>
  <c r="BI157" i="17" s="1"/>
  <c r="AE156" i="17"/>
  <c r="AA156" i="17"/>
  <c r="BG156" i="17"/>
  <c r="BD157" i="17" s="1"/>
  <c r="AV156" i="17"/>
  <c r="Y157" i="17" l="1"/>
  <c r="AB157" i="17"/>
  <c r="AC156" i="17"/>
  <c r="AT156" i="17" s="1"/>
  <c r="BE157" i="17"/>
  <c r="BF157" i="17" s="1"/>
  <c r="AD156" i="17" l="1"/>
  <c r="K157" i="17" s="1"/>
  <c r="Q157" i="17"/>
  <c r="S157" i="17" s="1"/>
  <c r="T157" i="17" s="1"/>
  <c r="AF156" i="17" l="1"/>
  <c r="AG156" i="17" s="1"/>
  <c r="M157" i="17"/>
  <c r="N157" i="17" s="1"/>
  <c r="X157" i="17" s="1"/>
  <c r="Z157" i="17" s="1"/>
  <c r="AU157" i="17" l="1"/>
  <c r="V157" i="17" s="1"/>
  <c r="U157" i="17"/>
  <c r="W157" i="17" l="1"/>
  <c r="BK157" i="17" s="1"/>
  <c r="BH158" i="17" s="1"/>
  <c r="BI158" i="17" s="1"/>
  <c r="AA157" i="17" l="1"/>
  <c r="AB158" i="17" s="1"/>
  <c r="AV157" i="17"/>
  <c r="BG157" i="17"/>
  <c r="BD158" i="17" s="1"/>
  <c r="BE158" i="17" s="1"/>
  <c r="BF158" i="17" s="1"/>
  <c r="AE157" i="17"/>
  <c r="Y158" i="17"/>
  <c r="AC157" i="17" l="1"/>
  <c r="AD157" i="17" s="1"/>
  <c r="K158" i="17" s="1"/>
  <c r="AT157" i="17" l="1"/>
  <c r="Q158" i="17"/>
  <c r="S158" i="17" s="1"/>
  <c r="T158" i="17" s="1"/>
  <c r="AF157" i="17"/>
  <c r="AG157" i="17" s="1"/>
  <c r="M158" i="17"/>
  <c r="N158" i="17" l="1"/>
  <c r="X158" i="17" s="1"/>
  <c r="Z158" i="17" s="1"/>
  <c r="AU158" i="17" l="1"/>
  <c r="V158" i="17" s="1"/>
  <c r="U158" i="17" l="1"/>
  <c r="W158" i="17" s="1"/>
  <c r="BK158" i="17" s="1"/>
  <c r="BH159" i="17" s="1"/>
  <c r="BI159" i="17" s="1"/>
  <c r="AV158" i="17" l="1"/>
  <c r="BG158" i="17"/>
  <c r="BD159" i="17" s="1"/>
  <c r="BE159" i="17" s="1"/>
  <c r="BF159" i="17" s="1"/>
  <c r="AE158" i="17"/>
  <c r="AA158" i="17"/>
  <c r="AB159" i="17" s="1"/>
  <c r="AC158" i="17" l="1"/>
  <c r="Q159" i="17" s="1"/>
  <c r="Y159" i="17"/>
  <c r="AD158" i="17" l="1"/>
  <c r="K159" i="17" s="1"/>
  <c r="AT158" i="17"/>
  <c r="AF158" i="17" l="1"/>
  <c r="AG158" i="17"/>
  <c r="S159" i="17"/>
  <c r="T159" i="17" s="1"/>
  <c r="M159" i="17"/>
  <c r="N159" i="17" l="1"/>
  <c r="X159" i="17" s="1"/>
  <c r="Z159" i="17" s="1"/>
  <c r="AU159" i="17" l="1"/>
  <c r="U159" i="17" s="1"/>
  <c r="V159" i="17"/>
  <c r="W159" i="17" l="1"/>
  <c r="BK159" i="17" s="1"/>
  <c r="BH160" i="17" s="1"/>
  <c r="BI160" i="17" s="1"/>
  <c r="AV159" i="17" l="1"/>
  <c r="AA159" i="17"/>
  <c r="AC159" i="17" s="1"/>
  <c r="AT159" i="17" s="1"/>
  <c r="BG159" i="17"/>
  <c r="BD160" i="17" s="1"/>
  <c r="BE160" i="17" s="1"/>
  <c r="BF160" i="17" s="1"/>
  <c r="AE159" i="17"/>
  <c r="AB160" i="17" l="1"/>
  <c r="AD159" i="17"/>
  <c r="K160" i="17" s="1"/>
  <c r="M160" i="17" s="1"/>
  <c r="Q160" i="17"/>
  <c r="S160" i="17" s="1"/>
  <c r="T160" i="17" s="1"/>
  <c r="Y160" i="17"/>
  <c r="AF159" i="17" l="1"/>
  <c r="AG159" i="17" s="1"/>
  <c r="N160" i="17"/>
  <c r="X160" i="17" s="1"/>
  <c r="Z160" i="17" s="1"/>
  <c r="AU160" i="17" l="1"/>
  <c r="V160" i="17"/>
  <c r="U160" i="17"/>
  <c r="W160" i="17" l="1"/>
  <c r="BK160" i="17" s="1"/>
  <c r="BH161" i="17" s="1"/>
  <c r="BI161" i="17" s="1"/>
  <c r="BG160" i="17"/>
  <c r="BD161" i="17" s="1"/>
  <c r="BE161" i="17" s="1"/>
  <c r="BF161" i="17" s="1"/>
  <c r="AA160" i="17"/>
  <c r="AB161" i="17" s="1"/>
  <c r="AE160" i="17"/>
  <c r="AV160" i="17"/>
  <c r="AC160" i="17" l="1"/>
  <c r="Q161" i="17" s="1"/>
  <c r="Y161" i="17"/>
  <c r="AD160" i="17" l="1"/>
  <c r="K161" i="17" s="1"/>
  <c r="AT160" i="17"/>
  <c r="AF160" i="17" l="1"/>
  <c r="AG160" i="17" s="1"/>
  <c r="M161" i="17" l="1"/>
  <c r="N161" i="17" s="1"/>
  <c r="S161" i="17"/>
  <c r="T161" i="17" s="1"/>
  <c r="AU161" i="17" l="1"/>
  <c r="X161" i="17"/>
  <c r="Z161" i="17" s="1"/>
  <c r="V161" i="17" l="1"/>
  <c r="U161" i="17"/>
  <c r="W161" i="17" l="1"/>
  <c r="BG161" i="17" s="1"/>
  <c r="BD162" i="17" s="1"/>
  <c r="BE162" i="17" s="1"/>
  <c r="BF162" i="17" s="1"/>
  <c r="AV161" i="17" l="1"/>
  <c r="AA161" i="17"/>
  <c r="AB162" i="17" s="1"/>
  <c r="AE161" i="17"/>
  <c r="BK161" i="17"/>
  <c r="BH162" i="17" s="1"/>
  <c r="BI162" i="17" s="1"/>
  <c r="AC161" i="17" l="1"/>
  <c r="Q162" i="17" s="1"/>
  <c r="Y162" i="17"/>
  <c r="AD161" i="17" l="1"/>
  <c r="AF161" i="17" s="1"/>
  <c r="AG161" i="17" s="1"/>
  <c r="AT161" i="17"/>
  <c r="S162" i="17"/>
  <c r="T162" i="17" s="1"/>
  <c r="K162" i="17" l="1"/>
  <c r="M162" i="17" s="1"/>
  <c r="N162" i="17" s="1"/>
  <c r="X162" i="17" s="1"/>
  <c r="Z162" i="17" s="1"/>
  <c r="AU162" i="17" l="1"/>
  <c r="U162" i="17"/>
  <c r="V162" i="17"/>
  <c r="W162" i="17" l="1"/>
  <c r="AE162" i="17" s="1"/>
  <c r="BK162" i="17" l="1"/>
  <c r="BH163" i="17" s="1"/>
  <c r="BI163" i="17" s="1"/>
  <c r="BG162" i="17"/>
  <c r="BD163" i="17" s="1"/>
  <c r="BE163" i="17" s="1"/>
  <c r="BF163" i="17" s="1"/>
  <c r="AV162" i="17"/>
  <c r="AA162" i="17"/>
  <c r="AB163" i="17" s="1"/>
  <c r="AC162" i="17" l="1"/>
  <c r="Q163" i="17" s="1"/>
  <c r="S163" i="17" s="1"/>
  <c r="T163" i="17" s="1"/>
  <c r="Y163" i="17"/>
  <c r="AT162" i="17" l="1"/>
  <c r="AD162" i="17"/>
  <c r="AF162" i="17" s="1"/>
  <c r="AG162" i="17" s="1"/>
  <c r="K163" i="17" l="1"/>
  <c r="M163" i="17" s="1"/>
  <c r="N163" i="17" s="1"/>
  <c r="X163" i="17" s="1"/>
  <c r="Z163" i="17" s="1"/>
  <c r="AU163" i="17" l="1"/>
  <c r="V163" i="17" l="1"/>
  <c r="U163" i="17"/>
  <c r="W163" i="17" s="1"/>
  <c r="AA163" i="17" l="1"/>
  <c r="BK163" i="17"/>
  <c r="BH164" i="17" s="1"/>
  <c r="BI164" i="17" s="1"/>
  <c r="BG163" i="17"/>
  <c r="BD164" i="17" s="1"/>
  <c r="BE164" i="17" s="1"/>
  <c r="BF164" i="17" s="1"/>
  <c r="AV163" i="17"/>
  <c r="AE163" i="17"/>
  <c r="AB164" i="17" l="1"/>
  <c r="Y164" i="17"/>
  <c r="AC163" i="17"/>
  <c r="Q164" i="17" l="1"/>
  <c r="S164" i="17" s="1"/>
  <c r="T164" i="17" s="1"/>
  <c r="AT163" i="17"/>
  <c r="AD163" i="17"/>
  <c r="K164" i="17" s="1"/>
  <c r="M164" i="17" s="1"/>
  <c r="N164" i="17" s="1"/>
  <c r="AU164" i="17" l="1"/>
  <c r="U164" i="17" s="1"/>
  <c r="X164" i="17"/>
  <c r="Z164" i="17" s="1"/>
  <c r="AF163" i="17"/>
  <c r="AG163" i="17" s="1"/>
  <c r="V164" i="17" l="1"/>
  <c r="W164" i="17" s="1"/>
  <c r="BG164" i="17" s="1"/>
  <c r="BD165" i="17" s="1"/>
  <c r="BE165" i="17" s="1"/>
  <c r="BF165" i="17" s="1"/>
  <c r="AE164" i="17" l="1"/>
  <c r="AV164" i="17"/>
  <c r="BK164" i="17"/>
  <c r="BH165" i="17" s="1"/>
  <c r="BI165" i="17" s="1"/>
  <c r="AA164" i="17"/>
  <c r="AB165" i="17" s="1"/>
  <c r="AC164" i="17" l="1"/>
  <c r="Y165" i="17"/>
  <c r="Q165" i="17" l="1"/>
  <c r="S165" i="17" s="1"/>
  <c r="T165" i="17" s="1"/>
  <c r="AT164" i="17"/>
  <c r="AD164" i="17"/>
  <c r="K165" i="17" l="1"/>
  <c r="AF164" i="17"/>
  <c r="AG164" i="17" s="1"/>
  <c r="M165" i="17" l="1"/>
  <c r="N165" i="17" s="1"/>
  <c r="X165" i="17" s="1"/>
  <c r="Z165" i="17" s="1"/>
  <c r="AU165" i="17" l="1"/>
  <c r="U165" i="17" s="1"/>
  <c r="V165" i="17"/>
  <c r="W165" i="17" l="1"/>
  <c r="BG165" i="17" l="1"/>
  <c r="BD166" i="17" s="1"/>
  <c r="BE166" i="17" s="1"/>
  <c r="BF166" i="17" s="1"/>
  <c r="AV165" i="17"/>
  <c r="AE165" i="17"/>
  <c r="AA165" i="17"/>
  <c r="BK165" i="17"/>
  <c r="BH166" i="17" s="1"/>
  <c r="BI166" i="17" s="1"/>
  <c r="Y166" i="17" l="1"/>
  <c r="AC165" i="17"/>
  <c r="AB166" i="17"/>
  <c r="Q166" i="17" l="1"/>
  <c r="S166" i="17" s="1"/>
  <c r="T166" i="17" s="1"/>
  <c r="AD165" i="17"/>
  <c r="K166" i="17" s="1"/>
  <c r="AT165" i="17"/>
  <c r="AF165" i="17" l="1"/>
  <c r="AG165" i="17" s="1"/>
  <c r="M166" i="17"/>
  <c r="N166" i="17" s="1"/>
  <c r="AU166" i="17" s="1"/>
  <c r="U166" i="17" s="1"/>
  <c r="V166" i="17" l="1"/>
  <c r="W166" i="17" s="1"/>
  <c r="AE166" i="17" s="1"/>
  <c r="X166" i="17"/>
  <c r="Z166" i="17" s="1"/>
  <c r="BG166" i="17" l="1"/>
  <c r="BD167" i="17" s="1"/>
  <c r="BE167" i="17" s="1"/>
  <c r="BF167" i="17" s="1"/>
  <c r="BK166" i="17"/>
  <c r="BH167" i="17" s="1"/>
  <c r="BI167" i="17" s="1"/>
  <c r="AA166" i="17"/>
  <c r="AV166" i="17"/>
  <c r="AB167" i="17" l="1"/>
  <c r="Y167" i="17"/>
  <c r="AC166" i="17"/>
  <c r="Q167" i="17" l="1"/>
  <c r="S167" i="17" s="1"/>
  <c r="T167" i="17" s="1"/>
  <c r="AD166" i="17"/>
  <c r="K167" i="17" s="1"/>
  <c r="AT166" i="17"/>
  <c r="AF166" i="17" l="1"/>
  <c r="AG166" i="17" s="1"/>
  <c r="M167" i="17"/>
  <c r="N167" i="17" s="1"/>
  <c r="AU167" i="17" s="1"/>
  <c r="U167" i="17" s="1"/>
  <c r="V167" i="17"/>
  <c r="X167" i="17" l="1"/>
  <c r="Z167" i="17" s="1"/>
  <c r="W167" i="17"/>
  <c r="BK167" i="17" s="1"/>
  <c r="BH168" i="17" s="1"/>
  <c r="BI168" i="17" s="1"/>
  <c r="AV167" i="17" l="1"/>
  <c r="AA167" i="17"/>
  <c r="AB168" i="17" s="1"/>
  <c r="BG167" i="17"/>
  <c r="BD168" i="17" s="1"/>
  <c r="BE168" i="17" s="1"/>
  <c r="BF168" i="17" s="1"/>
  <c r="AE167" i="17"/>
  <c r="Y168" i="17" l="1"/>
  <c r="AC167" i="17"/>
  <c r="AT167" i="17" s="1"/>
  <c r="Q168" i="17" l="1"/>
  <c r="S168" i="17" s="1"/>
  <c r="T168" i="17" s="1"/>
  <c r="AD167" i="17"/>
  <c r="AF167" i="17" l="1"/>
  <c r="AG167" i="17" s="1"/>
  <c r="K168" i="17"/>
  <c r="M168" i="17" l="1"/>
  <c r="N168" i="17" s="1"/>
  <c r="AU168" i="17" s="1"/>
  <c r="U168" i="17" s="1"/>
  <c r="V168" i="17" l="1"/>
  <c r="W168" i="17" s="1"/>
  <c r="X168" i="17"/>
  <c r="Z168" i="17" s="1"/>
  <c r="AV168" i="17" l="1"/>
  <c r="BK168" i="17"/>
  <c r="BH169" i="17" s="1"/>
  <c r="BI169" i="17" s="1"/>
  <c r="BG168" i="17"/>
  <c r="BD169" i="17" s="1"/>
  <c r="BE169" i="17" s="1"/>
  <c r="BF169" i="17" s="1"/>
  <c r="AE168" i="17"/>
  <c r="AA168" i="17"/>
  <c r="AB169" i="17" s="1"/>
  <c r="Y169" i="17"/>
  <c r="AC168" i="17"/>
  <c r="Q169" i="17" s="1"/>
  <c r="AT168" i="17" l="1"/>
  <c r="AD168" i="17"/>
  <c r="K169" i="17" s="1"/>
  <c r="AF168" i="17" l="1"/>
  <c r="AG168" i="17" s="1"/>
  <c r="S169" i="17"/>
  <c r="T169" i="17" s="1"/>
  <c r="M169" i="17"/>
  <c r="N169" i="17" l="1"/>
  <c r="X169" i="17" s="1"/>
  <c r="AU169" i="17" l="1"/>
  <c r="U169" i="17" s="1"/>
  <c r="V169" i="17"/>
  <c r="Z169" i="17"/>
  <c r="W169" i="17" l="1"/>
  <c r="AE169" i="17" s="1"/>
  <c r="BG169" i="17" l="1"/>
  <c r="BD170" i="17" s="1"/>
  <c r="BE170" i="17" s="1"/>
  <c r="BF170" i="17" s="1"/>
  <c r="AV169" i="17"/>
  <c r="AA169" i="17"/>
  <c r="AC169" i="17" s="1"/>
  <c r="BK169" i="17"/>
  <c r="BH170" i="17" s="1"/>
  <c r="BI170" i="17" s="1"/>
  <c r="Y170" i="17" l="1"/>
  <c r="Q170" i="17"/>
  <c r="AT169" i="17"/>
  <c r="AD169" i="17"/>
  <c r="K170" i="17" s="1"/>
  <c r="AB170" i="17"/>
  <c r="AF169" i="17" l="1"/>
  <c r="AG169" i="17" s="1"/>
  <c r="S170" i="17"/>
  <c r="T170" i="17" s="1"/>
  <c r="M170" i="17"/>
  <c r="N170" i="17" s="1"/>
  <c r="AU170" i="17" l="1"/>
  <c r="X170" i="17"/>
  <c r="AC170" i="17" s="1"/>
  <c r="V170" i="17" l="1"/>
  <c r="U170" i="17"/>
  <c r="Z170" i="17"/>
  <c r="Q171" i="17" s="1"/>
  <c r="W170" i="17" l="1"/>
  <c r="BK170" i="17" s="1"/>
  <c r="BH171" i="17" s="1"/>
  <c r="BI171" i="17" s="1"/>
  <c r="AV170" i="17" l="1"/>
  <c r="AA170" i="17"/>
  <c r="AD170" i="17" s="1"/>
  <c r="K171" i="17" s="1"/>
  <c r="AT170" i="17"/>
  <c r="AE170" i="17"/>
  <c r="BG170" i="17"/>
  <c r="BD171" i="17" s="1"/>
  <c r="BE171" i="17" s="1"/>
  <c r="BF171" i="17" s="1"/>
  <c r="Y171" i="17" l="1"/>
  <c r="AB171" i="17"/>
  <c r="AF170" i="17"/>
  <c r="S171" i="17"/>
  <c r="T171" i="17" s="1"/>
  <c r="M171" i="17"/>
  <c r="N171" i="17" s="1"/>
  <c r="AU171" i="17" l="1"/>
  <c r="U171" i="17" s="1"/>
  <c r="X171" i="17"/>
  <c r="Z171" i="17" s="1"/>
  <c r="V171" i="17" l="1"/>
  <c r="W171" i="17" s="1"/>
  <c r="BK171" i="17" l="1"/>
  <c r="BH172" i="17" s="1"/>
  <c r="BI172" i="17" s="1"/>
  <c r="AE171" i="17"/>
  <c r="AV171" i="17"/>
  <c r="AA171" i="17"/>
  <c r="BG171" i="17"/>
  <c r="BD172" i="17" s="1"/>
  <c r="AC171" i="17" l="1"/>
  <c r="Q172" i="17" s="1"/>
  <c r="AB172" i="17"/>
  <c r="Y172" i="17"/>
  <c r="BE172" i="17"/>
  <c r="BF172" i="17" s="1"/>
  <c r="AD171" i="17" l="1"/>
  <c r="K172" i="17" s="1"/>
  <c r="AT171" i="17"/>
  <c r="AF171" i="17" l="1"/>
  <c r="AG171" i="17" s="1"/>
  <c r="S172" i="17"/>
  <c r="T172" i="17" s="1"/>
  <c r="M172" i="17"/>
  <c r="N172" i="17" l="1"/>
  <c r="AU172" i="17" l="1"/>
  <c r="U172" i="17" s="1"/>
  <c r="X172" i="17"/>
  <c r="Z172" i="17" s="1"/>
  <c r="V172" i="17"/>
  <c r="W172" i="17" l="1"/>
  <c r="BG172" i="17" s="1"/>
  <c r="BD173" i="17" s="1"/>
  <c r="AE172" i="17" l="1"/>
  <c r="AA172" i="17"/>
  <c r="AB173" i="17" s="1"/>
  <c r="BK172" i="17"/>
  <c r="BH173" i="17" s="1"/>
  <c r="BI173" i="17" s="1"/>
  <c r="AV172" i="17"/>
  <c r="BE173" i="17"/>
  <c r="BF173" i="17" s="1"/>
  <c r="AC172" i="17" l="1"/>
  <c r="Q173" i="17" s="1"/>
  <c r="Y173" i="17"/>
  <c r="AD172" i="17" l="1"/>
  <c r="AF172" i="17" s="1"/>
  <c r="AG172" i="17" s="1"/>
  <c r="AT172" i="17"/>
  <c r="K173" i="17" l="1"/>
  <c r="M173" i="17" s="1"/>
  <c r="N173" i="17" s="1"/>
  <c r="S173" i="17"/>
  <c r="T173" i="17" s="1"/>
  <c r="AU173" i="17" l="1"/>
  <c r="X173" i="17"/>
  <c r="Z173" i="17" s="1"/>
  <c r="U173" i="17"/>
  <c r="V173" i="17" l="1"/>
  <c r="W173" i="17" s="1"/>
  <c r="AE173" i="17" s="1"/>
  <c r="BK173" i="17" l="1"/>
  <c r="BH174" i="17" s="1"/>
  <c r="BI174" i="17" s="1"/>
  <c r="BG173" i="17"/>
  <c r="BD174" i="17" s="1"/>
  <c r="AA173" i="17"/>
  <c r="AV173" i="17"/>
  <c r="AC173" i="17" l="1"/>
  <c r="AD173" i="17" s="1"/>
  <c r="AB174" i="17"/>
  <c r="BE174" i="17"/>
  <c r="BF174" i="17" s="1"/>
  <c r="Y174" i="17"/>
  <c r="AT173" i="17" l="1"/>
  <c r="Q174" i="17"/>
  <c r="S174" i="17" s="1"/>
  <c r="T174" i="17" s="1"/>
  <c r="AF173" i="17"/>
  <c r="AG173" i="17" s="1"/>
  <c r="K174" i="17"/>
  <c r="M174" i="17" s="1"/>
  <c r="N174" i="17" l="1"/>
  <c r="X174" i="17" s="1"/>
  <c r="Z174" i="17" s="1"/>
  <c r="AU174" i="17" l="1"/>
  <c r="V174" i="17" s="1"/>
  <c r="U174" i="17" l="1"/>
  <c r="W174" i="17" s="1"/>
  <c r="BG174" i="17" l="1"/>
  <c r="BD175" i="17" s="1"/>
  <c r="BE175" i="17" s="1"/>
  <c r="BF175" i="17" s="1"/>
  <c r="AA174" i="17"/>
  <c r="AB175" i="17" s="1"/>
  <c r="BK174" i="17"/>
  <c r="BH175" i="17" s="1"/>
  <c r="BI175" i="17" s="1"/>
  <c r="AV174" i="17"/>
  <c r="AE174" i="17"/>
  <c r="Y175" i="17" l="1"/>
  <c r="AC174" i="17"/>
  <c r="Q175" i="17" s="1"/>
  <c r="AD174" i="17" l="1"/>
  <c r="AT174" i="17"/>
  <c r="S175" i="17"/>
  <c r="T175" i="17" s="1"/>
  <c r="AF174" i="17" l="1"/>
  <c r="AG174" i="17" s="1"/>
  <c r="K175" i="17"/>
  <c r="M175" i="17" s="1"/>
  <c r="N175" i="17" s="1"/>
  <c r="X175" i="17" l="1"/>
  <c r="Z175" i="17" s="1"/>
  <c r="AU175" i="17"/>
  <c r="V175" i="17"/>
  <c r="U175" i="17"/>
  <c r="W175" i="17" l="1"/>
  <c r="BK175" i="17" s="1"/>
  <c r="BH176" i="17" s="1"/>
  <c r="BI176" i="17" s="1"/>
  <c r="AA175" i="17" l="1"/>
  <c r="AB176" i="17" s="1"/>
  <c r="AV175" i="17"/>
  <c r="BG175" i="17"/>
  <c r="BD176" i="17" s="1"/>
  <c r="BE176" i="17" s="1"/>
  <c r="BF176" i="17" s="1"/>
  <c r="AE175" i="17"/>
  <c r="Y176" i="17"/>
  <c r="AC175" i="17"/>
  <c r="Q176" i="17" s="1"/>
  <c r="AD175" i="17" l="1"/>
  <c r="K176" i="17" s="1"/>
  <c r="AT175" i="17"/>
  <c r="AF175" i="17" l="1"/>
  <c r="AG175" i="17" s="1"/>
  <c r="S176" i="17" l="1"/>
  <c r="T176" i="17" s="1"/>
  <c r="M176" i="17"/>
  <c r="N176" i="17" l="1"/>
  <c r="X176" i="17" s="1"/>
  <c r="Z176" i="17" s="1"/>
  <c r="AU176" i="17" l="1"/>
  <c r="U176" i="17" s="1"/>
  <c r="V176" i="17" l="1"/>
  <c r="W176" i="17" s="1"/>
  <c r="BK176" i="17" s="1"/>
  <c r="BH177" i="17" s="1"/>
  <c r="BI177" i="17" s="1"/>
  <c r="BG176" i="17" l="1"/>
  <c r="BD177" i="17" s="1"/>
  <c r="BE177" i="17" s="1"/>
  <c r="BF177" i="17" s="1"/>
  <c r="AV176" i="17"/>
  <c r="AA176" i="17"/>
  <c r="AC176" i="17" s="1"/>
  <c r="AE176" i="17"/>
  <c r="Y177" i="17" l="1"/>
  <c r="AB177" i="17"/>
  <c r="Q177" i="17"/>
  <c r="S177" i="17" s="1"/>
  <c r="T177" i="17" s="1"/>
  <c r="AD176" i="17"/>
  <c r="K177" i="17" s="1"/>
  <c r="M177" i="17" s="1"/>
  <c r="N177" i="17" s="1"/>
  <c r="AT176" i="17"/>
  <c r="X177" i="17" l="1"/>
  <c r="Z177" i="17" s="1"/>
  <c r="AF176" i="17"/>
  <c r="AG176" i="17" s="1"/>
  <c r="AU177" i="17"/>
  <c r="U177" i="17" s="1"/>
  <c r="V177" i="17"/>
  <c r="W177" i="17" l="1"/>
  <c r="BG177" i="17" s="1"/>
  <c r="BD178" i="17" s="1"/>
  <c r="BE178" i="17" s="1"/>
  <c r="BF178" i="17" s="1"/>
  <c r="BK177" i="17" l="1"/>
  <c r="BH178" i="17" s="1"/>
  <c r="BI178" i="17" s="1"/>
  <c r="AV177" i="17"/>
  <c r="AA177" i="17"/>
  <c r="AB178" i="17" s="1"/>
  <c r="AE177" i="17"/>
  <c r="AC177" i="17" l="1"/>
  <c r="Q178" i="17" s="1"/>
  <c r="Y178" i="17"/>
  <c r="AT177" i="17" l="1"/>
  <c r="AD177" i="17"/>
  <c r="K178" i="17" s="1"/>
  <c r="M178" i="17" s="1"/>
  <c r="N178" i="17" s="1"/>
  <c r="S178" i="17"/>
  <c r="T178" i="17" s="1"/>
  <c r="AF177" i="17" l="1"/>
  <c r="AG177" i="17" s="1"/>
  <c r="AU178" i="17"/>
  <c r="X178" i="17"/>
  <c r="Z178" i="17" s="1"/>
  <c r="U178" i="17"/>
  <c r="V178" i="17" l="1"/>
  <c r="W178" i="17" s="1"/>
  <c r="BK178" i="17" l="1"/>
  <c r="BH179" i="17" s="1"/>
  <c r="BI179" i="17" s="1"/>
  <c r="AE178" i="17"/>
  <c r="BG178" i="17"/>
  <c r="BD179" i="17" s="1"/>
  <c r="AA178" i="17"/>
  <c r="AV178" i="17"/>
  <c r="AC178" i="17" l="1"/>
  <c r="Q179" i="17" s="1"/>
  <c r="AB179" i="17"/>
  <c r="BE179" i="17"/>
  <c r="BF179" i="17" s="1"/>
  <c r="Y179" i="17"/>
  <c r="AD178" i="17" l="1"/>
  <c r="AF178" i="17" s="1"/>
  <c r="AG178" i="17" s="1"/>
  <c r="AT178" i="17"/>
  <c r="K179" i="17" l="1"/>
  <c r="M179" i="17" s="1"/>
  <c r="N179" i="17" s="1"/>
  <c r="S179" i="17"/>
  <c r="T179" i="17" s="1"/>
  <c r="AU179" i="17" l="1"/>
  <c r="X179" i="17"/>
  <c r="Z179" i="17" s="1"/>
  <c r="V179" i="17" l="1"/>
  <c r="U179" i="17"/>
  <c r="W179" i="17" l="1"/>
  <c r="BK179" i="17" s="1"/>
  <c r="BH180" i="17" s="1"/>
  <c r="BI180" i="17" s="1"/>
  <c r="AE179" i="17"/>
  <c r="BG179" i="17"/>
  <c r="BD180" i="17" s="1"/>
  <c r="AA179" i="17"/>
  <c r="AV179" i="17"/>
  <c r="Y180" i="17" l="1"/>
  <c r="AB180" i="17"/>
  <c r="BE180" i="17"/>
  <c r="BF180" i="17" s="1"/>
  <c r="AC179" i="17"/>
  <c r="Q180" i="17" s="1"/>
  <c r="AD179" i="17" l="1"/>
  <c r="K180" i="17" s="1"/>
  <c r="AT179" i="17"/>
  <c r="AF179" i="17" l="1"/>
  <c r="AG179" i="17" s="1"/>
  <c r="S180" i="17" l="1"/>
  <c r="T180" i="17" s="1"/>
  <c r="M180" i="17"/>
  <c r="N180" i="17" l="1"/>
  <c r="X180" i="17" s="1"/>
  <c r="Z180" i="17" s="1"/>
  <c r="AU180" i="17" l="1"/>
  <c r="V180" i="17"/>
  <c r="U180" i="17"/>
  <c r="W180" i="17" l="1"/>
  <c r="BG180" i="17" l="1"/>
  <c r="BD181" i="17" s="1"/>
  <c r="BE181" i="17" s="1"/>
  <c r="BF181" i="17" s="1"/>
  <c r="BK180" i="17"/>
  <c r="BH181" i="17" s="1"/>
  <c r="BI181" i="17" s="1"/>
  <c r="AE180" i="17"/>
  <c r="AA180" i="17"/>
  <c r="AB181" i="17" s="1"/>
  <c r="AV180" i="17"/>
  <c r="Y181" i="17" l="1"/>
  <c r="AC180" i="17"/>
  <c r="Q181" i="17" s="1"/>
  <c r="AD180" i="17" l="1"/>
  <c r="K181" i="17" s="1"/>
  <c r="AT180" i="17"/>
  <c r="S181" i="17"/>
  <c r="T181" i="17" s="1"/>
  <c r="AF180" i="17" l="1"/>
  <c r="AG180" i="17" s="1"/>
  <c r="M181" i="17"/>
  <c r="N181" i="17" s="1"/>
  <c r="X181" i="17" l="1"/>
  <c r="Z181" i="17" s="1"/>
  <c r="AU181" i="17"/>
  <c r="V181" i="17"/>
  <c r="U181" i="17"/>
  <c r="W181" i="17" l="1"/>
  <c r="BK181" i="17" s="1"/>
  <c r="BH182" i="17" s="1"/>
  <c r="BI182" i="17" s="1"/>
  <c r="AV181" i="17" l="1"/>
  <c r="AA181" i="17"/>
  <c r="AB182" i="17" s="1"/>
  <c r="BG181" i="17"/>
  <c r="BD182" i="17" s="1"/>
  <c r="BE182" i="17" s="1"/>
  <c r="BF182" i="17" s="1"/>
  <c r="AE181" i="17"/>
  <c r="AC181" i="17" l="1"/>
  <c r="Q182" i="17" s="1"/>
  <c r="Y182" i="17"/>
  <c r="AT181" i="17" l="1"/>
  <c r="AD181" i="17"/>
  <c r="AF181" i="17" s="1"/>
  <c r="AG181" i="17" s="1"/>
  <c r="K182" i="17" l="1"/>
  <c r="M182" i="17" s="1"/>
  <c r="N182" i="17" s="1"/>
  <c r="S182" i="17"/>
  <c r="T182" i="17" s="1"/>
  <c r="AU182" i="17" l="1"/>
  <c r="X182" i="17"/>
  <c r="Z182" i="17" s="1"/>
  <c r="V182" i="17" l="1"/>
  <c r="U182" i="17"/>
  <c r="W182" i="17" s="1"/>
  <c r="BK182" i="17" l="1"/>
  <c r="BH183" i="17" s="1"/>
  <c r="BI183" i="17" s="1"/>
  <c r="AE182" i="17"/>
  <c r="BG182" i="17"/>
  <c r="BD183" i="17" s="1"/>
  <c r="AV182" i="17"/>
  <c r="AA182" i="17"/>
  <c r="AB183" i="17" s="1"/>
  <c r="BE183" i="17" l="1"/>
  <c r="BF183" i="17" s="1"/>
  <c r="Y183" i="17"/>
  <c r="AC182" i="17"/>
  <c r="Q183" i="17" s="1"/>
  <c r="AD182" i="17" l="1"/>
  <c r="K183" i="17" s="1"/>
  <c r="AT182" i="17"/>
  <c r="AF182" i="17" l="1"/>
  <c r="AG182" i="17" s="1"/>
  <c r="S183" i="17" l="1"/>
  <c r="T183" i="17" s="1"/>
  <c r="M183" i="17"/>
  <c r="N183" i="17" l="1"/>
  <c r="AU183" i="17" l="1"/>
  <c r="V183" i="17" s="1"/>
  <c r="X183" i="17"/>
  <c r="Z183" i="17" s="1"/>
  <c r="U183" i="17" l="1"/>
  <c r="W183" i="17" s="1"/>
  <c r="BK183" i="17" s="1"/>
  <c r="BH184" i="17" s="1"/>
  <c r="BI184" i="17" s="1"/>
  <c r="BG183" i="17" l="1"/>
  <c r="BD184" i="17" s="1"/>
  <c r="BE184" i="17" s="1"/>
  <c r="BF184" i="17" s="1"/>
  <c r="AV183" i="17"/>
  <c r="AE183" i="17"/>
  <c r="AA183" i="17"/>
  <c r="AB184" i="17" s="1"/>
  <c r="Y184" i="17" l="1"/>
  <c r="AC183" i="17"/>
  <c r="AT183" i="17" l="1"/>
  <c r="Q184" i="17"/>
  <c r="AD183" i="17"/>
  <c r="K184" i="17" s="1"/>
  <c r="AF183" i="17" l="1"/>
  <c r="AG183" i="17" s="1"/>
  <c r="M184" i="17"/>
  <c r="N184" i="17" s="1"/>
  <c r="S184" i="17"/>
  <c r="T184" i="17" s="1"/>
  <c r="X184" i="17" l="1"/>
  <c r="Z184" i="17" s="1"/>
  <c r="AU184" i="17"/>
  <c r="U184" i="17" s="1"/>
  <c r="V184" i="17"/>
  <c r="W184" i="17" l="1"/>
  <c r="AV184" i="17" s="1"/>
  <c r="AA184" i="17" l="1"/>
  <c r="Y185" i="17" s="1"/>
  <c r="BG184" i="17"/>
  <c r="BD185" i="17" s="1"/>
  <c r="BE185" i="17" s="1"/>
  <c r="BF185" i="17" s="1"/>
  <c r="BK184" i="17"/>
  <c r="BH185" i="17" s="1"/>
  <c r="BI185" i="17" s="1"/>
  <c r="AE184" i="17"/>
  <c r="AB185" i="17" l="1"/>
  <c r="AC184" i="17"/>
  <c r="AT184" i="17" s="1"/>
  <c r="Q185" i="17" l="1"/>
  <c r="S185" i="17" s="1"/>
  <c r="T185" i="17" s="1"/>
  <c r="AD184" i="17"/>
  <c r="K185" i="17" s="1"/>
  <c r="M185" i="17" s="1"/>
  <c r="AF184" i="17" l="1"/>
  <c r="AG184" i="17" s="1"/>
  <c r="N185" i="17"/>
  <c r="AU185" i="17" l="1"/>
  <c r="U185" i="17" s="1"/>
  <c r="V185" i="17"/>
  <c r="X185" i="17"/>
  <c r="Z185" i="17" s="1"/>
  <c r="W185" i="17" l="1"/>
  <c r="BG185" i="17" l="1"/>
  <c r="BD186" i="17" s="1"/>
  <c r="BE186" i="17" s="1"/>
  <c r="BF186" i="17" s="1"/>
  <c r="AA185" i="17"/>
  <c r="AB186" i="17" s="1"/>
  <c r="BK185" i="17"/>
  <c r="BH186" i="17" s="1"/>
  <c r="BI186" i="17" s="1"/>
  <c r="AV185" i="17"/>
  <c r="AE185" i="17"/>
  <c r="Y186" i="17" l="1"/>
  <c r="AC185" i="17"/>
  <c r="Q186" i="17" l="1"/>
  <c r="AD185" i="17"/>
  <c r="AT185" i="17"/>
  <c r="AF185" i="17" l="1"/>
  <c r="AG185" i="17" s="1"/>
  <c r="K186" i="17"/>
  <c r="S186" i="17"/>
  <c r="T186" i="17" s="1"/>
  <c r="M186" i="17" l="1"/>
  <c r="N186" i="17" s="1"/>
  <c r="X186" i="17" s="1"/>
  <c r="Z186" i="17" s="1"/>
  <c r="AU186" i="17" l="1"/>
  <c r="U186" i="17" l="1"/>
  <c r="V186" i="17"/>
  <c r="W186" i="17" l="1"/>
  <c r="BG186" i="17" l="1"/>
  <c r="BD187" i="17" s="1"/>
  <c r="BE187" i="17" s="1"/>
  <c r="BF187" i="17" s="1"/>
  <c r="AV186" i="17"/>
  <c r="BK186" i="17"/>
  <c r="BH187" i="17" s="1"/>
  <c r="BI187" i="17" s="1"/>
  <c r="AE186" i="17"/>
  <c r="AA186" i="17"/>
  <c r="AB187" i="17" l="1"/>
  <c r="Y187" i="17"/>
  <c r="AC186" i="17"/>
  <c r="Q187" i="17" l="1"/>
  <c r="S187" i="17" s="1"/>
  <c r="T187" i="17" s="1"/>
  <c r="AT186" i="17"/>
  <c r="AD186" i="17"/>
  <c r="K187" i="17" s="1"/>
  <c r="M187" i="17" l="1"/>
  <c r="N187" i="17" s="1"/>
  <c r="AU187" i="17" s="1"/>
  <c r="U187" i="17" s="1"/>
  <c r="V187" i="17"/>
  <c r="AF186" i="17"/>
  <c r="AG186" i="17" s="1"/>
  <c r="X187" i="17" l="1"/>
  <c r="Z187" i="17" s="1"/>
  <c r="W187" i="17"/>
  <c r="AE187" i="17" s="1"/>
  <c r="BG187" i="17" l="1"/>
  <c r="BD188" i="17" s="1"/>
  <c r="BE188" i="17" s="1"/>
  <c r="BF188" i="17" s="1"/>
  <c r="AV187" i="17"/>
  <c r="BK187" i="17"/>
  <c r="BH188" i="17" s="1"/>
  <c r="BI188" i="17" s="1"/>
  <c r="AA187" i="17"/>
  <c r="AC187" i="17" s="1"/>
  <c r="AB188" i="17" l="1"/>
  <c r="Y188" i="17"/>
  <c r="Q188" i="17"/>
  <c r="S188" i="17" s="1"/>
  <c r="AT187" i="17"/>
  <c r="AD187" i="17"/>
  <c r="K188" i="17" s="1"/>
  <c r="M188" i="17" s="1"/>
  <c r="N188" i="17" s="1"/>
  <c r="AF187" i="17" l="1"/>
  <c r="AG187" i="17" s="1"/>
  <c r="AU188" i="17"/>
  <c r="T188" i="17"/>
  <c r="X188" i="17" s="1"/>
  <c r="Z188" i="17" s="1"/>
  <c r="V188" i="17" l="1"/>
  <c r="U188" i="17"/>
  <c r="W188" i="17" l="1"/>
  <c r="AE188" i="17" l="1"/>
  <c r="AV188" i="17"/>
  <c r="BG188" i="17"/>
  <c r="BD189" i="17" s="1"/>
  <c r="BE189" i="17" s="1"/>
  <c r="BF189" i="17" s="1"/>
  <c r="BK188" i="17"/>
  <c r="BH189" i="17" s="1"/>
  <c r="BI189" i="17" s="1"/>
  <c r="AA188" i="17"/>
  <c r="AB189" i="17" s="1"/>
  <c r="AC188" i="17" l="1"/>
  <c r="Q189" i="17" s="1"/>
  <c r="Y189" i="17"/>
  <c r="AD188" i="17" l="1"/>
  <c r="AT188" i="17"/>
  <c r="S189" i="17"/>
  <c r="T189" i="17" s="1"/>
  <c r="AF188" i="17" l="1"/>
  <c r="AG188" i="17" s="1"/>
  <c r="K189" i="17"/>
  <c r="M189" i="17" s="1"/>
  <c r="N189" i="17" s="1"/>
  <c r="X189" i="17" s="1"/>
  <c r="Z189" i="17" s="1"/>
  <c r="AU189" i="17" l="1"/>
  <c r="V189" i="17"/>
  <c r="U189" i="17"/>
  <c r="W189" i="17" l="1"/>
  <c r="BG189" i="17" s="1"/>
  <c r="BD190" i="17" s="1"/>
  <c r="BE190" i="17" s="1"/>
  <c r="BF190" i="17" s="1"/>
  <c r="AE189" i="17"/>
  <c r="AA189" i="17" l="1"/>
  <c r="AB190" i="17" s="1"/>
  <c r="AV189" i="17"/>
  <c r="BK189" i="17"/>
  <c r="BH190" i="17" s="1"/>
  <c r="BI190" i="17" s="1"/>
  <c r="AC189" i="17"/>
  <c r="Q190" i="17" s="1"/>
  <c r="Y190" i="17"/>
  <c r="AT189" i="17" l="1"/>
  <c r="AD189" i="17"/>
  <c r="K190" i="17" s="1"/>
  <c r="AF189" i="17" l="1"/>
  <c r="AG189" i="17" s="1"/>
  <c r="M190" i="17"/>
  <c r="N190" i="17" s="1"/>
  <c r="S190" i="17"/>
  <c r="T190" i="17" s="1"/>
  <c r="AU190" i="17" l="1"/>
  <c r="X190" i="17"/>
  <c r="Z190" i="17" s="1"/>
  <c r="U190" i="17"/>
  <c r="V190" i="17" l="1"/>
  <c r="W190" i="17" s="1"/>
  <c r="BG190" i="17" l="1"/>
  <c r="BD191" i="17" s="1"/>
  <c r="BE191" i="17" s="1"/>
  <c r="BF191" i="17" s="1"/>
  <c r="BK190" i="17"/>
  <c r="BH191" i="17" s="1"/>
  <c r="BI191" i="17" s="1"/>
  <c r="AV190" i="17"/>
  <c r="AA190" i="17"/>
  <c r="AB191" i="17" s="1"/>
  <c r="AE190" i="17"/>
  <c r="Y191" i="17" l="1"/>
  <c r="AC190" i="17"/>
  <c r="Q191" i="17" s="1"/>
  <c r="AD190" i="17" l="1"/>
  <c r="K191" i="17" s="1"/>
  <c r="AT190" i="17"/>
  <c r="AF190" i="17" l="1"/>
  <c r="AG190" i="17" s="1"/>
  <c r="S191" i="17"/>
  <c r="T191" i="17" s="1"/>
  <c r="M191" i="17"/>
  <c r="N191" i="17" s="1"/>
  <c r="X191" i="17" l="1"/>
  <c r="Z191" i="17" s="1"/>
  <c r="AU191" i="17"/>
  <c r="U191" i="17"/>
  <c r="V191" i="17"/>
  <c r="W191" i="17" l="1"/>
  <c r="AA191" i="17" l="1"/>
  <c r="AB192" i="17" s="1"/>
  <c r="BK191" i="17"/>
  <c r="BH192" i="17" s="1"/>
  <c r="BI192" i="17" s="1"/>
  <c r="AV191" i="17"/>
  <c r="BG191" i="17"/>
  <c r="BD192" i="17" s="1"/>
  <c r="BE192" i="17" s="1"/>
  <c r="BF192" i="17" s="1"/>
  <c r="AE191" i="17"/>
  <c r="Y192" i="17" l="1"/>
  <c r="AC191" i="17"/>
  <c r="Q192" i="17" s="1"/>
  <c r="AT191" i="17" l="1"/>
  <c r="AD191" i="17"/>
  <c r="AF191" i="17" l="1"/>
  <c r="AG191" i="17" s="1"/>
  <c r="K192" i="17"/>
  <c r="M192" i="17" s="1"/>
  <c r="N192" i="17" s="1"/>
  <c r="S192" i="17"/>
  <c r="T192" i="17" s="1"/>
  <c r="X192" i="17" l="1"/>
  <c r="Z192" i="17" s="1"/>
  <c r="AU192" i="17"/>
  <c r="V192" i="17" s="1"/>
  <c r="U192" i="17" l="1"/>
  <c r="W192" i="17" s="1"/>
  <c r="AE192" i="17" l="1"/>
  <c r="BG192" i="17"/>
  <c r="BD193" i="17" s="1"/>
  <c r="BE193" i="17" s="1"/>
  <c r="BF193" i="17" s="1"/>
  <c r="BK192" i="17"/>
  <c r="BH193" i="17" s="1"/>
  <c r="BI193" i="17" s="1"/>
  <c r="AV192" i="17"/>
  <c r="AA192" i="17"/>
  <c r="AB193" i="17" s="1"/>
  <c r="AC192" i="17"/>
  <c r="Q193" i="17" s="1"/>
  <c r="Y193" i="17" l="1"/>
  <c r="AD192" i="17"/>
  <c r="AT192" i="17"/>
  <c r="S193" i="17"/>
  <c r="AF192" i="17" l="1"/>
  <c r="AG192" i="17" s="1"/>
  <c r="K193" i="17"/>
  <c r="M193" i="17" s="1"/>
  <c r="N193" i="17" s="1"/>
  <c r="T193" i="17"/>
  <c r="AU193" i="17" l="1"/>
  <c r="U193" i="17" s="1"/>
  <c r="X193" i="17"/>
  <c r="Z193" i="17" s="1"/>
  <c r="V193" i="17"/>
  <c r="W193" i="17" l="1"/>
  <c r="BK193" i="17" s="1"/>
  <c r="BH194" i="17" s="1"/>
  <c r="BI194" i="17" s="1"/>
  <c r="AE193" i="17" l="1"/>
  <c r="AA193" i="17"/>
  <c r="Y194" i="17" s="1"/>
  <c r="BG193" i="17"/>
  <c r="BD194" i="17" s="1"/>
  <c r="BE194" i="17" s="1"/>
  <c r="BF194" i="17" s="1"/>
  <c r="AV193" i="17"/>
  <c r="AC193" i="17" l="1"/>
  <c r="AT193" i="17" s="1"/>
  <c r="AB194" i="17"/>
  <c r="Q194" i="17" l="1"/>
  <c r="AD193" i="17"/>
  <c r="K194" i="17" s="1"/>
  <c r="S194" i="17"/>
  <c r="T194" i="17" s="1"/>
  <c r="AF193" i="17"/>
  <c r="AG193" i="17" s="1"/>
  <c r="M194" i="17" l="1"/>
  <c r="N194" i="17" s="1"/>
  <c r="AU194" i="17" l="1"/>
  <c r="V194" i="17" s="1"/>
  <c r="X194" i="17"/>
  <c r="Z194" i="17" s="1"/>
  <c r="U194" i="17" l="1"/>
  <c r="W194" i="17" s="1"/>
  <c r="BK194" i="17" s="1"/>
  <c r="BH195" i="17" s="1"/>
  <c r="BI195" i="17" s="1"/>
  <c r="AA194" i="17" l="1"/>
  <c r="BG194" i="17"/>
  <c r="BD195" i="17" s="1"/>
  <c r="BE195" i="17" s="1"/>
  <c r="BF195" i="17" s="1"/>
  <c r="AE194" i="17"/>
  <c r="AV194" i="17"/>
  <c r="AC194" i="17"/>
  <c r="Y195" i="17" l="1"/>
  <c r="AB195" i="17"/>
  <c r="AD194" i="17"/>
  <c r="Q195" i="17"/>
  <c r="AT194" i="17"/>
  <c r="AF194" i="17" l="1"/>
  <c r="AG194" i="17" s="1"/>
  <c r="K195" i="17"/>
  <c r="M195" i="17" s="1"/>
  <c r="N195" i="17" s="1"/>
  <c r="S195" i="17"/>
  <c r="T195" i="17" s="1"/>
  <c r="H10" i="17"/>
  <c r="L27" i="13" s="1"/>
  <c r="AU195" i="17" l="1"/>
  <c r="L10" i="13"/>
  <c r="U195" i="17"/>
  <c r="M28" i="13"/>
  <c r="Q27" i="13"/>
  <c r="V195" i="17" l="1"/>
  <c r="W195" i="17" s="1"/>
  <c r="BK195" i="17" s="1"/>
  <c r="BH196" i="17" s="1"/>
  <c r="X195" i="17"/>
  <c r="Z195" i="17" s="1"/>
  <c r="AE195" i="17" l="1"/>
  <c r="BI196" i="17"/>
  <c r="BG195" i="17"/>
  <c r="BD196" i="17" s="1"/>
  <c r="AA195" i="17"/>
  <c r="AV195" i="17"/>
  <c r="AC195" i="17" l="1"/>
  <c r="Q196" i="17" s="1"/>
  <c r="AB196" i="17"/>
  <c r="BE196" i="17"/>
  <c r="BF196" i="17" s="1"/>
  <c r="Y196" i="17"/>
  <c r="AT195" i="17"/>
  <c r="AD195" i="17" l="1"/>
  <c r="K196" i="17" s="1"/>
  <c r="AF195" i="17" l="1"/>
  <c r="AG195" i="17" s="1"/>
  <c r="S196" i="17"/>
  <c r="T196" i="17" s="1"/>
  <c r="M196" i="17"/>
  <c r="N196" i="17" l="1"/>
  <c r="X196" i="17" s="1"/>
  <c r="Z196" i="17" s="1"/>
  <c r="AU196" i="17" l="1"/>
  <c r="V196" i="17" s="1"/>
  <c r="U196" i="17" l="1"/>
  <c r="W196" i="17" s="1"/>
  <c r="AE196" i="17" s="1"/>
  <c r="AA196" i="17" l="1"/>
  <c r="AB197" i="17" s="1"/>
  <c r="AV196" i="17"/>
  <c r="BG196" i="17"/>
  <c r="BD197" i="17" s="1"/>
  <c r="BE197" i="17" s="1"/>
  <c r="BF197" i="17" s="1"/>
  <c r="BK196" i="17"/>
  <c r="BH197" i="17" s="1"/>
  <c r="BI197" i="17" s="1"/>
  <c r="AC196" i="17"/>
  <c r="Q197" i="17" s="1"/>
  <c r="Y197" i="17" l="1"/>
  <c r="AD196" i="17"/>
  <c r="AT196" i="17"/>
  <c r="AF196" i="17" l="1"/>
  <c r="AG196" i="17" s="1"/>
  <c r="K197" i="17"/>
  <c r="S197" i="17" l="1"/>
  <c r="T197" i="17" s="1"/>
  <c r="M197" i="17"/>
  <c r="N197" i="17" s="1"/>
  <c r="AU197" i="17" l="1"/>
  <c r="X197" i="17"/>
  <c r="Z197" i="17" s="1"/>
  <c r="V197" i="17" l="1"/>
  <c r="U197" i="17"/>
  <c r="W197" i="17" l="1"/>
  <c r="BK197" i="17" s="1"/>
  <c r="BH198" i="17" s="1"/>
  <c r="BI198" i="17" s="1"/>
  <c r="AA197" i="17" l="1"/>
  <c r="AB198" i="17" s="1"/>
  <c r="AV197" i="17"/>
  <c r="BG197" i="17"/>
  <c r="BD198" i="17" s="1"/>
  <c r="BE198" i="17" s="1"/>
  <c r="BF198" i="17" s="1"/>
  <c r="AE197" i="17"/>
  <c r="AC197" i="17" l="1"/>
  <c r="Q198" i="17" s="1"/>
  <c r="Y198" i="17"/>
  <c r="AT197" i="17" l="1"/>
  <c r="AD197" i="17"/>
  <c r="K198" i="17" s="1"/>
  <c r="AF197" i="17" l="1"/>
  <c r="AG197" i="17" s="1"/>
  <c r="S198" i="17"/>
  <c r="T198" i="17" s="1"/>
  <c r="M198" i="17"/>
  <c r="N198" i="17" l="1"/>
  <c r="X198" i="17" s="1"/>
  <c r="Z198" i="17" s="1"/>
  <c r="AU198" i="17" l="1"/>
  <c r="V198" i="17" s="1"/>
  <c r="U198" i="17" l="1"/>
  <c r="W198" i="17" s="1"/>
  <c r="BG198" i="17" s="1"/>
  <c r="BD199" i="17" s="1"/>
  <c r="BE199" i="17" s="1"/>
  <c r="BF199" i="17" s="1"/>
  <c r="BK198" i="17" l="1"/>
  <c r="BH199" i="17" s="1"/>
  <c r="BI199" i="17" s="1"/>
  <c r="AA198" i="17"/>
  <c r="AB199" i="17" s="1"/>
  <c r="AV198" i="17"/>
  <c r="AE198" i="17"/>
  <c r="AC198" i="17" l="1"/>
  <c r="Q199" i="17" s="1"/>
  <c r="Y199" i="17"/>
  <c r="AD198" i="17" l="1"/>
  <c r="AT198" i="17"/>
  <c r="S199" i="17"/>
  <c r="T199" i="17" s="1"/>
  <c r="K199" i="17" l="1"/>
  <c r="M199" i="17" s="1"/>
  <c r="AF198" i="17"/>
  <c r="AG198" i="17" s="1"/>
  <c r="N199" i="17" l="1"/>
  <c r="X199" i="17" s="1"/>
  <c r="Z199" i="17" s="1"/>
  <c r="AU199" i="17" l="1"/>
  <c r="U199" i="17" l="1"/>
  <c r="V199" i="17"/>
  <c r="W199" i="17" l="1"/>
  <c r="AA199" i="17" l="1"/>
  <c r="BK199" i="17"/>
  <c r="BH200" i="17" s="1"/>
  <c r="BI200" i="17" s="1"/>
  <c r="AV199" i="17"/>
  <c r="BG199" i="17"/>
  <c r="BD200" i="17" s="1"/>
  <c r="BE200" i="17" s="1"/>
  <c r="BF200" i="17" s="1"/>
  <c r="AE199" i="17"/>
  <c r="AB200" i="17" l="1"/>
  <c r="Y200" i="17"/>
  <c r="AC199" i="17"/>
  <c r="AT199" i="17" l="1"/>
  <c r="Q200" i="17"/>
  <c r="S200" i="17" s="1"/>
  <c r="T200" i="17" s="1"/>
  <c r="AD199" i="17"/>
  <c r="K200" i="17" s="1"/>
  <c r="M200" i="17" l="1"/>
  <c r="N200" i="17" s="1"/>
  <c r="AF199" i="17"/>
  <c r="AG199" i="17" s="1"/>
  <c r="X200" i="17" l="1"/>
  <c r="Z200" i="17" s="1"/>
  <c r="AU200" i="17"/>
  <c r="U200" i="17" s="1"/>
  <c r="V200" i="17" l="1"/>
  <c r="W200" i="17" s="1"/>
  <c r="BG200" i="17" l="1"/>
  <c r="BD201" i="17" s="1"/>
  <c r="BE201" i="17" s="1"/>
  <c r="BF201" i="17" s="1"/>
  <c r="AE200" i="17"/>
  <c r="BK200" i="17"/>
  <c r="BH201" i="17" s="1"/>
  <c r="BI201" i="17" s="1"/>
  <c r="AA200" i="17"/>
  <c r="AV200" i="17"/>
  <c r="AC200" i="17" l="1"/>
  <c r="AB201" i="17"/>
  <c r="Y201" i="17"/>
  <c r="Q201" i="17" l="1"/>
  <c r="S201" i="17" s="1"/>
  <c r="T201" i="17" s="1"/>
  <c r="AT200" i="17"/>
  <c r="AD200" i="17"/>
  <c r="K201" i="17" l="1"/>
  <c r="AF200" i="17"/>
  <c r="AG200" i="17" s="1"/>
  <c r="M201" i="17" l="1"/>
  <c r="N201" i="17" s="1"/>
  <c r="X201" i="17" s="1"/>
  <c r="Z201" i="17" s="1"/>
  <c r="AU201" i="17" l="1"/>
  <c r="U201" i="17" l="1"/>
  <c r="V201" i="17"/>
  <c r="W201" i="17" l="1"/>
  <c r="BK201" i="17" l="1"/>
  <c r="BH202" i="17" s="1"/>
  <c r="BI202" i="17" s="1"/>
  <c r="BG201" i="17"/>
  <c r="BD202" i="17" s="1"/>
  <c r="BE202" i="17" s="1"/>
  <c r="BF202" i="17" s="1"/>
  <c r="AA201" i="17"/>
  <c r="AV201" i="17"/>
  <c r="AE201" i="17"/>
  <c r="AB202" i="17" l="1"/>
  <c r="AC201" i="17"/>
  <c r="Y202" i="17"/>
  <c r="Q202" i="17" l="1"/>
  <c r="S202" i="17" s="1"/>
  <c r="T202" i="17" s="1"/>
  <c r="AD201" i="17"/>
  <c r="K202" i="17" s="1"/>
  <c r="AT201" i="17"/>
  <c r="AF201" i="17" l="1"/>
  <c r="AG201" i="17" s="1"/>
  <c r="M202" i="17"/>
  <c r="N202" i="17" s="1"/>
  <c r="X202" i="17" s="1"/>
  <c r="Z202" i="17" s="1"/>
  <c r="AU202" i="17" l="1"/>
  <c r="U202" i="17" s="1"/>
  <c r="V202" i="17"/>
  <c r="W202" i="17" l="1"/>
  <c r="AV202" i="17" s="1"/>
  <c r="AE202" i="17"/>
  <c r="BK202" i="17" l="1"/>
  <c r="BH203" i="17" s="1"/>
  <c r="BI203" i="17" s="1"/>
  <c r="BG202" i="17"/>
  <c r="BD203" i="17" s="1"/>
  <c r="BE203" i="17" s="1"/>
  <c r="BF203" i="17" s="1"/>
  <c r="AA202" i="17"/>
  <c r="AB203" i="17" s="1"/>
  <c r="Y203" i="17"/>
  <c r="AC202" i="17" l="1"/>
  <c r="Q203" i="17"/>
  <c r="S203" i="17" s="1"/>
  <c r="AT202" i="17"/>
  <c r="AD202" i="17"/>
  <c r="K203" i="17" s="1"/>
  <c r="M203" i="17" l="1"/>
  <c r="N203" i="17" s="1"/>
  <c r="AU203" i="17" s="1"/>
  <c r="U203" i="17" s="1"/>
  <c r="T203" i="17"/>
  <c r="AF202" i="17"/>
  <c r="AG202" i="17" s="1"/>
  <c r="X203" i="17" l="1"/>
  <c r="Z203" i="17" s="1"/>
  <c r="V203" i="17"/>
  <c r="W203" i="17" s="1"/>
  <c r="BK203" i="17" l="1"/>
  <c r="BH204" i="17" s="1"/>
  <c r="BI204" i="17" s="1"/>
  <c r="AE203" i="17"/>
  <c r="AA203" i="17"/>
  <c r="AB204" i="17" s="1"/>
  <c r="AV203" i="17"/>
  <c r="BG203" i="17"/>
  <c r="BD204" i="17" s="1"/>
  <c r="BE204" i="17" s="1"/>
  <c r="BF204" i="17" s="1"/>
  <c r="Y204" i="17" l="1"/>
  <c r="AC203" i="17"/>
  <c r="Q204" i="17" s="1"/>
  <c r="S204" i="17" s="1"/>
  <c r="T204" i="17" s="1"/>
  <c r="AD203" i="17" l="1"/>
  <c r="AF203" i="17" s="1"/>
  <c r="AG203" i="17" s="1"/>
  <c r="AT203" i="17"/>
  <c r="K204" i="17" l="1"/>
  <c r="M204" i="17" s="1"/>
  <c r="N204" i="17" s="1"/>
  <c r="X204" i="17" s="1"/>
  <c r="Z204" i="17" s="1"/>
  <c r="V204" i="17"/>
  <c r="AU204" i="17" l="1"/>
  <c r="U204" i="17" s="1"/>
  <c r="W204" i="17" s="1"/>
  <c r="AE204" i="17" s="1"/>
  <c r="BG204" i="17" l="1"/>
  <c r="BD205" i="17" s="1"/>
  <c r="BE205" i="17" s="1"/>
  <c r="BF205" i="17" s="1"/>
  <c r="AA204" i="17"/>
  <c r="AB205" i="17" s="1"/>
  <c r="BK204" i="17"/>
  <c r="BH205" i="17" s="1"/>
  <c r="BI205" i="17" s="1"/>
  <c r="AV204" i="17"/>
  <c r="AC204" i="17" l="1"/>
  <c r="Q205" i="17" s="1"/>
  <c r="S205" i="17" s="1"/>
  <c r="Y205" i="17"/>
  <c r="AD204" i="17" l="1"/>
  <c r="K205" i="17" s="1"/>
  <c r="AT204" i="17"/>
  <c r="AF204" i="17"/>
  <c r="AG204" i="17" s="1"/>
  <c r="T205" i="17"/>
  <c r="M205" i="17"/>
  <c r="N205" i="17" s="1"/>
  <c r="AU205" i="17" l="1"/>
  <c r="V205" i="17" s="1"/>
  <c r="U205" i="17"/>
  <c r="X205" i="17"/>
  <c r="Z205" i="17" s="1"/>
  <c r="W205" i="17" l="1"/>
  <c r="AE205" i="17" l="1"/>
  <c r="AA205" i="17"/>
  <c r="AB206" i="17" s="1"/>
  <c r="BG205" i="17"/>
  <c r="BD206" i="17" s="1"/>
  <c r="BE206" i="17" s="1"/>
  <c r="BF206" i="17" s="1"/>
  <c r="BK205" i="17"/>
  <c r="BH206" i="17" s="1"/>
  <c r="BI206" i="17" s="1"/>
  <c r="AV205" i="17"/>
  <c r="AC205" i="17" l="1"/>
  <c r="Q206" i="17" s="1"/>
  <c r="Y206" i="17"/>
  <c r="AD205" i="17" l="1"/>
  <c r="K206" i="17" s="1"/>
  <c r="AT205" i="17"/>
  <c r="AF205" i="17" l="1"/>
  <c r="AG205" i="17" s="1"/>
  <c r="M206" i="17" l="1"/>
  <c r="N206" i="17" s="1"/>
  <c r="AU206" i="17" s="1"/>
  <c r="S206" i="17"/>
  <c r="T206" i="17" s="1"/>
  <c r="V206" i="17" l="1"/>
  <c r="U206" i="17"/>
  <c r="W206" i="17" s="1"/>
  <c r="AE206" i="17" s="1"/>
  <c r="X206" i="17"/>
  <c r="Z206" i="17" s="1"/>
  <c r="BK206" i="17" l="1"/>
  <c r="BH207" i="17" s="1"/>
  <c r="BI207" i="17" s="1"/>
  <c r="AA206" i="17"/>
  <c r="AV206" i="17"/>
  <c r="BG206" i="17"/>
  <c r="BD207" i="17" s="1"/>
  <c r="BE207" i="17" s="1"/>
  <c r="BF207" i="17" s="1"/>
  <c r="AC206" i="17" l="1"/>
  <c r="Q207" i="17" s="1"/>
  <c r="AB207" i="17"/>
  <c r="Y207" i="17"/>
  <c r="AT206" i="17" l="1"/>
  <c r="AD206" i="17"/>
  <c r="K207" i="17" s="1"/>
  <c r="AF206" i="17" l="1"/>
  <c r="AG206" i="17" s="1"/>
  <c r="S207" i="17"/>
  <c r="T207" i="17" s="1"/>
  <c r="M207" i="17"/>
  <c r="N207" i="17" l="1"/>
  <c r="X207" i="17" s="1"/>
  <c r="Z207" i="17" s="1"/>
  <c r="AU207" i="17" l="1"/>
  <c r="V207" i="17"/>
  <c r="U207" i="17"/>
  <c r="W207" i="17" l="1"/>
  <c r="BG207" i="17" s="1"/>
  <c r="BD208" i="17" s="1"/>
  <c r="BE208" i="17" s="1"/>
  <c r="BF208" i="17" s="1"/>
  <c r="AE207" i="17" l="1"/>
  <c r="BK207" i="17"/>
  <c r="BH208" i="17" s="1"/>
  <c r="BI208" i="17" s="1"/>
  <c r="AA207" i="17"/>
  <c r="AC207" i="17" s="1"/>
  <c r="Q208" i="17" s="1"/>
  <c r="AV207" i="17"/>
  <c r="Y208" i="17" l="1"/>
  <c r="AT207" i="17"/>
  <c r="AB208" i="17"/>
  <c r="AD207" i="17"/>
  <c r="K208" i="17" s="1"/>
  <c r="M208" i="17" s="1"/>
  <c r="S208" i="17"/>
  <c r="T208" i="17" s="1"/>
  <c r="AF207" i="17" l="1"/>
  <c r="AG207" i="17" s="1"/>
  <c r="N208" i="17"/>
  <c r="X208" i="17" s="1"/>
  <c r="Z208" i="17" s="1"/>
  <c r="AU208" i="17" l="1"/>
  <c r="V208" i="17" s="1"/>
  <c r="U208" i="17" l="1"/>
  <c r="W208" i="17" s="1"/>
  <c r="BK208" i="17" l="1"/>
  <c r="BH209" i="17" s="1"/>
  <c r="BI209" i="17" s="1"/>
  <c r="BG208" i="17"/>
  <c r="BD209" i="17" s="1"/>
  <c r="BE209" i="17" s="1"/>
  <c r="BF209" i="17" s="1"/>
  <c r="AA208" i="17"/>
  <c r="AB209" i="17" s="1"/>
  <c r="AE208" i="17"/>
  <c r="AV208" i="17"/>
  <c r="AC208" i="17" l="1"/>
  <c r="Q209" i="17" s="1"/>
  <c r="Y209" i="17"/>
  <c r="AT208" i="17" l="1"/>
  <c r="AD208" i="17"/>
  <c r="K209" i="17" s="1"/>
  <c r="M209" i="17" l="1"/>
  <c r="AF208" i="17"/>
  <c r="AG208" i="17" s="1"/>
  <c r="S209" i="17" l="1"/>
  <c r="T209" i="17" s="1"/>
  <c r="N209" i="17"/>
  <c r="X209" i="17" l="1"/>
  <c r="Z209" i="17" s="1"/>
  <c r="AU209" i="17"/>
  <c r="U209" i="17" s="1"/>
  <c r="V209" i="17" l="1"/>
  <c r="W209" i="17" s="1"/>
  <c r="BG209" i="17" l="1"/>
  <c r="BD210" i="17" s="1"/>
  <c r="BE210" i="17" s="1"/>
  <c r="BF210" i="17" s="1"/>
  <c r="AA209" i="17"/>
  <c r="AB210" i="17" s="1"/>
  <c r="AV209" i="17"/>
  <c r="AE209" i="17"/>
  <c r="BK209" i="17"/>
  <c r="BH210" i="17" s="1"/>
  <c r="BI210" i="17" s="1"/>
  <c r="AC209" i="17" l="1"/>
  <c r="Q210" i="17" s="1"/>
  <c r="Y210" i="17"/>
  <c r="AD209" i="17" l="1"/>
  <c r="K210" i="17" s="1"/>
  <c r="AT209" i="17"/>
  <c r="AF209" i="17" l="1"/>
  <c r="AG209" i="17" s="1"/>
  <c r="M210" i="17"/>
  <c r="N210" i="17" s="1"/>
  <c r="S210" i="17"/>
  <c r="T210" i="17" s="1"/>
  <c r="X210" i="17" l="1"/>
  <c r="Z210" i="17" s="1"/>
  <c r="AU210" i="17"/>
  <c r="U210" i="17" s="1"/>
  <c r="V210" i="17" l="1"/>
  <c r="W210" i="17" s="1"/>
  <c r="AA210" i="17" l="1"/>
  <c r="AB211" i="17" s="1"/>
  <c r="AV210" i="17"/>
  <c r="BK210" i="17"/>
  <c r="BH211" i="17" s="1"/>
  <c r="BI211" i="17" s="1"/>
  <c r="AE210" i="17"/>
  <c r="BG210" i="17"/>
  <c r="BD211" i="17" s="1"/>
  <c r="BE211" i="17" s="1"/>
  <c r="BF211" i="17" s="1"/>
  <c r="Y211" i="17"/>
  <c r="AC210" i="17" l="1"/>
  <c r="Q211" i="17" s="1"/>
  <c r="AT210" i="17" l="1"/>
  <c r="AD210" i="17"/>
  <c r="AF210" i="17" s="1"/>
  <c r="AG210" i="17" s="1"/>
  <c r="S211" i="17"/>
  <c r="T211" i="17" s="1"/>
  <c r="K211" i="17" l="1"/>
  <c r="M211" i="17" s="1"/>
  <c r="N211" i="17" s="1"/>
  <c r="AU211" i="17" s="1"/>
  <c r="U211" i="17" s="1"/>
  <c r="V211" i="17"/>
  <c r="X211" i="17" l="1"/>
  <c r="Z211" i="17" s="1"/>
  <c r="W211" i="17"/>
  <c r="BG211" i="17" s="1"/>
  <c r="BD212" i="17" s="1"/>
  <c r="BE212" i="17" s="1"/>
  <c r="BF212" i="17" s="1"/>
  <c r="AE211" i="17" l="1"/>
  <c r="AV211" i="17"/>
  <c r="AA211" i="17"/>
  <c r="AB212" i="17" s="1"/>
  <c r="BK211" i="17"/>
  <c r="BH212" i="17" s="1"/>
  <c r="BI212" i="17" s="1"/>
  <c r="Y212" i="17" l="1"/>
  <c r="AC211" i="17"/>
  <c r="Q212" i="17" s="1"/>
  <c r="S212" i="17" s="1"/>
  <c r="T212" i="17" s="1"/>
  <c r="AT211" i="17" l="1"/>
  <c r="AD211" i="17"/>
  <c r="AF211" i="17" s="1"/>
  <c r="AG211" i="17" s="1"/>
  <c r="K212" i="17" l="1"/>
  <c r="M212" i="17" s="1"/>
  <c r="N212" i="17" s="1"/>
  <c r="AU212" i="17" s="1"/>
  <c r="U212" i="17" s="1"/>
  <c r="V212" i="17"/>
  <c r="X212" i="17" l="1"/>
  <c r="Z212" i="17" s="1"/>
  <c r="W212" i="17"/>
  <c r="BG212" i="17" s="1"/>
  <c r="BD213" i="17" s="1"/>
  <c r="BE213" i="17" s="1"/>
  <c r="BF213" i="17" s="1"/>
  <c r="AE212" i="17" l="1"/>
  <c r="AV212" i="17"/>
  <c r="BK212" i="17"/>
  <c r="BH213" i="17" s="1"/>
  <c r="BI213" i="17" s="1"/>
  <c r="AA212" i="17"/>
  <c r="AB213" i="17" s="1"/>
  <c r="AC212" i="17" l="1"/>
  <c r="Q213" i="17" s="1"/>
  <c r="S213" i="17" s="1"/>
  <c r="T213" i="17" s="1"/>
  <c r="Y213" i="17"/>
  <c r="AT212" i="17" l="1"/>
  <c r="AD212" i="17"/>
  <c r="K213" i="17" s="1"/>
  <c r="M213" i="17" s="1"/>
  <c r="AF212" i="17" l="1"/>
  <c r="AG212" i="17" s="1"/>
  <c r="N213" i="17"/>
  <c r="X213" i="17" s="1"/>
  <c r="Z213" i="17" s="1"/>
  <c r="AU213" i="17" l="1"/>
  <c r="U213" i="17" s="1"/>
  <c r="V213" i="17" l="1"/>
  <c r="W213" i="17" s="1"/>
  <c r="BG213" i="17" s="1"/>
  <c r="BD214" i="17" s="1"/>
  <c r="BE214" i="17" s="1"/>
  <c r="BF214" i="17" s="1"/>
  <c r="AV213" i="17" l="1"/>
  <c r="BK213" i="17"/>
  <c r="BH214" i="17" s="1"/>
  <c r="BI214" i="17" s="1"/>
  <c r="AA213" i="17"/>
  <c r="AB214" i="17" s="1"/>
  <c r="AE213" i="17"/>
  <c r="AC213" i="17" l="1"/>
  <c r="AD213" i="17" s="1"/>
  <c r="Y214" i="17"/>
  <c r="Q214" i="17" l="1"/>
  <c r="S214" i="17" s="1"/>
  <c r="T214" i="17" s="1"/>
  <c r="AT213" i="17"/>
  <c r="K214" i="17"/>
  <c r="AF213" i="17"/>
  <c r="AG213" i="17" s="1"/>
  <c r="M214" i="17" l="1"/>
  <c r="N214" i="17" s="1"/>
  <c r="AU214" i="17" s="1"/>
  <c r="U214" i="17" s="1"/>
  <c r="V214" i="17" l="1"/>
  <c r="W214" i="17" s="1"/>
  <c r="BK214" i="17" s="1"/>
  <c r="BH215" i="17" s="1"/>
  <c r="BI215" i="17" s="1"/>
  <c r="X214" i="17"/>
  <c r="Z214" i="17" s="1"/>
  <c r="AV214" i="17" l="1"/>
  <c r="BG214" i="17"/>
  <c r="BD215" i="17" s="1"/>
  <c r="BE215" i="17" s="1"/>
  <c r="BF215" i="17" s="1"/>
  <c r="AE214" i="17"/>
  <c r="AA214" i="17"/>
  <c r="AB215" i="17" s="1"/>
  <c r="AC214" i="17" l="1"/>
  <c r="Y215" i="17"/>
  <c r="Q215" i="17" l="1"/>
  <c r="S215" i="17" s="1"/>
  <c r="T215" i="17" s="1"/>
  <c r="AT214" i="17"/>
  <c r="AD214" i="17"/>
  <c r="K215" i="17" s="1"/>
  <c r="AF214" i="17" l="1"/>
  <c r="AG214" i="17" s="1"/>
  <c r="M215" i="17"/>
  <c r="N215" i="17" s="1"/>
  <c r="X215" i="17" s="1"/>
  <c r="Z215" i="17" s="1"/>
  <c r="AU215" i="17" l="1"/>
  <c r="V215" i="17" l="1"/>
  <c r="U215" i="17"/>
  <c r="W215" i="17" l="1"/>
  <c r="AV215" i="17" l="1"/>
  <c r="BG215" i="17"/>
  <c r="BD216" i="17" s="1"/>
  <c r="BE216" i="17" s="1"/>
  <c r="BF216" i="17" s="1"/>
  <c r="AA215" i="17"/>
  <c r="AE215" i="17"/>
  <c r="BK215" i="17"/>
  <c r="BH216" i="17" s="1"/>
  <c r="BI216" i="17" s="1"/>
  <c r="AB216" i="17" l="1"/>
  <c r="AC215" i="17"/>
  <c r="Y216" i="17"/>
  <c r="Q216" i="17" l="1"/>
  <c r="AT215" i="17"/>
  <c r="AD215" i="17"/>
  <c r="K216" i="17" s="1"/>
  <c r="M216" i="17" l="1"/>
  <c r="N216" i="17" s="1"/>
  <c r="AU216" i="17" s="1"/>
  <c r="AF215" i="17"/>
  <c r="AG215" i="17" s="1"/>
  <c r="S216" i="17"/>
  <c r="T216" i="17" s="1"/>
  <c r="X216" i="17" l="1"/>
  <c r="Z216" i="17" s="1"/>
  <c r="V216" i="17"/>
  <c r="U216" i="17"/>
  <c r="W216" i="17" l="1"/>
  <c r="BG216" i="17" s="1"/>
  <c r="BD217" i="17" s="1"/>
  <c r="BE217" i="17" s="1"/>
  <c r="BF217" i="17" s="1"/>
  <c r="AE216" i="17" l="1"/>
  <c r="AA216" i="17"/>
  <c r="AC216" i="17" s="1"/>
  <c r="AV216" i="17"/>
  <c r="BK216" i="17"/>
  <c r="BH217" i="17" s="1"/>
  <c r="BI217" i="17" s="1"/>
  <c r="Y217" i="17" l="1"/>
  <c r="AB217" i="17"/>
  <c r="Q217" i="17"/>
  <c r="S217" i="17" s="1"/>
  <c r="T217" i="17" s="1"/>
  <c r="AD216" i="17"/>
  <c r="K217" i="17" s="1"/>
  <c r="AT216" i="17"/>
  <c r="AF216" i="17" l="1"/>
  <c r="AG216" i="17" s="1"/>
  <c r="M217" i="17"/>
  <c r="N217" i="17" s="1"/>
  <c r="X217" i="17" s="1"/>
  <c r="Z217" i="17" s="1"/>
  <c r="AU217" i="17" l="1"/>
  <c r="U217" i="17" s="1"/>
  <c r="V217" i="17"/>
  <c r="W217" i="17" l="1"/>
  <c r="BK217" i="17" s="1"/>
  <c r="BH218" i="17" s="1"/>
  <c r="BI218" i="17" s="1"/>
  <c r="AA217" i="17" l="1"/>
  <c r="AC217" i="17" s="1"/>
  <c r="BG217" i="17"/>
  <c r="BD218" i="17" s="1"/>
  <c r="BE218" i="17" s="1"/>
  <c r="BF218" i="17" s="1"/>
  <c r="AE217" i="17"/>
  <c r="AV217" i="17"/>
  <c r="Y218" i="17"/>
  <c r="AB218" i="17"/>
  <c r="Q218" i="17" l="1"/>
  <c r="S218" i="17" s="1"/>
  <c r="T218" i="17" s="1"/>
  <c r="AT217" i="17"/>
  <c r="AD217" i="17"/>
  <c r="K218" i="17" s="1"/>
  <c r="M218" i="17" s="1"/>
  <c r="N218" i="17" s="1"/>
  <c r="AF217" i="17" l="1"/>
  <c r="AG217" i="17" s="1"/>
  <c r="X218" i="17"/>
  <c r="Z218" i="17" s="1"/>
  <c r="AU218" i="17"/>
  <c r="U218" i="17" s="1"/>
  <c r="V218" i="17" l="1"/>
  <c r="W218" i="17" s="1"/>
  <c r="BK218" i="17" s="1"/>
  <c r="BH219" i="17" s="1"/>
  <c r="BI219" i="17" s="1"/>
  <c r="AA218" i="17" l="1"/>
  <c r="Y219" i="17" s="1"/>
  <c r="BG218" i="17"/>
  <c r="BD219" i="17" s="1"/>
  <c r="BE219" i="17" s="1"/>
  <c r="BF219" i="17" s="1"/>
  <c r="AE218" i="17"/>
  <c r="AV218" i="17"/>
  <c r="AC218" i="17"/>
  <c r="Q219" i="17" s="1"/>
  <c r="AT218" i="17" l="1"/>
  <c r="AB219" i="17"/>
  <c r="AD218" i="17"/>
  <c r="K219" i="17" s="1"/>
  <c r="AF218" i="17" l="1"/>
  <c r="AG218" i="17" s="1"/>
  <c r="M219" i="17"/>
  <c r="N219" i="17" s="1"/>
  <c r="S219" i="17"/>
  <c r="T219" i="17" s="1"/>
  <c r="AU219" i="17" l="1"/>
  <c r="U219" i="17" s="1"/>
  <c r="X219" i="17"/>
  <c r="Z219" i="17" s="1"/>
  <c r="V219" i="17" l="1"/>
  <c r="W219" i="17" s="1"/>
  <c r="BK219" i="17" l="1"/>
  <c r="BH220" i="17" s="1"/>
  <c r="BI220" i="17" s="1"/>
  <c r="AE219" i="17"/>
  <c r="AA219" i="17"/>
  <c r="BG219" i="17"/>
  <c r="BD220" i="17" s="1"/>
  <c r="AV219" i="17"/>
  <c r="AC219" i="17" l="1"/>
  <c r="AT219" i="17" s="1"/>
  <c r="AB220" i="17"/>
  <c r="BE220" i="17"/>
  <c r="BF220" i="17" s="1"/>
  <c r="Y220" i="17"/>
  <c r="Q220" i="17" l="1"/>
  <c r="AD219" i="17"/>
  <c r="K220" i="17" s="1"/>
  <c r="M220" i="17" s="1"/>
  <c r="N220" i="17" s="1"/>
  <c r="S220" i="17"/>
  <c r="T220" i="17" s="1"/>
  <c r="AF219" i="17" l="1"/>
  <c r="AG219" i="17" s="1"/>
  <c r="AU220" i="17"/>
  <c r="X220" i="17"/>
  <c r="Z220" i="17" s="1"/>
  <c r="V220" i="17" l="1"/>
  <c r="U220" i="17"/>
  <c r="W220" i="17" l="1"/>
  <c r="BK220" i="17" s="1"/>
  <c r="BH221" i="17" s="1"/>
  <c r="BI221" i="17" s="1"/>
  <c r="AA220" i="17" l="1"/>
  <c r="AC220" i="17" s="1"/>
  <c r="AE220" i="17"/>
  <c r="BG220" i="17"/>
  <c r="BD221" i="17" s="1"/>
  <c r="BE221" i="17" s="1"/>
  <c r="BF221" i="17" s="1"/>
  <c r="AV220" i="17"/>
  <c r="Q221" i="17" l="1"/>
  <c r="AD220" i="17"/>
  <c r="AF220" i="17" s="1"/>
  <c r="AG220" i="17" s="1"/>
  <c r="AT220" i="17"/>
  <c r="Y221" i="17"/>
  <c r="AB221" i="17"/>
  <c r="K221" i="17" l="1"/>
  <c r="M221" i="17" s="1"/>
  <c r="N221" i="17" s="1"/>
  <c r="S221" i="17"/>
  <c r="T221" i="17" s="1"/>
  <c r="AU221" i="17" l="1"/>
  <c r="X221" i="17"/>
  <c r="U221" i="17" l="1"/>
  <c r="Z221" i="17"/>
  <c r="V221" i="17" l="1"/>
  <c r="W221" i="17" s="1"/>
  <c r="BK221" i="17" l="1"/>
  <c r="BH222" i="17" s="1"/>
  <c r="BI222" i="17" s="1"/>
  <c r="AE221" i="17"/>
  <c r="BG221" i="17"/>
  <c r="BD222" i="17" s="1"/>
  <c r="AV221" i="17"/>
  <c r="AA221" i="17"/>
  <c r="AC221" i="17" l="1"/>
  <c r="AD221" i="17" s="1"/>
  <c r="AB222" i="17"/>
  <c r="BE222" i="17"/>
  <c r="BF222" i="17" s="1"/>
  <c r="Y222" i="17"/>
  <c r="Q222" i="17" l="1"/>
  <c r="S222" i="17" s="1"/>
  <c r="T222" i="17" s="1"/>
  <c r="AT221" i="17"/>
  <c r="AF221" i="17"/>
  <c r="AG221" i="17" s="1"/>
  <c r="K222" i="17"/>
  <c r="M222" i="17" s="1"/>
  <c r="N222" i="17" s="1"/>
  <c r="AU222" i="17" l="1"/>
  <c r="X222" i="17"/>
  <c r="V222" i="17" l="1"/>
  <c r="U222" i="17"/>
  <c r="Z222" i="17"/>
  <c r="W222" i="17" l="1"/>
  <c r="BK222" i="17" l="1"/>
  <c r="BH223" i="17" s="1"/>
  <c r="BI223" i="17" s="1"/>
  <c r="AE222" i="17"/>
  <c r="BG222" i="17"/>
  <c r="BD223" i="17" s="1"/>
  <c r="AA222" i="17"/>
  <c r="AV222" i="17"/>
  <c r="Y223" i="17" l="1"/>
  <c r="AB223" i="17"/>
  <c r="BE223" i="17"/>
  <c r="BF223" i="17" s="1"/>
  <c r="AC222" i="17"/>
  <c r="Q223" i="17" s="1"/>
  <c r="AD222" i="17" l="1"/>
  <c r="K223" i="17" s="1"/>
  <c r="AT222" i="17"/>
  <c r="AF222" i="17" l="1"/>
  <c r="AG222" i="17" s="1"/>
  <c r="S223" i="17" l="1"/>
  <c r="T223" i="17" s="1"/>
  <c r="M223" i="17"/>
  <c r="N223" i="17" s="1"/>
  <c r="AU223" i="17" l="1"/>
  <c r="X223" i="17"/>
  <c r="Z223" i="17" s="1"/>
  <c r="V223" i="17" l="1"/>
  <c r="U223" i="17"/>
  <c r="W223" i="17" l="1"/>
  <c r="BK223" i="17" s="1"/>
  <c r="BH224" i="17" s="1"/>
  <c r="BI224" i="17" s="1"/>
  <c r="AA223" i="17" l="1"/>
  <c r="Y224" i="17" s="1"/>
  <c r="BG223" i="17"/>
  <c r="BD224" i="17" s="1"/>
  <c r="BE224" i="17" s="1"/>
  <c r="BF224" i="17" s="1"/>
  <c r="AE223" i="17"/>
  <c r="AV223" i="17"/>
  <c r="AB224" i="17" l="1"/>
  <c r="AC223" i="17"/>
  <c r="Q224" i="17" s="1"/>
  <c r="AT223" i="17" l="1"/>
  <c r="AD223" i="17"/>
  <c r="K224" i="17" s="1"/>
  <c r="M224" i="17" s="1"/>
  <c r="N224" i="17" s="1"/>
  <c r="S224" i="17"/>
  <c r="T224" i="17" s="1"/>
  <c r="AF223" i="17" l="1"/>
  <c r="AG223" i="17" s="1"/>
  <c r="AU224" i="17"/>
  <c r="X224" i="17"/>
  <c r="V224" i="17" l="1"/>
  <c r="U224" i="17"/>
  <c r="Z224" i="17"/>
  <c r="W224" i="17" l="1"/>
  <c r="BK224" i="17" l="1"/>
  <c r="BH225" i="17" s="1"/>
  <c r="BI225" i="17" s="1"/>
  <c r="AE224" i="17"/>
  <c r="BG224" i="17"/>
  <c r="BD225" i="17" s="1"/>
  <c r="AA224" i="17"/>
  <c r="AB225" i="17" s="1"/>
  <c r="AV224" i="17"/>
  <c r="BE225" i="17" l="1"/>
  <c r="BF225" i="17" s="1"/>
  <c r="AC224" i="17"/>
  <c r="Q225" i="17" s="1"/>
  <c r="Y225" i="17"/>
  <c r="AD224" i="17" l="1"/>
  <c r="K225" i="17" s="1"/>
  <c r="AT224" i="17"/>
  <c r="AF224" i="17" l="1"/>
  <c r="AG224" i="17" s="1"/>
  <c r="S225" i="17" l="1"/>
  <c r="T225" i="17" s="1"/>
  <c r="M225" i="17"/>
  <c r="N225" i="17" l="1"/>
  <c r="X225" i="17" s="1"/>
  <c r="Z225" i="17" s="1"/>
  <c r="AU225" i="17" l="1"/>
  <c r="U225" i="17" s="1"/>
  <c r="V225" i="17"/>
  <c r="W225" i="17" l="1"/>
  <c r="BK225" i="17" s="1"/>
  <c r="BH226" i="17" s="1"/>
  <c r="BI226" i="17" s="1"/>
  <c r="BG225" i="17" l="1"/>
  <c r="BD226" i="17" s="1"/>
  <c r="AV225" i="17"/>
  <c r="AA225" i="17"/>
  <c r="AB226" i="17" s="1"/>
  <c r="AE225" i="17"/>
  <c r="BE226" i="17"/>
  <c r="BF226" i="17" s="1"/>
  <c r="AC225" i="17" l="1"/>
  <c r="AT225" i="17" s="1"/>
  <c r="Y226" i="17"/>
  <c r="Q226" i="17" l="1"/>
  <c r="S226" i="17" s="1"/>
  <c r="T226" i="17" s="1"/>
  <c r="AD225" i="17"/>
  <c r="AF225" i="17" s="1"/>
  <c r="AG225" i="17" s="1"/>
  <c r="K226" i="17" l="1"/>
  <c r="M226" i="17" s="1"/>
  <c r="N226" i="17" s="1"/>
  <c r="X226" i="17" s="1"/>
  <c r="Z226" i="17" s="1"/>
  <c r="AU226" i="17" l="1"/>
  <c r="V226" i="17"/>
  <c r="U226" i="17"/>
  <c r="W226" i="17" l="1"/>
  <c r="BG226" i="17" l="1"/>
  <c r="BD227" i="17" s="1"/>
  <c r="BE227" i="17" s="1"/>
  <c r="BF227" i="17" s="1"/>
  <c r="AA226" i="17"/>
  <c r="AB227" i="17" s="1"/>
  <c r="BK226" i="17"/>
  <c r="BH227" i="17" s="1"/>
  <c r="BI227" i="17" s="1"/>
  <c r="AV226" i="17"/>
  <c r="AE226" i="17"/>
  <c r="AC226" i="17" l="1"/>
  <c r="Q227" i="17" s="1"/>
  <c r="Y227" i="17"/>
  <c r="AT226" i="17" l="1"/>
  <c r="AD226" i="17"/>
  <c r="AF226" i="17" l="1"/>
  <c r="AG226" i="17" s="1"/>
  <c r="K227" i="17"/>
  <c r="M227" i="17" s="1"/>
  <c r="N227" i="17" s="1"/>
  <c r="AU227" i="17" s="1"/>
  <c r="S227" i="17"/>
  <c r="T227" i="17" s="1"/>
  <c r="X227" i="17" l="1"/>
  <c r="Z227" i="17" s="1"/>
  <c r="V227" i="17" l="1"/>
  <c r="U227" i="17"/>
  <c r="W227" i="17" l="1"/>
  <c r="BG227" i="17" l="1"/>
  <c r="BD228" i="17" s="1"/>
  <c r="BE228" i="17" s="1"/>
  <c r="BF228" i="17" s="1"/>
  <c r="AA227" i="17"/>
  <c r="AB228" i="17" s="1"/>
  <c r="BK227" i="17"/>
  <c r="BH228" i="17" s="1"/>
  <c r="BI228" i="17" s="1"/>
  <c r="AV227" i="17"/>
  <c r="AE227" i="17"/>
  <c r="Y228" i="17" l="1"/>
  <c r="AC227" i="17"/>
  <c r="Q228" i="17" s="1"/>
  <c r="AD227" i="17" l="1"/>
  <c r="K228" i="17" s="1"/>
  <c r="AT227" i="17"/>
  <c r="AF227" i="17" l="1"/>
  <c r="AG227" i="17" s="1"/>
  <c r="M228" i="17"/>
  <c r="N228" i="17" s="1"/>
  <c r="AU228" i="17" s="1"/>
  <c r="S228" i="17"/>
  <c r="T228" i="17" s="1"/>
  <c r="U228" i="17" l="1"/>
  <c r="X228" i="17"/>
  <c r="Z228" i="17" s="1"/>
  <c r="V228" i="17"/>
  <c r="W228" i="17" l="1"/>
  <c r="AA228" i="17" l="1"/>
  <c r="AB229" i="17" s="1"/>
  <c r="AE228" i="17"/>
  <c r="BG228" i="17"/>
  <c r="BD229" i="17" s="1"/>
  <c r="BK228" i="17"/>
  <c r="BH229" i="17" s="1"/>
  <c r="BI229" i="17" s="1"/>
  <c r="AV228" i="17"/>
  <c r="BE229" i="17" l="1"/>
  <c r="BF229" i="17" s="1"/>
  <c r="AC228" i="17"/>
  <c r="Q229" i="17" s="1"/>
  <c r="Y229" i="17"/>
  <c r="AD228" i="17" l="1"/>
  <c r="S229" i="17"/>
  <c r="T229" i="17" s="1"/>
  <c r="AT228" i="17"/>
  <c r="AF228" i="17" l="1"/>
  <c r="AG228" i="17" s="1"/>
  <c r="K229" i="17"/>
  <c r="M229" i="17" s="1"/>
  <c r="N229" i="17" s="1"/>
  <c r="X229" i="17" l="1"/>
  <c r="Z229" i="17" s="1"/>
  <c r="AU229" i="17"/>
  <c r="V229" i="17" s="1"/>
  <c r="U229" i="17"/>
  <c r="W229" i="17" l="1"/>
  <c r="BK229" i="17" s="1"/>
  <c r="BH230" i="17" s="1"/>
  <c r="BI230" i="17" s="1"/>
  <c r="BG229" i="17" l="1"/>
  <c r="BD230" i="17" s="1"/>
  <c r="BE230" i="17" s="1"/>
  <c r="AV229" i="17"/>
  <c r="AA229" i="17"/>
  <c r="AC229" i="17" s="1"/>
  <c r="Q230" i="17" s="1"/>
  <c r="AE229" i="17"/>
  <c r="BF230" i="17" l="1"/>
  <c r="Y230" i="17"/>
  <c r="AB230" i="17"/>
  <c r="AT229" i="17"/>
  <c r="AD229" i="17"/>
  <c r="AF229" i="17" l="1"/>
  <c r="AG229" i="17" s="1"/>
  <c r="K230" i="17"/>
  <c r="S230" i="17"/>
  <c r="T230" i="17" s="1"/>
  <c r="M230" i="17" l="1"/>
  <c r="N230" i="17" l="1"/>
  <c r="AU230" i="17" s="1"/>
  <c r="X230" i="17" l="1"/>
  <c r="Z230" i="17" s="1"/>
  <c r="U230" i="17" l="1"/>
  <c r="V230" i="17"/>
  <c r="W230" i="17" l="1"/>
  <c r="AV230" i="17" s="1"/>
  <c r="AE230" i="17" l="1"/>
  <c r="BG230" i="17"/>
  <c r="BD231" i="17" s="1"/>
  <c r="BE231" i="17" s="1"/>
  <c r="BF231" i="17" s="1"/>
  <c r="AA230" i="17"/>
  <c r="AB231" i="17" s="1"/>
  <c r="BK230" i="17"/>
  <c r="BH231" i="17" s="1"/>
  <c r="BI231" i="17" s="1"/>
  <c r="Y231" i="17" l="1"/>
  <c r="AC230" i="17"/>
  <c r="Q231" i="17" s="1"/>
  <c r="S231" i="17" s="1"/>
  <c r="T231" i="17" s="1"/>
  <c r="AD230" i="17" l="1"/>
  <c r="AT230" i="17"/>
  <c r="AF230" i="17"/>
  <c r="AG230" i="17" s="1"/>
  <c r="K231" i="17"/>
  <c r="M231" i="17" s="1"/>
  <c r="N231" i="17" l="1"/>
  <c r="AU231" i="17" s="1"/>
  <c r="X231" i="17" l="1"/>
  <c r="Z231" i="17" s="1"/>
  <c r="V231" i="17" l="1"/>
  <c r="U231" i="17"/>
  <c r="W231" i="17" s="1"/>
  <c r="BG231" i="17" l="1"/>
  <c r="BD232" i="17" s="1"/>
  <c r="BE232" i="17" s="1"/>
  <c r="BF232" i="17" s="1"/>
  <c r="AA231" i="17"/>
  <c r="AB232" i="17" s="1"/>
  <c r="BK231" i="17"/>
  <c r="BH232" i="17" s="1"/>
  <c r="BI232" i="17" s="1"/>
  <c r="AV231" i="17"/>
  <c r="AE231" i="17"/>
  <c r="AC231" i="17" l="1"/>
  <c r="Q232" i="17" s="1"/>
  <c r="Y232" i="17"/>
  <c r="AD231" i="17" l="1"/>
  <c r="AF231" i="17" s="1"/>
  <c r="AG231" i="17" s="1"/>
  <c r="AT231" i="17"/>
  <c r="S232" i="17" l="1"/>
  <c r="T232" i="17" s="1"/>
  <c r="K232" i="17"/>
  <c r="M232" i="17" s="1"/>
  <c r="N232" i="17" l="1"/>
  <c r="AU232" i="17" s="1"/>
  <c r="X232" i="17" l="1"/>
  <c r="V232" i="17" l="1"/>
  <c r="U232" i="17"/>
  <c r="W232" i="17" s="1"/>
  <c r="Z232" i="17"/>
  <c r="BG232" i="17" l="1"/>
  <c r="BD233" i="17" s="1"/>
  <c r="BE233" i="17" s="1"/>
  <c r="BF233" i="17" s="1"/>
  <c r="AV232" i="17"/>
  <c r="BK232" i="17"/>
  <c r="BH233" i="17" s="1"/>
  <c r="BI233" i="17" s="1"/>
  <c r="AA232" i="17"/>
  <c r="AB233" i="17" s="1"/>
  <c r="AE232" i="17"/>
  <c r="Y233" i="17" l="1"/>
  <c r="AC232" i="17"/>
  <c r="Q233" i="17" s="1"/>
  <c r="AD232" i="17" l="1"/>
  <c r="AT232" i="17"/>
  <c r="AF232" i="17" l="1"/>
  <c r="AG232" i="17" s="1"/>
  <c r="K233" i="17"/>
  <c r="M233" i="17" s="1"/>
  <c r="N233" i="17" s="1"/>
  <c r="S233" i="17"/>
  <c r="T233" i="17" s="1"/>
  <c r="AU233" i="17" l="1"/>
  <c r="X233" i="17"/>
  <c r="V233" i="17" l="1"/>
  <c r="U233" i="17"/>
  <c r="Z233" i="17"/>
  <c r="W233" i="17" l="1"/>
  <c r="BK233" i="17" s="1"/>
  <c r="BH234" i="17" s="1"/>
  <c r="BI234" i="17" s="1"/>
  <c r="AV233" i="17" l="1"/>
  <c r="AA233" i="17"/>
  <c r="AB234" i="17" s="1"/>
  <c r="AE233" i="17"/>
  <c r="BG233" i="17"/>
  <c r="BD234" i="17" s="1"/>
  <c r="BE234" i="17" s="1"/>
  <c r="BF234" i="17" s="1"/>
  <c r="Y234" i="17" l="1"/>
  <c r="AC233" i="17"/>
  <c r="Q234" i="17" s="1"/>
  <c r="AT233" i="17" l="1"/>
  <c r="AD233" i="17"/>
  <c r="K234" i="17" s="1"/>
  <c r="M234" i="17" s="1"/>
  <c r="N234" i="17" s="1"/>
  <c r="S234" i="17"/>
  <c r="T234" i="17" s="1"/>
  <c r="AF233" i="17" l="1"/>
  <c r="AG233" i="17" s="1"/>
  <c r="AU234" i="17"/>
  <c r="X234" i="17"/>
  <c r="Z234" i="17" s="1"/>
  <c r="V234" i="17" l="1"/>
  <c r="U234" i="17"/>
  <c r="W234" i="17" l="1"/>
  <c r="BK234" i="17" l="1"/>
  <c r="BH235" i="17" s="1"/>
  <c r="BI235" i="17" s="1"/>
  <c r="AV234" i="17"/>
  <c r="BG234" i="17"/>
  <c r="BD235" i="17" s="1"/>
  <c r="BE235" i="17" s="1"/>
  <c r="BF235" i="17" s="1"/>
  <c r="AA234" i="17"/>
  <c r="AB235" i="17" s="1"/>
  <c r="AE234" i="17"/>
  <c r="AC234" i="17" l="1"/>
  <c r="Q235" i="17" s="1"/>
  <c r="Y235" i="17"/>
  <c r="AD234" i="17" l="1"/>
  <c r="AT234" i="17"/>
  <c r="AF234" i="17" l="1"/>
  <c r="AG234" i="17" s="1"/>
  <c r="K235" i="17"/>
  <c r="M235" i="17" s="1"/>
  <c r="N235" i="17" s="1"/>
  <c r="AU235" i="17" l="1"/>
  <c r="S235" i="17"/>
  <c r="T235" i="17" l="1"/>
  <c r="U235" i="17" l="1"/>
  <c r="X235" i="17"/>
  <c r="Z235" i="17" s="1"/>
  <c r="V235" i="17" l="1"/>
  <c r="W235" i="17" s="1"/>
  <c r="BG235" i="17" l="1"/>
  <c r="BD236" i="17" s="1"/>
  <c r="BE236" i="17" s="1"/>
  <c r="BF236" i="17" s="1"/>
  <c r="AV235" i="17"/>
  <c r="BK235" i="17"/>
  <c r="BH236" i="17" s="1"/>
  <c r="BI236" i="17" s="1"/>
  <c r="AA235" i="17"/>
  <c r="AB236" i="17" s="1"/>
  <c r="AE235" i="17"/>
  <c r="AC235" i="17" l="1"/>
  <c r="Q236" i="17" s="1"/>
  <c r="Y236" i="17"/>
  <c r="AT235" i="17" l="1"/>
  <c r="AD235" i="17"/>
  <c r="K236" i="17" s="1"/>
  <c r="AF235" i="17" l="1"/>
  <c r="AG235" i="17" s="1"/>
  <c r="S236" i="17"/>
  <c r="T236" i="17" s="1"/>
  <c r="M236" i="17"/>
  <c r="N236" i="17" s="1"/>
  <c r="AU236" i="17" l="1"/>
  <c r="X236" i="17"/>
  <c r="Z236" i="17" s="1"/>
  <c r="V236" i="17" l="1"/>
  <c r="U236" i="17"/>
  <c r="W236" i="17" l="1"/>
  <c r="BG236" i="17" s="1"/>
  <c r="BD237" i="17" s="1"/>
  <c r="BE237" i="17" s="1"/>
  <c r="BF237" i="17" s="1"/>
  <c r="AE236" i="17"/>
  <c r="AV236" i="17" l="1"/>
  <c r="AA236" i="17"/>
  <c r="AB237" i="17" s="1"/>
  <c r="BK236" i="17"/>
  <c r="BH237" i="17" s="1"/>
  <c r="BI237" i="17" s="1"/>
  <c r="AC236" i="17"/>
  <c r="Q237" i="17" s="1"/>
  <c r="Y237" i="17" l="1"/>
  <c r="AD236" i="17"/>
  <c r="AT236" i="17"/>
  <c r="AF236" i="17" l="1"/>
  <c r="AG236" i="17" s="1"/>
  <c r="K237" i="17"/>
  <c r="S237" i="17"/>
  <c r="T237" i="17" s="1"/>
  <c r="M237" i="17" l="1"/>
  <c r="N237" i="17" s="1"/>
  <c r="X237" i="17" s="1"/>
  <c r="Z237" i="17" s="1"/>
  <c r="AU237" i="17" l="1"/>
  <c r="V237" i="17"/>
  <c r="U237" i="17"/>
  <c r="W237" i="17" l="1"/>
  <c r="BK237" i="17" s="1"/>
  <c r="BH238" i="17" s="1"/>
  <c r="BI238" i="17" s="1"/>
  <c r="AE237" i="17" l="1"/>
  <c r="BG237" i="17"/>
  <c r="BD238" i="17" s="1"/>
  <c r="BE238" i="17" s="1"/>
  <c r="BF238" i="17" s="1"/>
  <c r="AA237" i="17"/>
  <c r="AB238" i="17" s="1"/>
  <c r="AV237" i="17"/>
  <c r="AC237" i="17" l="1"/>
  <c r="Q238" i="17" s="1"/>
  <c r="Y238" i="17"/>
  <c r="AD237" i="17" l="1"/>
  <c r="AT237" i="17"/>
  <c r="AF237" i="17"/>
  <c r="AG237" i="17" s="1"/>
  <c r="K238" i="17"/>
  <c r="M238" i="17" s="1"/>
  <c r="N238" i="17" s="1"/>
  <c r="S238" i="17"/>
  <c r="T238" i="17" s="1"/>
  <c r="AU238" i="17" l="1"/>
  <c r="X238" i="17"/>
  <c r="Z238" i="17" l="1"/>
  <c r="V238" i="17"/>
  <c r="U238" i="17"/>
  <c r="W238" i="17" s="1"/>
  <c r="BG238" i="17" l="1"/>
  <c r="BD239" i="17" s="1"/>
  <c r="BE239" i="17" s="1"/>
  <c r="BF239" i="17" s="1"/>
  <c r="AV238" i="17"/>
  <c r="BK238" i="17"/>
  <c r="BH239" i="17" s="1"/>
  <c r="BI239" i="17" s="1"/>
  <c r="AA238" i="17"/>
  <c r="AB239" i="17" s="1"/>
  <c r="AE238" i="17"/>
  <c r="AC238" i="17" l="1"/>
  <c r="Q239" i="17" s="1"/>
  <c r="Y239" i="17"/>
  <c r="AD238" i="17" l="1"/>
  <c r="AT238" i="17"/>
  <c r="AF238" i="17" l="1"/>
  <c r="AG238" i="17" s="1"/>
  <c r="K239" i="17"/>
  <c r="M239" i="17" s="1"/>
  <c r="N239" i="17" s="1"/>
  <c r="AU239" i="17" l="1"/>
  <c r="S239" i="17"/>
  <c r="T239" i="17" s="1"/>
  <c r="X239" i="17" l="1"/>
  <c r="Z239" i="17" s="1"/>
  <c r="V239" i="17"/>
  <c r="U239" i="17"/>
  <c r="W239" i="17" l="1"/>
  <c r="BG239" i="17" s="1"/>
  <c r="BD240" i="17" s="1"/>
  <c r="BE240" i="17" s="1"/>
  <c r="BF240" i="17" s="1"/>
  <c r="AE239" i="17" l="1"/>
  <c r="AV239" i="17"/>
  <c r="BK239" i="17"/>
  <c r="BH240" i="17" s="1"/>
  <c r="BI240" i="17" s="1"/>
  <c r="AA239" i="17"/>
  <c r="AB240" i="17" s="1"/>
  <c r="AC239" i="17" l="1"/>
  <c r="Q240" i="17" s="1"/>
  <c r="Y240" i="17"/>
  <c r="AT239" i="17" l="1"/>
  <c r="AD239" i="17"/>
  <c r="K240" i="17" s="1"/>
  <c r="M240" i="17" s="1"/>
  <c r="N240" i="17" s="1"/>
  <c r="S240" i="17"/>
  <c r="T240" i="17" s="1"/>
  <c r="AF239" i="17" l="1"/>
  <c r="AG239" i="17" s="1"/>
  <c r="AU240" i="17"/>
  <c r="X240" i="17"/>
  <c r="Z240" i="17" s="1"/>
  <c r="V240" i="17" l="1"/>
  <c r="U240" i="17"/>
  <c r="W240" i="17" l="1"/>
  <c r="BK240" i="17" s="1"/>
  <c r="BH241" i="17" s="1"/>
  <c r="BI241" i="17" s="1"/>
  <c r="AE240" i="17" l="1"/>
  <c r="BG240" i="17"/>
  <c r="BD241" i="17" s="1"/>
  <c r="BE241" i="17" s="1"/>
  <c r="BF241" i="17" s="1"/>
  <c r="AA240" i="17"/>
  <c r="AB241" i="17" s="1"/>
  <c r="AV240" i="17"/>
  <c r="AC240" i="17" l="1"/>
  <c r="Q241" i="17" s="1"/>
  <c r="Y241" i="17"/>
  <c r="AT240" i="17" l="1"/>
  <c r="AD240" i="17"/>
  <c r="AF240" i="17" s="1"/>
  <c r="AG240" i="17" s="1"/>
  <c r="S241" i="17"/>
  <c r="T241" i="17" s="1"/>
  <c r="K241" i="17" l="1"/>
  <c r="M241" i="17" s="1"/>
  <c r="N241" i="17" s="1"/>
  <c r="AU241" i="17" s="1"/>
  <c r="X241" i="17" l="1"/>
  <c r="Z241" i="17" s="1"/>
  <c r="V241" i="17"/>
  <c r="U241" i="17"/>
  <c r="W241" i="17" l="1"/>
  <c r="BK241" i="17" s="1"/>
  <c r="BH242" i="17" s="1"/>
  <c r="BI242" i="17" s="1"/>
  <c r="AE241" i="17" l="1"/>
  <c r="BG241" i="17"/>
  <c r="BD242" i="17" s="1"/>
  <c r="BE242" i="17" s="1"/>
  <c r="BF242" i="17" s="1"/>
  <c r="AV241" i="17"/>
  <c r="AA241" i="17"/>
  <c r="AB242" i="17" s="1"/>
  <c r="Y242" i="17" l="1"/>
  <c r="AC241" i="17"/>
  <c r="Q242" i="17" s="1"/>
  <c r="AT241" i="17" l="1"/>
  <c r="AD241" i="17"/>
  <c r="AF241" i="17" s="1"/>
  <c r="AG241" i="17" s="1"/>
  <c r="S242" i="17"/>
  <c r="T242" i="17" s="1"/>
  <c r="K242" i="17" l="1"/>
  <c r="M242" i="17" s="1"/>
  <c r="N242" i="17" l="1"/>
  <c r="AU242" i="17" s="1"/>
  <c r="X242" i="17" l="1"/>
  <c r="Z242" i="17" s="1"/>
  <c r="V242" i="17"/>
  <c r="U242" i="17"/>
  <c r="W242" i="17" l="1"/>
  <c r="AV242" i="17" s="1"/>
  <c r="AA242" i="17" l="1"/>
  <c r="AB243" i="17" s="1"/>
  <c r="BK242" i="17"/>
  <c r="BH243" i="17" s="1"/>
  <c r="BI243" i="17" s="1"/>
  <c r="BG242" i="17"/>
  <c r="BD243" i="17" s="1"/>
  <c r="BE243" i="17" s="1"/>
  <c r="BF243" i="17" s="1"/>
  <c r="AE242" i="17"/>
  <c r="AC242" i="17"/>
  <c r="Q243" i="17" s="1"/>
  <c r="Y243" i="17" l="1"/>
  <c r="AD242" i="17"/>
  <c r="AT242" i="17"/>
  <c r="AF242" i="17" l="1"/>
  <c r="AG242" i="17" s="1"/>
  <c r="K243" i="17"/>
  <c r="S243" i="17"/>
  <c r="T243" i="17" s="1"/>
  <c r="M243" i="17" l="1"/>
  <c r="N243" i="17" s="1"/>
  <c r="X243" i="17" s="1"/>
  <c r="Z243" i="17" s="1"/>
  <c r="AU243" i="17" l="1"/>
  <c r="V243" i="17"/>
  <c r="U243" i="17"/>
  <c r="W243" i="17" l="1"/>
  <c r="BG243" i="17" s="1"/>
  <c r="BD244" i="17" s="1"/>
  <c r="BE244" i="17" s="1"/>
  <c r="BF244" i="17" s="1"/>
  <c r="AE243" i="17" l="1"/>
  <c r="AA243" i="17"/>
  <c r="AB244" i="17" s="1"/>
  <c r="BK243" i="17"/>
  <c r="BH244" i="17" s="1"/>
  <c r="BI244" i="17" s="1"/>
  <c r="AV243" i="17"/>
  <c r="Y244" i="17" l="1"/>
  <c r="AC243" i="17"/>
  <c r="Q244" i="17" s="1"/>
  <c r="AT243" i="17" l="1"/>
  <c r="AD243" i="17"/>
  <c r="K244" i="17" s="1"/>
  <c r="M244" i="17" s="1"/>
  <c r="N244" i="17" s="1"/>
  <c r="S244" i="17"/>
  <c r="T244" i="17" s="1"/>
  <c r="AF243" i="17" l="1"/>
  <c r="AG243" i="17" s="1"/>
  <c r="AU244" i="17"/>
  <c r="V244" i="17"/>
  <c r="U244" i="17"/>
  <c r="X244" i="17"/>
  <c r="W244" i="17" l="1"/>
  <c r="BK244" i="17" s="1"/>
  <c r="BH245" i="17" s="1"/>
  <c r="BI245" i="17" s="1"/>
  <c r="Z244" i="17"/>
  <c r="AA244" i="17" l="1"/>
  <c r="AB245" i="17" s="1"/>
  <c r="BG244" i="17"/>
  <c r="BD245" i="17" s="1"/>
  <c r="BE245" i="17" s="1"/>
  <c r="BF245" i="17" s="1"/>
  <c r="AV244" i="17"/>
  <c r="AE244" i="17"/>
  <c r="Y245" i="17"/>
  <c r="AC244" i="17"/>
  <c r="Q245" i="17" s="1"/>
  <c r="AT244" i="17" l="1"/>
  <c r="AD244" i="17"/>
  <c r="AF244" i="17" l="1"/>
  <c r="AG244" i="17" s="1"/>
  <c r="K245" i="17"/>
  <c r="M245" i="17" s="1"/>
  <c r="N245" i="17" s="1"/>
  <c r="S245" i="17"/>
  <c r="T245" i="17" s="1"/>
  <c r="AU245" i="17" l="1"/>
  <c r="X245" i="17"/>
  <c r="U245" i="17"/>
  <c r="V245" i="17" l="1"/>
  <c r="W245" i="17" s="1"/>
  <c r="Z245" i="17"/>
  <c r="AV245" i="17" l="1"/>
  <c r="AA245" i="17"/>
  <c r="AB246" i="17" s="1"/>
  <c r="BG245" i="17"/>
  <c r="BD246" i="17" s="1"/>
  <c r="BE246" i="17" s="1"/>
  <c r="BF246" i="17" s="1"/>
  <c r="BK245" i="17"/>
  <c r="BH246" i="17" s="1"/>
  <c r="BI246" i="17" s="1"/>
  <c r="AE245" i="17"/>
  <c r="AC245" i="17" l="1"/>
  <c r="Q246" i="17" s="1"/>
  <c r="Y246" i="17"/>
  <c r="AD245" i="17" l="1"/>
  <c r="AT245" i="17"/>
  <c r="AF245" i="17" l="1"/>
  <c r="AG245" i="17" s="1"/>
  <c r="K246" i="17"/>
  <c r="M246" i="17" s="1"/>
  <c r="S246" i="17"/>
  <c r="T246" i="17" s="1"/>
  <c r="N246" i="17" l="1"/>
  <c r="X246" i="17" s="1"/>
  <c r="Z246" i="17" l="1"/>
  <c r="AU246" i="17"/>
  <c r="V246" i="17" l="1"/>
  <c r="U246" i="17"/>
  <c r="W246" i="17" l="1"/>
  <c r="BK246" i="17" s="1"/>
  <c r="BH247" i="17" s="1"/>
  <c r="BI247" i="17" s="1"/>
  <c r="BG246" i="17" l="1"/>
  <c r="BD247" i="17" s="1"/>
  <c r="BE247" i="17" s="1"/>
  <c r="BF247" i="17" s="1"/>
  <c r="AV246" i="17"/>
  <c r="AE246" i="17"/>
  <c r="AA246" i="17"/>
  <c r="AB247" i="17" l="1"/>
  <c r="AC246" i="17"/>
  <c r="Y247" i="17"/>
  <c r="Q247" i="17" l="1"/>
  <c r="S247" i="17" s="1"/>
  <c r="T247" i="17" s="1"/>
  <c r="AT246" i="17"/>
  <c r="AD246" i="17"/>
  <c r="K247" i="17" s="1"/>
  <c r="M247" i="17" s="1"/>
  <c r="N247" i="17" s="1"/>
  <c r="X247" i="17" l="1"/>
  <c r="Z247" i="17" s="1"/>
  <c r="AF246" i="17"/>
  <c r="AG246" i="17" s="1"/>
  <c r="AU247" i="17"/>
  <c r="U247" i="17" s="1"/>
  <c r="V247" i="17"/>
  <c r="W247" i="17" l="1"/>
  <c r="AV247" i="17" s="1"/>
  <c r="AE247" i="17" l="1"/>
  <c r="BG247" i="17"/>
  <c r="BD248" i="17" s="1"/>
  <c r="BE248" i="17" s="1"/>
  <c r="BF248" i="17" s="1"/>
  <c r="BK247" i="17"/>
  <c r="BH248" i="17" s="1"/>
  <c r="BI248" i="17" s="1"/>
  <c r="AA247" i="17"/>
  <c r="AB248" i="17" s="1"/>
  <c r="Y248" i="17" l="1"/>
  <c r="AC247" i="17"/>
  <c r="Q248" i="17" s="1"/>
  <c r="AD247" i="17" l="1"/>
  <c r="K248" i="17" s="1"/>
  <c r="AT247" i="17"/>
  <c r="S248" i="17"/>
  <c r="T248" i="17" s="1"/>
  <c r="AF247" i="17" l="1"/>
  <c r="AG247" i="17" s="1"/>
  <c r="M248" i="17"/>
  <c r="N248" i="17" s="1"/>
  <c r="X248" i="17" l="1"/>
  <c r="Z248" i="17" s="1"/>
  <c r="AU248" i="17"/>
  <c r="U248" i="17" s="1"/>
  <c r="V248" i="17" l="1"/>
  <c r="W248" i="17" s="1"/>
  <c r="AA248" i="17" l="1"/>
  <c r="AB249" i="17" s="1"/>
  <c r="BG248" i="17"/>
  <c r="BD249" i="17" s="1"/>
  <c r="BE249" i="17" s="1"/>
  <c r="BF249" i="17" s="1"/>
  <c r="BK248" i="17"/>
  <c r="BH249" i="17" s="1"/>
  <c r="BI249" i="17" s="1"/>
  <c r="AE248" i="17"/>
  <c r="AV248" i="17"/>
  <c r="AC248" i="17" l="1"/>
  <c r="Q249" i="17" s="1"/>
  <c r="Y249" i="17"/>
  <c r="AT248" i="17" l="1"/>
  <c r="AD248" i="17"/>
  <c r="K249" i="17" s="1"/>
  <c r="AF248" i="17" l="1"/>
  <c r="AG248" i="17" s="1"/>
  <c r="S249" i="17"/>
  <c r="T249" i="17" s="1"/>
  <c r="M249" i="17" l="1"/>
  <c r="N249" i="17" s="1"/>
  <c r="X249" i="17" l="1"/>
  <c r="Z249" i="17" s="1"/>
  <c r="AU249" i="17"/>
  <c r="U249" i="17" s="1"/>
  <c r="V249" i="17" l="1"/>
  <c r="W249" i="17" s="1"/>
  <c r="BG249" i="17" l="1"/>
  <c r="BD250" i="17" s="1"/>
  <c r="BE250" i="17" s="1"/>
  <c r="BF250" i="17" s="1"/>
  <c r="AV249" i="17"/>
  <c r="AA249" i="17"/>
  <c r="AB250" i="17" s="1"/>
  <c r="AE249" i="17"/>
  <c r="BK249" i="17"/>
  <c r="BH250" i="17" s="1"/>
  <c r="BI250" i="17" s="1"/>
  <c r="AC249" i="17" l="1"/>
  <c r="Q250" i="17" s="1"/>
  <c r="Y250" i="17"/>
  <c r="AD249" i="17" l="1"/>
  <c r="AT249" i="17"/>
  <c r="AF249" i="17" l="1"/>
  <c r="AG249" i="17" s="1"/>
  <c r="K250" i="17"/>
  <c r="S250" i="17" l="1"/>
  <c r="T250" i="17" s="1"/>
  <c r="M250" i="17"/>
  <c r="N250" i="17" l="1"/>
  <c r="X250" i="17" l="1"/>
  <c r="Z250" i="17" s="1"/>
  <c r="AU250" i="17"/>
  <c r="U250" i="17" s="1"/>
  <c r="V250" i="17" l="1"/>
  <c r="W250" i="17" s="1"/>
  <c r="AV250" i="17" l="1"/>
  <c r="AA250" i="17"/>
  <c r="AB251" i="17" s="1"/>
  <c r="BK250" i="17"/>
  <c r="BH251" i="17" s="1"/>
  <c r="BI251" i="17" s="1"/>
  <c r="BG250" i="17"/>
  <c r="BD251" i="17" s="1"/>
  <c r="BE251" i="17" s="1"/>
  <c r="BF251" i="17" s="1"/>
  <c r="AE250" i="17"/>
  <c r="Y251" i="17" l="1"/>
  <c r="AC250" i="17"/>
  <c r="Q251" i="17" s="1"/>
  <c r="AD250" i="17" l="1"/>
  <c r="K251" i="17" s="1"/>
  <c r="AT250" i="17"/>
  <c r="S251" i="17" l="1"/>
  <c r="T251" i="17" s="1"/>
  <c r="AF250" i="17"/>
  <c r="AG250" i="17" s="1"/>
  <c r="M251" i="17" l="1"/>
  <c r="N251" i="17" s="1"/>
  <c r="X251" i="17" s="1"/>
  <c r="AU251" i="17" l="1"/>
  <c r="U251" i="17" s="1"/>
  <c r="Z251" i="17"/>
  <c r="V251" i="17" l="1"/>
  <c r="W251" i="17" s="1"/>
  <c r="AE251" i="17" s="1"/>
  <c r="AA251" i="17" l="1"/>
  <c r="AB252" i="17" s="1"/>
  <c r="BK251" i="17"/>
  <c r="BH252" i="17" s="1"/>
  <c r="BI252" i="17" s="1"/>
  <c r="BG251" i="17"/>
  <c r="BD252" i="17" s="1"/>
  <c r="BE252" i="17" s="1"/>
  <c r="BF252" i="17" s="1"/>
  <c r="AV251" i="17"/>
  <c r="AC251" i="17"/>
  <c r="Q252" i="17" s="1"/>
  <c r="Y252" i="17" l="1"/>
  <c r="AD251" i="17"/>
  <c r="AT251" i="17"/>
  <c r="AF251" i="17" l="1"/>
  <c r="AG251" i="17" s="1"/>
  <c r="K252" i="17"/>
  <c r="M252" i="17" s="1"/>
  <c r="N252" i="17" l="1"/>
  <c r="AU252" i="17" s="1"/>
  <c r="U252" i="17" s="1"/>
  <c r="S252" i="17"/>
  <c r="T252" i="17" s="1"/>
  <c r="V252" i="17" l="1"/>
  <c r="W252" i="17" s="1"/>
  <c r="X252" i="17"/>
  <c r="Z252" i="17" s="1"/>
  <c r="AA252" i="17" l="1"/>
  <c r="AB253" i="17" s="1"/>
  <c r="AV252" i="17"/>
  <c r="BG252" i="17"/>
  <c r="BD253" i="17" s="1"/>
  <c r="BE253" i="17" s="1"/>
  <c r="BF253" i="17" s="1"/>
  <c r="BK252" i="17"/>
  <c r="BH253" i="17" s="1"/>
  <c r="BI253" i="17" s="1"/>
  <c r="AE252" i="17"/>
  <c r="AC252" i="17" l="1"/>
  <c r="Q253" i="17" s="1"/>
  <c r="Y253" i="17"/>
  <c r="AD252" i="17" l="1"/>
  <c r="AT252" i="17"/>
  <c r="S253" i="17"/>
  <c r="T253" i="17" s="1"/>
  <c r="AF252" i="17" l="1"/>
  <c r="AG252" i="17" s="1"/>
  <c r="K253" i="17"/>
  <c r="M253" i="17" l="1"/>
  <c r="N253" i="17" l="1"/>
  <c r="X253" i="17" s="1"/>
  <c r="Z253" i="17" l="1"/>
  <c r="AU253" i="17"/>
  <c r="U253" i="17" l="1"/>
  <c r="V253" i="17"/>
  <c r="W253" i="17" l="1"/>
  <c r="BG253" i="17" l="1"/>
  <c r="BD254" i="17" s="1"/>
  <c r="BE254" i="17" s="1"/>
  <c r="BF254" i="17" s="1"/>
  <c r="AE253" i="17"/>
  <c r="AA253" i="17"/>
  <c r="AB254" i="17" s="1"/>
  <c r="BK253" i="17"/>
  <c r="BH254" i="17" s="1"/>
  <c r="BI254" i="17" s="1"/>
  <c r="AV253" i="17"/>
  <c r="Y254" i="17" l="1"/>
  <c r="AC253" i="17"/>
  <c r="Q254" i="17" s="1"/>
  <c r="S254" i="17" l="1"/>
  <c r="T254" i="17" s="1"/>
  <c r="AT253" i="17"/>
  <c r="AD253" i="17"/>
  <c r="AF253" i="17" l="1"/>
  <c r="AG253" i="17" s="1"/>
  <c r="K254" i="17"/>
  <c r="M254" i="17" l="1"/>
  <c r="N254" i="17" s="1"/>
  <c r="X254" i="17" s="1"/>
  <c r="Z254" i="17" l="1"/>
  <c r="AU254" i="17"/>
  <c r="U254" i="17" l="1"/>
  <c r="V254" i="17"/>
  <c r="W254" i="17" l="1"/>
  <c r="AV254" i="17" s="1"/>
  <c r="AE254" i="17" l="1"/>
  <c r="AA254" i="17"/>
  <c r="AB255" i="17" s="1"/>
  <c r="BK254" i="17"/>
  <c r="BH255" i="17" s="1"/>
  <c r="BI255" i="17" s="1"/>
  <c r="BG254" i="17"/>
  <c r="BD255" i="17" s="1"/>
  <c r="BE255" i="17" s="1"/>
  <c r="BF255" i="17" s="1"/>
  <c r="Y255" i="17" l="1"/>
  <c r="AC254" i="17"/>
  <c r="Q255" i="17" s="1"/>
  <c r="S255" i="17" s="1"/>
  <c r="T255" i="17" s="1"/>
  <c r="AD254" i="17" l="1"/>
  <c r="AT254" i="17"/>
  <c r="AF254" i="17"/>
  <c r="AG254" i="17" s="1"/>
  <c r="K255" i="17"/>
  <c r="H11" i="17" l="1"/>
  <c r="M255" i="17"/>
  <c r="N255" i="17" s="1"/>
  <c r="L28" i="13" l="1"/>
  <c r="M29" i="13"/>
  <c r="Q28" i="13"/>
  <c r="AU255" i="17"/>
  <c r="U255" i="17" s="1"/>
  <c r="X255" i="17"/>
  <c r="Z255" i="17" s="1"/>
  <c r="V255" i="17" l="1"/>
  <c r="W255" i="17" s="1"/>
  <c r="AA255" i="17" l="1"/>
  <c r="AB256" i="17" s="1"/>
  <c r="BK255" i="17"/>
  <c r="BH256" i="17" s="1"/>
  <c r="BI256" i="17" s="1"/>
  <c r="BG255" i="17"/>
  <c r="BD256" i="17" s="1"/>
  <c r="BE256" i="17" s="1"/>
  <c r="BF256" i="17" s="1"/>
  <c r="AV255" i="17"/>
  <c r="AE255" i="17"/>
  <c r="Y256" i="17" l="1"/>
  <c r="AC255" i="17"/>
  <c r="Q256" i="17" s="1"/>
  <c r="AD255" i="17" l="1"/>
  <c r="K256" i="17" s="1"/>
  <c r="AT255" i="17"/>
  <c r="S256" i="17" l="1"/>
  <c r="T256" i="17" s="1"/>
  <c r="AF255" i="17"/>
  <c r="AG255" i="17" s="1"/>
  <c r="M256" i="17" l="1"/>
  <c r="N256" i="17" s="1"/>
  <c r="X256" i="17" s="1"/>
  <c r="AU256" i="17" l="1"/>
  <c r="Z256" i="17"/>
  <c r="U256" i="17" l="1"/>
  <c r="V256" i="17"/>
  <c r="W256" i="17" l="1"/>
  <c r="BG256" i="17" l="1"/>
  <c r="BD257" i="17" s="1"/>
  <c r="BE257" i="17" s="1"/>
  <c r="BF257" i="17" s="1"/>
  <c r="AA256" i="17"/>
  <c r="AB257" i="17" s="1"/>
  <c r="BK256" i="17"/>
  <c r="BH257" i="17" s="1"/>
  <c r="BI257" i="17" s="1"/>
  <c r="AV256" i="17"/>
  <c r="AE256" i="17"/>
  <c r="AC256" i="17" l="1"/>
  <c r="Q257" i="17" s="1"/>
  <c r="Y257" i="17"/>
  <c r="AD256" i="17" l="1"/>
  <c r="AT256" i="17"/>
  <c r="AF256" i="17" l="1"/>
  <c r="AG256" i="17" s="1"/>
  <c r="K257" i="17"/>
  <c r="M257" i="17" s="1"/>
  <c r="N257" i="17" s="1"/>
  <c r="AU257" i="17" s="1"/>
  <c r="U257" i="17" s="1"/>
  <c r="S257" i="17"/>
  <c r="T257" i="17" s="1"/>
  <c r="X257" i="17" l="1"/>
  <c r="Z257" i="17" s="1"/>
  <c r="V257" i="17"/>
  <c r="W257" i="17" s="1"/>
  <c r="BG257" i="17" l="1"/>
  <c r="BD258" i="17" s="1"/>
  <c r="BE258" i="17" s="1"/>
  <c r="BF258" i="17" s="1"/>
  <c r="AA257" i="17"/>
  <c r="AB258" i="17" s="1"/>
  <c r="BK257" i="17"/>
  <c r="BH258" i="17" s="1"/>
  <c r="BI258" i="17" s="1"/>
  <c r="AV257" i="17"/>
  <c r="AE257" i="17"/>
  <c r="Y258" i="17" l="1"/>
  <c r="AC257" i="17"/>
  <c r="Q258" i="17" s="1"/>
  <c r="AD257" i="17" l="1"/>
  <c r="AT257" i="17"/>
  <c r="AF257" i="17" l="1"/>
  <c r="AG257" i="17" s="1"/>
  <c r="K258" i="17"/>
  <c r="M258" i="17" s="1"/>
  <c r="N258" i="17" s="1"/>
  <c r="S258" i="17"/>
  <c r="T258" i="17" s="1"/>
  <c r="AU258" i="17" l="1"/>
  <c r="U258" i="17" s="1"/>
  <c r="X258" i="17"/>
  <c r="Z258" i="17" s="1"/>
  <c r="V258" i="17" l="1"/>
  <c r="W258" i="17" s="1"/>
  <c r="AV258" i="17" l="1"/>
  <c r="BG258" i="17"/>
  <c r="BD259" i="17" s="1"/>
  <c r="BE259" i="17" s="1"/>
  <c r="BF259" i="17" s="1"/>
  <c r="AA258" i="17"/>
  <c r="AB259" i="17" s="1"/>
  <c r="AE258" i="17"/>
  <c r="BK258" i="17"/>
  <c r="BH259" i="17" s="1"/>
  <c r="BI259" i="17" s="1"/>
  <c r="AC258" i="17" l="1"/>
  <c r="Q259" i="17" s="1"/>
  <c r="Y259" i="17"/>
  <c r="AT258" i="17" l="1"/>
  <c r="AD258" i="17"/>
  <c r="AF258" i="17" s="1"/>
  <c r="AG258" i="17" s="1"/>
  <c r="S259" i="17"/>
  <c r="T259" i="17" s="1"/>
  <c r="K259" i="17"/>
  <c r="M259" i="17" l="1"/>
  <c r="N259" i="17" l="1"/>
  <c r="X259" i="17" l="1"/>
  <c r="Z259" i="17" s="1"/>
  <c r="AU259" i="17"/>
  <c r="U259" i="17" s="1"/>
  <c r="V259" i="17" l="1"/>
  <c r="W259" i="17" s="1"/>
  <c r="AA259" i="17" l="1"/>
  <c r="AB260" i="17" s="1"/>
  <c r="BK259" i="17"/>
  <c r="BH260" i="17" s="1"/>
  <c r="BI260" i="17" s="1"/>
  <c r="BG259" i="17"/>
  <c r="BD260" i="17" s="1"/>
  <c r="BE260" i="17" s="1"/>
  <c r="BF260" i="17" s="1"/>
  <c r="AV259" i="17"/>
  <c r="AE259" i="17"/>
  <c r="Y260" i="17" l="1"/>
  <c r="AC259" i="17"/>
  <c r="Q260" i="17" s="1"/>
  <c r="AD259" i="17" l="1"/>
  <c r="K260" i="17" s="1"/>
  <c r="AT259" i="17"/>
  <c r="S260" i="17" l="1"/>
  <c r="T260" i="17" s="1"/>
  <c r="AF259" i="17"/>
  <c r="AG259" i="17" s="1"/>
  <c r="M260" i="17" l="1"/>
  <c r="N260" i="17" s="1"/>
  <c r="AU260" i="17" s="1"/>
  <c r="U260" i="17" s="1"/>
  <c r="X260" i="17" l="1"/>
  <c r="Z260" i="17" s="1"/>
  <c r="V260" i="17"/>
  <c r="W260" i="17" s="1"/>
  <c r="BG260" i="17" l="1"/>
  <c r="BD261" i="17" s="1"/>
  <c r="BE261" i="17" s="1"/>
  <c r="BF261" i="17" s="1"/>
  <c r="BK260" i="17"/>
  <c r="BH261" i="17" s="1"/>
  <c r="BI261" i="17" s="1"/>
  <c r="AV260" i="17"/>
  <c r="AA260" i="17"/>
  <c r="AB261" i="17" s="1"/>
  <c r="AE260" i="17"/>
  <c r="AC260" i="17" l="1"/>
  <c r="Q261" i="17" s="1"/>
  <c r="Y261" i="17"/>
  <c r="AD260" i="17" l="1"/>
  <c r="AT260" i="17"/>
  <c r="AF260" i="17" l="1"/>
  <c r="AG260" i="17" s="1"/>
  <c r="K261" i="17"/>
  <c r="S261" i="17"/>
  <c r="T261" i="17" s="1"/>
  <c r="M261" i="17" l="1"/>
  <c r="N261" i="17" s="1"/>
  <c r="AU261" i="17" s="1"/>
  <c r="U261" i="17" s="1"/>
  <c r="V261" i="17" l="1"/>
  <c r="W261" i="17" s="1"/>
  <c r="X261" i="17"/>
  <c r="Z261" i="17" s="1"/>
  <c r="BG261" i="17" l="1"/>
  <c r="BD262" i="17" s="1"/>
  <c r="BE262" i="17" s="1"/>
  <c r="BF262" i="17" s="1"/>
  <c r="AV261" i="17"/>
  <c r="BK261" i="17"/>
  <c r="BH262" i="17" s="1"/>
  <c r="BI262" i="17" s="1"/>
  <c r="AA261" i="17"/>
  <c r="AB262" i="17" s="1"/>
  <c r="AE261" i="17"/>
  <c r="AC261" i="17" l="1"/>
  <c r="Q262" i="17" s="1"/>
  <c r="Y262" i="17"/>
  <c r="AD261" i="17" l="1"/>
  <c r="K262" i="17" s="1"/>
  <c r="AT261" i="17"/>
  <c r="AF261" i="17" l="1"/>
  <c r="AG261" i="17" s="1"/>
  <c r="S262" i="17"/>
  <c r="T262" i="17" s="1"/>
  <c r="M262" i="17"/>
  <c r="N262" i="17" l="1"/>
  <c r="X262" i="17" s="1"/>
  <c r="Z262" i="17" s="1"/>
  <c r="AU262" i="17" l="1"/>
  <c r="U262" i="17" s="1"/>
  <c r="V262" i="17"/>
  <c r="W262" i="17" l="1"/>
  <c r="AA262" i="17" l="1"/>
  <c r="AB263" i="17" s="1"/>
  <c r="BK262" i="17"/>
  <c r="BH263" i="17" s="1"/>
  <c r="BI263" i="17" s="1"/>
  <c r="AV262" i="17"/>
  <c r="BG262" i="17"/>
  <c r="BD263" i="17" s="1"/>
  <c r="BE263" i="17" s="1"/>
  <c r="BF263" i="17" s="1"/>
  <c r="AE262" i="17"/>
  <c r="AC262" i="17" l="1"/>
  <c r="Q263" i="17" s="1"/>
  <c r="Y263" i="17"/>
  <c r="AD262" i="17" l="1"/>
  <c r="AT262" i="17"/>
  <c r="AF262" i="17" l="1"/>
  <c r="AG262" i="17" s="1"/>
  <c r="K263" i="17"/>
  <c r="S263" i="17"/>
  <c r="T263" i="17" s="1"/>
  <c r="M263" i="17" l="1"/>
  <c r="N263" i="17" s="1"/>
  <c r="AU263" i="17" s="1"/>
  <c r="U263" i="17" s="1"/>
  <c r="X263" i="17" l="1"/>
  <c r="Z263" i="17" s="1"/>
  <c r="V263" i="17"/>
  <c r="W263" i="17" s="1"/>
  <c r="AV263" i="17" l="1"/>
  <c r="AA263" i="17"/>
  <c r="AB264" i="17" s="1"/>
  <c r="BK263" i="17"/>
  <c r="BH264" i="17" s="1"/>
  <c r="BI264" i="17" s="1"/>
  <c r="BG263" i="17"/>
  <c r="BD264" i="17" s="1"/>
  <c r="BE264" i="17" s="1"/>
  <c r="BF264" i="17" s="1"/>
  <c r="AE263" i="17"/>
  <c r="AC263" i="17" l="1"/>
  <c r="Q264" i="17" s="1"/>
  <c r="Y264" i="17"/>
  <c r="AD263" i="17" l="1"/>
  <c r="K264" i="17" s="1"/>
  <c r="AT263" i="17"/>
  <c r="M264" i="17" l="1"/>
  <c r="N264" i="17" s="1"/>
  <c r="AF263" i="17"/>
  <c r="AG263" i="17" s="1"/>
  <c r="AU264" i="17" l="1"/>
  <c r="U264" i="17" s="1"/>
  <c r="S264" i="17"/>
  <c r="T264" i="17" s="1"/>
  <c r="V264" i="17" l="1"/>
  <c r="W264" i="17" s="1"/>
  <c r="X264" i="17"/>
  <c r="Z264" i="17" l="1"/>
  <c r="BK264" i="17"/>
  <c r="BH265" i="17" s="1"/>
  <c r="BI265" i="17" s="1"/>
  <c r="AA264" i="17"/>
  <c r="AB265" i="17" s="1"/>
  <c r="AV264" i="17"/>
  <c r="BG264" i="17"/>
  <c r="BD265" i="17" s="1"/>
  <c r="BE265" i="17" s="1"/>
  <c r="BF265" i="17" s="1"/>
  <c r="AE264" i="17"/>
  <c r="Y265" i="17" l="1"/>
  <c r="AC264" i="17"/>
  <c r="Q265" i="17" s="1"/>
  <c r="AT264" i="17" l="1"/>
  <c r="AD264" i="17"/>
  <c r="AF264" i="17" l="1"/>
  <c r="AG264" i="17" s="1"/>
  <c r="K265" i="17"/>
  <c r="S265" i="17"/>
  <c r="T265" i="17" s="1"/>
  <c r="M265" i="17" l="1"/>
  <c r="N265" i="17" s="1"/>
  <c r="X265" i="17" l="1"/>
  <c r="Z265" i="17" s="1"/>
  <c r="AU265" i="17"/>
  <c r="U265" i="17" l="1"/>
  <c r="V265" i="17"/>
  <c r="W265" i="17" l="1"/>
  <c r="AV265" i="17" l="1"/>
  <c r="BK265" i="17"/>
  <c r="BH266" i="17" s="1"/>
  <c r="BI266" i="17" s="1"/>
  <c r="BG265" i="17"/>
  <c r="BD266" i="17" s="1"/>
  <c r="BE266" i="17" s="1"/>
  <c r="BF266" i="17" s="1"/>
  <c r="AA265" i="17"/>
  <c r="AB266" i="17" s="1"/>
  <c r="AE265" i="17"/>
  <c r="Y266" i="17" l="1"/>
  <c r="AC265" i="17"/>
  <c r="Q266" i="17" s="1"/>
  <c r="AD265" i="17" l="1"/>
  <c r="AT265" i="17"/>
  <c r="AF265" i="17" l="1"/>
  <c r="AG265" i="17" s="1"/>
  <c r="K266" i="17"/>
  <c r="S266" i="17" l="1"/>
  <c r="T266" i="17" s="1"/>
  <c r="M266" i="17"/>
  <c r="N266" i="17" s="1"/>
  <c r="X266" i="17" l="1"/>
  <c r="AC266" i="17" s="1"/>
  <c r="AU266" i="17"/>
  <c r="U266" i="17" s="1"/>
  <c r="V266" i="17"/>
  <c r="Z266" i="17" l="1"/>
  <c r="Q267" i="17" s="1"/>
  <c r="W266" i="17"/>
  <c r="BK266" i="17" s="1"/>
  <c r="BH267" i="17" s="1"/>
  <c r="BI267" i="17" s="1"/>
  <c r="AT266" i="17" l="1"/>
  <c r="AE266" i="17"/>
  <c r="AA266" i="17"/>
  <c r="AB267" i="17" s="1"/>
  <c r="BG266" i="17"/>
  <c r="BD267" i="17" s="1"/>
  <c r="BE267" i="17" s="1"/>
  <c r="BF267" i="17" s="1"/>
  <c r="AV266" i="17"/>
  <c r="AD266" i="17" l="1"/>
  <c r="K267" i="17" s="1"/>
  <c r="Y267" i="17"/>
  <c r="AF266" i="17" l="1"/>
  <c r="M267" i="17"/>
  <c r="N267" i="17" s="1"/>
  <c r="AU267" i="17" s="1"/>
  <c r="U267" i="17" s="1"/>
  <c r="S267" i="17"/>
  <c r="T267" i="17" s="1"/>
  <c r="V267" i="17" l="1"/>
  <c r="W267" i="17" s="1"/>
  <c r="X267" i="17"/>
  <c r="Z267" i="17" s="1"/>
  <c r="BK267" i="17" l="1"/>
  <c r="BH268" i="17" s="1"/>
  <c r="BI268" i="17" s="1"/>
  <c r="BG267" i="17"/>
  <c r="BD268" i="17" s="1"/>
  <c r="BE268" i="17" s="1"/>
  <c r="BF268" i="17" s="1"/>
  <c r="AV267" i="17"/>
  <c r="AA267" i="17"/>
  <c r="AB268" i="17" s="1"/>
  <c r="AE267" i="17"/>
  <c r="Y268" i="17" l="1"/>
  <c r="AC267" i="17"/>
  <c r="Q268" i="17" s="1"/>
  <c r="AD267" i="17" l="1"/>
  <c r="K268" i="17" s="1"/>
  <c r="AT267" i="17"/>
  <c r="S268" i="17" l="1"/>
  <c r="T268" i="17" s="1"/>
  <c r="AF267" i="17"/>
  <c r="AG267" i="17" s="1"/>
  <c r="M268" i="17" l="1"/>
  <c r="N268" i="17" l="1"/>
  <c r="X268" i="17" l="1"/>
  <c r="AU268" i="17"/>
  <c r="U268" i="17" s="1"/>
  <c r="V268" i="17" l="1"/>
  <c r="W268" i="17" s="1"/>
  <c r="Z268" i="17"/>
  <c r="AE268" i="17" l="1"/>
  <c r="BK268" i="17"/>
  <c r="BH269" i="17" s="1"/>
  <c r="BI269" i="17" s="1"/>
  <c r="AV268" i="17"/>
  <c r="AA268" i="17"/>
  <c r="AB269" i="17" s="1"/>
  <c r="BG268" i="17"/>
  <c r="BD269" i="17" s="1"/>
  <c r="BE269" i="17" s="1"/>
  <c r="BF269" i="17" s="1"/>
  <c r="Y269" i="17" l="1"/>
  <c r="AC268" i="17"/>
  <c r="Q269" i="17" s="1"/>
  <c r="AD268" i="17" l="1"/>
  <c r="AT268" i="17"/>
  <c r="AF268" i="17" l="1"/>
  <c r="AG268" i="17" s="1"/>
  <c r="K269" i="17"/>
  <c r="S269" i="17"/>
  <c r="T269" i="17" s="1"/>
  <c r="M269" i="17" l="1"/>
  <c r="N269" i="17" s="1"/>
  <c r="AU269" i="17" l="1"/>
  <c r="U269" i="17" s="1"/>
  <c r="V269" i="17"/>
  <c r="X269" i="17"/>
  <c r="Z269" i="17" s="1"/>
  <c r="W269" i="17" l="1"/>
  <c r="AV269" i="17" l="1"/>
  <c r="AA269" i="17"/>
  <c r="AB270" i="17" s="1"/>
  <c r="BK269" i="17"/>
  <c r="BH270" i="17" s="1"/>
  <c r="BI270" i="17" s="1"/>
  <c r="BG269" i="17"/>
  <c r="BD270" i="17" s="1"/>
  <c r="BE270" i="17" s="1"/>
  <c r="BF270" i="17" s="1"/>
  <c r="AE269" i="17"/>
  <c r="AC269" i="17" l="1"/>
  <c r="Q270" i="17" s="1"/>
  <c r="Y270" i="17"/>
  <c r="AD269" i="17" l="1"/>
  <c r="AT269" i="17"/>
  <c r="AF269" i="17" l="1"/>
  <c r="AG269" i="17" s="1"/>
  <c r="K270" i="17"/>
  <c r="S270" i="17"/>
  <c r="T270" i="17" s="1"/>
  <c r="M270" i="17" l="1"/>
  <c r="N270" i="17" s="1"/>
  <c r="AU270" i="17" s="1"/>
  <c r="U270" i="17" s="1"/>
  <c r="X270" i="17" l="1"/>
  <c r="Z270" i="17" s="1"/>
  <c r="V270" i="17"/>
  <c r="W270" i="17" s="1"/>
  <c r="AV270" i="17" l="1"/>
  <c r="BG270" i="17"/>
  <c r="BD271" i="17" s="1"/>
  <c r="BE271" i="17" s="1"/>
  <c r="BF271" i="17" s="1"/>
  <c r="BK270" i="17"/>
  <c r="BH271" i="17" s="1"/>
  <c r="BI271" i="17" s="1"/>
  <c r="AA270" i="17"/>
  <c r="AB271" i="17" s="1"/>
  <c r="AE270" i="17"/>
  <c r="AC270" i="17" l="1"/>
  <c r="Q271" i="17" s="1"/>
  <c r="Y271" i="17"/>
  <c r="AD270" i="17" l="1"/>
  <c r="AT270" i="17"/>
  <c r="AF270" i="17" l="1"/>
  <c r="AG270" i="17" s="1"/>
  <c r="K271" i="17"/>
  <c r="M271" i="17" s="1"/>
  <c r="N271" i="17" s="1"/>
  <c r="S271" i="17"/>
  <c r="T271" i="17" s="1"/>
  <c r="X271" i="17" l="1"/>
  <c r="Z271" i="17" s="1"/>
  <c r="AU271" i="17"/>
  <c r="U271" i="17" s="1"/>
  <c r="V271" i="17" l="1"/>
  <c r="W271" i="17" s="1"/>
  <c r="AA271" i="17" l="1"/>
  <c r="AB272" i="17" s="1"/>
  <c r="AV271" i="17"/>
  <c r="BG271" i="17"/>
  <c r="BD272" i="17" s="1"/>
  <c r="BE272" i="17" s="1"/>
  <c r="BF272" i="17" s="1"/>
  <c r="BK271" i="17"/>
  <c r="BH272" i="17" s="1"/>
  <c r="BI272" i="17" s="1"/>
  <c r="AE271" i="17"/>
  <c r="Y272" i="17" l="1"/>
  <c r="AC271" i="17"/>
  <c r="Q272" i="17" s="1"/>
  <c r="AD271" i="17" l="1"/>
  <c r="K272" i="17" s="1"/>
  <c r="AT271" i="17"/>
  <c r="M272" i="17" l="1"/>
  <c r="N272" i="17" s="1"/>
  <c r="AU272" i="17" s="1"/>
  <c r="U272" i="17" s="1"/>
  <c r="AF271" i="17"/>
  <c r="AG271" i="17" s="1"/>
  <c r="S272" i="17" l="1"/>
  <c r="T272" i="17" l="1"/>
  <c r="X272" i="17" s="1"/>
  <c r="V272" i="17" l="1"/>
  <c r="W272" i="17" s="1"/>
  <c r="AA272" i="17" s="1"/>
  <c r="AB273" i="17" s="1"/>
  <c r="Z272" i="17"/>
  <c r="AE272" i="17" l="1"/>
  <c r="AV272" i="17"/>
  <c r="BG272" i="17"/>
  <c r="BD273" i="17" s="1"/>
  <c r="BE273" i="17" s="1"/>
  <c r="BF273" i="17" s="1"/>
  <c r="BK272" i="17"/>
  <c r="BH273" i="17" s="1"/>
  <c r="BI273" i="17" s="1"/>
  <c r="Y273" i="17"/>
  <c r="AC272" i="17"/>
  <c r="Q273" i="17" s="1"/>
  <c r="AD272" i="17" l="1"/>
  <c r="AT272" i="17"/>
  <c r="AF272" i="17" l="1"/>
  <c r="AG272" i="17" s="1"/>
  <c r="K273" i="17"/>
  <c r="S273" i="17"/>
  <c r="T273" i="17" s="1"/>
  <c r="M273" i="17" l="1"/>
  <c r="N273" i="17" s="1"/>
  <c r="X273" i="17" s="1"/>
  <c r="Z273" i="17" s="1"/>
  <c r="AU273" i="17" l="1"/>
  <c r="U273" i="17" l="1"/>
  <c r="V273" i="17"/>
  <c r="W273" i="17" l="1"/>
  <c r="BG273" i="17" l="1"/>
  <c r="BD274" i="17" s="1"/>
  <c r="BE274" i="17" s="1"/>
  <c r="BF274" i="17" s="1"/>
  <c r="BK273" i="17"/>
  <c r="BH274" i="17" s="1"/>
  <c r="BI274" i="17" s="1"/>
  <c r="AA273" i="17"/>
  <c r="AC273" i="17" s="1"/>
  <c r="AT273" i="17" s="1"/>
  <c r="AV273" i="17"/>
  <c r="AE273" i="17"/>
  <c r="Q274" i="17" l="1"/>
  <c r="S274" i="17" s="1"/>
  <c r="T274" i="17" s="1"/>
  <c r="AD273" i="17"/>
  <c r="K274" i="17" s="1"/>
  <c r="M274" i="17" s="1"/>
  <c r="N274" i="17" s="1"/>
  <c r="AB274" i="17"/>
  <c r="Y274" i="17"/>
  <c r="AF273" i="17" l="1"/>
  <c r="AG273" i="17" s="1"/>
  <c r="AU274" i="17"/>
  <c r="U274" i="17" s="1"/>
  <c r="X274" i="17"/>
  <c r="Z274" i="17" s="1"/>
  <c r="V274" i="17"/>
  <c r="W274" i="17" l="1"/>
  <c r="BK274" i="17" s="1"/>
  <c r="BH275" i="17" s="1"/>
  <c r="BI275" i="17" s="1"/>
  <c r="AA274" i="17" l="1"/>
  <c r="AB275" i="17" s="1"/>
  <c r="AE274" i="17"/>
  <c r="BG274" i="17"/>
  <c r="BD275" i="17" s="1"/>
  <c r="BE275" i="17" s="1"/>
  <c r="BF275" i="17" s="1"/>
  <c r="AV274" i="17"/>
  <c r="AC274" i="17"/>
  <c r="Q275" i="17" s="1"/>
  <c r="AT274" i="17" l="1"/>
  <c r="Y275" i="17"/>
  <c r="AD274" i="17"/>
  <c r="K275" i="17" s="1"/>
  <c r="S275" i="17"/>
  <c r="T275" i="17" s="1"/>
  <c r="AF274" i="17" l="1"/>
  <c r="AG274" i="17" s="1"/>
  <c r="M275" i="17"/>
  <c r="N275" i="17" s="1"/>
  <c r="X275" i="17" s="1"/>
  <c r="Z275" i="17" s="1"/>
  <c r="AU275" i="17" l="1"/>
  <c r="U275" i="17" l="1"/>
  <c r="V275" i="17"/>
  <c r="W275" i="17" l="1"/>
  <c r="BG275" i="17" s="1"/>
  <c r="BD276" i="17" s="1"/>
  <c r="BE276" i="17" s="1"/>
  <c r="BF276" i="17" s="1"/>
  <c r="BK275" i="17" l="1"/>
  <c r="BH276" i="17" s="1"/>
  <c r="BI276" i="17" s="1"/>
  <c r="AV275" i="17"/>
  <c r="AA275" i="17"/>
  <c r="AB276" i="17" s="1"/>
  <c r="AE275" i="17"/>
  <c r="Y276" i="17" l="1"/>
  <c r="AC275" i="17"/>
  <c r="Q276" i="17" s="1"/>
  <c r="AT275" i="17" l="1"/>
  <c r="AD275" i="17"/>
  <c r="AF275" i="17" s="1"/>
  <c r="AG275" i="17" s="1"/>
  <c r="S276" i="17"/>
  <c r="T276" i="17" s="1"/>
  <c r="K276" i="17" l="1"/>
  <c r="M276" i="17" s="1"/>
  <c r="N276" i="17" s="1"/>
  <c r="X276" i="17" s="1"/>
  <c r="Z276" i="17" s="1"/>
  <c r="AU276" i="17" l="1"/>
  <c r="U276" i="17"/>
  <c r="V276" i="17"/>
  <c r="W276" i="17" l="1"/>
  <c r="BK276" i="17" l="1"/>
  <c r="BH277" i="17" s="1"/>
  <c r="BI277" i="17" s="1"/>
  <c r="AA276" i="17"/>
  <c r="AB277" i="17" s="1"/>
  <c r="AV276" i="17"/>
  <c r="BG276" i="17"/>
  <c r="BD277" i="17" s="1"/>
  <c r="BE277" i="17" s="1"/>
  <c r="BF277" i="17" s="1"/>
  <c r="AE276" i="17"/>
  <c r="AC276" i="17" l="1"/>
  <c r="Q277" i="17" s="1"/>
  <c r="Y277" i="17"/>
  <c r="AD276" i="17" l="1"/>
  <c r="AT276" i="17"/>
  <c r="AF276" i="17" l="1"/>
  <c r="AG276" i="17" s="1"/>
  <c r="K277" i="17"/>
  <c r="S277" i="17"/>
  <c r="T277" i="17" s="1"/>
  <c r="M277" i="17" l="1"/>
  <c r="N277" i="17" s="1"/>
  <c r="X277" i="17" s="1"/>
  <c r="AU277" i="17" l="1"/>
  <c r="U277" i="17" s="1"/>
  <c r="V277" i="17"/>
  <c r="Z277" i="17"/>
  <c r="W277" i="17" l="1"/>
  <c r="BG277" i="17" s="1"/>
  <c r="BD278" i="17" s="1"/>
  <c r="BE278" i="17" s="1"/>
  <c r="BF278" i="17" s="1"/>
  <c r="AE277" i="17" l="1"/>
  <c r="BK277" i="17"/>
  <c r="BH278" i="17" s="1"/>
  <c r="BI278" i="17" s="1"/>
  <c r="AA277" i="17"/>
  <c r="AB278" i="17" s="1"/>
  <c r="AV277" i="17"/>
  <c r="AC277" i="17" l="1"/>
  <c r="Q278" i="17" s="1"/>
  <c r="Y278" i="17"/>
  <c r="AT277" i="17" l="1"/>
  <c r="AD277" i="17"/>
  <c r="AF277" i="17" s="1"/>
  <c r="AG277" i="17" s="1"/>
  <c r="K278" i="17"/>
  <c r="M278" i="17" s="1"/>
  <c r="N278" i="17" s="1"/>
  <c r="AU278" i="17" l="1"/>
  <c r="U278" i="17" s="1"/>
  <c r="S278" i="17"/>
  <c r="T278" i="17" s="1"/>
  <c r="V278" i="17" s="1"/>
  <c r="X278" i="17" l="1"/>
  <c r="Z278" i="17" s="1"/>
  <c r="W278" i="17"/>
  <c r="BG278" i="17" l="1"/>
  <c r="BD279" i="17" s="1"/>
  <c r="BK278" i="17"/>
  <c r="BH279" i="17" s="1"/>
  <c r="BI279" i="17" s="1"/>
  <c r="AV278" i="17"/>
  <c r="AA278" i="17"/>
  <c r="AB279" i="17" s="1"/>
  <c r="AE278" i="17"/>
  <c r="AC278" i="17" l="1"/>
  <c r="Q279" i="17" s="1"/>
  <c r="Y279" i="17"/>
  <c r="BE279" i="17"/>
  <c r="BF279" i="17" s="1"/>
  <c r="AD278" i="17" l="1"/>
  <c r="AT278" i="17"/>
  <c r="AF278" i="17" l="1"/>
  <c r="AG278" i="17" s="1"/>
  <c r="K279" i="17"/>
  <c r="M279" i="17" s="1"/>
  <c r="N279" i="17" s="1"/>
  <c r="AU279" i="17" l="1"/>
  <c r="U279" i="17" s="1"/>
  <c r="S279" i="17"/>
  <c r="T279" i="17" s="1"/>
  <c r="V279" i="17" l="1"/>
  <c r="W279" i="17" s="1"/>
  <c r="X279" i="17"/>
  <c r="Z279" i="17" s="1"/>
  <c r="AV279" i="17" l="1"/>
  <c r="AA279" i="17"/>
  <c r="AB280" i="17" s="1"/>
  <c r="BG279" i="17"/>
  <c r="BD280" i="17" s="1"/>
  <c r="BE280" i="17" s="1"/>
  <c r="BF280" i="17" s="1"/>
  <c r="BK279" i="17"/>
  <c r="BH280" i="17" s="1"/>
  <c r="BI280" i="17" s="1"/>
  <c r="AE279" i="17"/>
  <c r="Y280" i="17" l="1"/>
  <c r="AC279" i="17"/>
  <c r="Q280" i="17" s="1"/>
  <c r="AD279" i="17" l="1"/>
  <c r="K280" i="17" s="1"/>
  <c r="AT279" i="17"/>
  <c r="AF279" i="17" l="1"/>
  <c r="AG279" i="17" s="1"/>
  <c r="M280" i="17"/>
  <c r="S280" i="17" l="1"/>
  <c r="T280" i="17" s="1"/>
  <c r="N280" i="17"/>
  <c r="X280" i="17" l="1"/>
  <c r="Z280" i="17" s="1"/>
  <c r="AU280" i="17"/>
  <c r="U280" i="17" l="1"/>
  <c r="V280" i="17"/>
  <c r="W280" i="17" l="1"/>
  <c r="AV280" i="17" s="1"/>
  <c r="AE280" i="17" l="1"/>
  <c r="BG280" i="17"/>
  <c r="BD281" i="17" s="1"/>
  <c r="BE281" i="17" s="1"/>
  <c r="BF281" i="17" s="1"/>
  <c r="BK280" i="17"/>
  <c r="BH281" i="17" s="1"/>
  <c r="BI281" i="17" s="1"/>
  <c r="AA280" i="17"/>
  <c r="AB281" i="17" s="1"/>
  <c r="AC280" i="17" l="1"/>
  <c r="Q281" i="17" s="1"/>
  <c r="S281" i="17" s="1"/>
  <c r="T281" i="17" s="1"/>
  <c r="Y281" i="17"/>
  <c r="AT280" i="17" l="1"/>
  <c r="AD280" i="17"/>
  <c r="AF280" i="17" s="1"/>
  <c r="AG280" i="17" s="1"/>
  <c r="K281" i="17" l="1"/>
  <c r="M281" i="17" s="1"/>
  <c r="N281" i="17" s="1"/>
  <c r="AU281" i="17" l="1"/>
  <c r="U281" i="17" s="1"/>
  <c r="X281" i="17"/>
  <c r="Z281" i="17" l="1"/>
  <c r="V281" i="17"/>
  <c r="W281" i="17" s="1"/>
  <c r="BK281" i="17" l="1"/>
  <c r="BH282" i="17" s="1"/>
  <c r="BI282" i="17" s="1"/>
  <c r="BG281" i="17"/>
  <c r="BD282" i="17" s="1"/>
  <c r="BE282" i="17" s="1"/>
  <c r="BF282" i="17" s="1"/>
  <c r="AV281" i="17"/>
  <c r="AA281" i="17"/>
  <c r="AB282" i="17" s="1"/>
  <c r="AE281" i="17"/>
  <c r="AC281" i="17" l="1"/>
  <c r="Q282" i="17" s="1"/>
  <c r="Y282" i="17"/>
  <c r="AD281" i="17" l="1"/>
  <c r="AT281" i="17"/>
  <c r="AF281" i="17" l="1"/>
  <c r="AG281" i="17" s="1"/>
  <c r="K282" i="17"/>
  <c r="M282" i="17" l="1"/>
  <c r="N282" i="17" s="1"/>
  <c r="AU282" i="17" s="1"/>
  <c r="U282" i="17" s="1"/>
  <c r="S282" i="17"/>
  <c r="T282" i="17" s="1"/>
  <c r="V282" i="17" l="1"/>
  <c r="W282" i="17" s="1"/>
  <c r="X282" i="17"/>
  <c r="Z282" i="17" s="1"/>
  <c r="BG282" i="17" l="1"/>
  <c r="BD283" i="17" s="1"/>
  <c r="BE283" i="17" s="1"/>
  <c r="BF283" i="17" s="1"/>
  <c r="AA282" i="17"/>
  <c r="AB283" i="17" s="1"/>
  <c r="BK282" i="17"/>
  <c r="BH283" i="17" s="1"/>
  <c r="BI283" i="17" s="1"/>
  <c r="AV282" i="17"/>
  <c r="AE282" i="17"/>
  <c r="AC282" i="17" l="1"/>
  <c r="Q283" i="17" s="1"/>
  <c r="Y283" i="17"/>
  <c r="AT282" i="17" l="1"/>
  <c r="AD282" i="17"/>
  <c r="AF282" i="17" l="1"/>
  <c r="AG282" i="17" s="1"/>
  <c r="K283" i="17"/>
  <c r="S283" i="17"/>
  <c r="T283" i="17" s="1"/>
  <c r="M283" i="17" l="1"/>
  <c r="N283" i="17" s="1"/>
  <c r="AU283" i="17" s="1"/>
  <c r="U283" i="17" s="1"/>
  <c r="X283" i="17" l="1"/>
  <c r="Z283" i="17" s="1"/>
  <c r="V283" i="17"/>
  <c r="W283" i="17" s="1"/>
  <c r="BK283" i="17" l="1"/>
  <c r="BH284" i="17" s="1"/>
  <c r="BI284" i="17" s="1"/>
  <c r="AV283" i="17"/>
  <c r="AA283" i="17"/>
  <c r="AB284" i="17" s="1"/>
  <c r="BG283" i="17"/>
  <c r="BD284" i="17" s="1"/>
  <c r="BE284" i="17" s="1"/>
  <c r="BF284" i="17" s="1"/>
  <c r="AE283" i="17"/>
  <c r="AC283" i="17" l="1"/>
  <c r="Q284" i="17" s="1"/>
  <c r="Y284" i="17"/>
  <c r="AT283" i="17" l="1"/>
  <c r="AD283" i="17"/>
  <c r="S284" i="17" l="1"/>
  <c r="T284" i="17" s="1"/>
  <c r="K284" i="17"/>
  <c r="M284" i="17" s="1"/>
  <c r="AF283" i="17"/>
  <c r="AG283" i="17" s="1"/>
  <c r="N284" i="17" l="1"/>
  <c r="AU284" i="17" l="1"/>
  <c r="U284" i="17" s="1"/>
  <c r="X284" i="17"/>
  <c r="V284" i="17"/>
  <c r="Z284" i="17" l="1"/>
  <c r="W284" i="17"/>
  <c r="BG284" i="17" l="1"/>
  <c r="BD285" i="17" s="1"/>
  <c r="BE285" i="17" s="1"/>
  <c r="BF285" i="17" s="1"/>
  <c r="BK284" i="17"/>
  <c r="BH285" i="17" s="1"/>
  <c r="BI285" i="17" s="1"/>
  <c r="AA284" i="17"/>
  <c r="AB285" i="17" s="1"/>
  <c r="AV284" i="17"/>
  <c r="AE284" i="17"/>
  <c r="Y285" i="17" l="1"/>
  <c r="AC284" i="17"/>
  <c r="Q285" i="17" s="1"/>
  <c r="S285" i="17" l="1"/>
  <c r="T285" i="17" s="1"/>
  <c r="AD284" i="17"/>
  <c r="AT284" i="17"/>
  <c r="AF284" i="17" l="1"/>
  <c r="AG284" i="17" s="1"/>
  <c r="K285" i="17"/>
  <c r="M285" i="17" s="1"/>
  <c r="N285" i="17" l="1"/>
  <c r="AU285" i="17" l="1"/>
  <c r="U285" i="17" s="1"/>
  <c r="X285" i="17"/>
  <c r="V285" i="17" l="1"/>
  <c r="W285" i="17" s="1"/>
  <c r="Z285" i="17"/>
  <c r="BK285" i="17" l="1"/>
  <c r="BH286" i="17" s="1"/>
  <c r="BI286" i="17" s="1"/>
  <c r="AA285" i="17"/>
  <c r="AB286" i="17" s="1"/>
  <c r="AV285" i="17"/>
  <c r="BG285" i="17"/>
  <c r="BD286" i="17" s="1"/>
  <c r="BE286" i="17" s="1"/>
  <c r="BF286" i="17" s="1"/>
  <c r="AE285" i="17"/>
  <c r="Y286" i="17" l="1"/>
  <c r="AC285" i="17"/>
  <c r="Q286" i="17" s="1"/>
  <c r="AD285" i="17" l="1"/>
  <c r="AT285" i="17"/>
  <c r="AF285" i="17" l="1"/>
  <c r="AG285" i="17" s="1"/>
  <c r="K286" i="17"/>
  <c r="S286" i="17" l="1"/>
  <c r="T286" i="17" s="1"/>
  <c r="M286" i="17"/>
  <c r="N286" i="17" s="1"/>
  <c r="AU286" i="17" l="1"/>
  <c r="U286" i="17" s="1"/>
  <c r="V286" i="17"/>
  <c r="X286" i="17"/>
  <c r="Z286" i="17" l="1"/>
  <c r="W286" i="17"/>
  <c r="BG286" i="17" l="1"/>
  <c r="BD287" i="17" s="1"/>
  <c r="BE287" i="17" s="1"/>
  <c r="BF287" i="17" s="1"/>
  <c r="AV286" i="17"/>
  <c r="AA286" i="17"/>
  <c r="AB287" i="17" s="1"/>
  <c r="BK286" i="17"/>
  <c r="BH287" i="17" s="1"/>
  <c r="BI287" i="17" s="1"/>
  <c r="AE286" i="17"/>
  <c r="Y287" i="17" l="1"/>
  <c r="AC286" i="17"/>
  <c r="Q287" i="17" s="1"/>
  <c r="AD286" i="17" l="1"/>
  <c r="AT286" i="17"/>
  <c r="AF286" i="17" l="1"/>
  <c r="K287" i="17"/>
  <c r="M287" i="17" s="1"/>
  <c r="N287" i="17" s="1"/>
  <c r="AU287" i="17" s="1"/>
  <c r="U287" i="17" s="1"/>
  <c r="AG286" i="17"/>
  <c r="S287" i="17"/>
  <c r="T287" i="17" s="1"/>
  <c r="X287" i="17" l="1"/>
  <c r="V287" i="17"/>
  <c r="W287" i="17" s="1"/>
  <c r="Z287" i="17"/>
  <c r="AV287" i="17" l="1"/>
  <c r="BK287" i="17"/>
  <c r="BH288" i="17" s="1"/>
  <c r="BI288" i="17" s="1"/>
  <c r="AA287" i="17"/>
  <c r="AE287" i="17"/>
  <c r="BG287" i="17"/>
  <c r="BD288" i="17" s="1"/>
  <c r="BE288" i="17" s="1"/>
  <c r="BF288" i="17" s="1"/>
  <c r="Y288" i="17" l="1"/>
  <c r="AB288" i="17"/>
  <c r="AC287" i="17"/>
  <c r="Q288" i="17" s="1"/>
  <c r="AD287" i="17" l="1"/>
  <c r="AT287" i="17"/>
  <c r="AF287" i="17"/>
  <c r="AG287" i="17" s="1"/>
  <c r="K288" i="17"/>
  <c r="S288" i="17" l="1"/>
  <c r="T288" i="17" s="1"/>
  <c r="M288" i="17"/>
  <c r="N288" i="17" s="1"/>
  <c r="X288" i="17" l="1"/>
  <c r="AU288" i="17"/>
  <c r="U288" i="17" s="1"/>
  <c r="V288" i="17" l="1"/>
  <c r="W288" i="17" s="1"/>
  <c r="Z288" i="17"/>
  <c r="BK288" i="17" l="1"/>
  <c r="BH289" i="17" s="1"/>
  <c r="BI289" i="17" s="1"/>
  <c r="BG288" i="17"/>
  <c r="BD289" i="17" s="1"/>
  <c r="AV288" i="17"/>
  <c r="AA288" i="17"/>
  <c r="AB289" i="17" s="1"/>
  <c r="AE288" i="17"/>
  <c r="Y289" i="17" l="1"/>
  <c r="AC288" i="17"/>
  <c r="Q289" i="17" s="1"/>
  <c r="BE289" i="17"/>
  <c r="BF289" i="17" s="1"/>
  <c r="AD288" i="17" l="1"/>
  <c r="AT288" i="17"/>
  <c r="AF288" i="17" l="1"/>
  <c r="AG288" i="17" s="1"/>
  <c r="K289" i="17"/>
  <c r="S289" i="17" l="1"/>
  <c r="T289" i="17" s="1"/>
  <c r="M289" i="17"/>
  <c r="N289" i="17" s="1"/>
  <c r="AU289" i="17" l="1"/>
  <c r="X289" i="17"/>
  <c r="U289" i="17" l="1"/>
  <c r="V289" i="17"/>
  <c r="Z289" i="17"/>
  <c r="W289" i="17" l="1"/>
  <c r="BK289" i="17" l="1"/>
  <c r="BH290" i="17" s="1"/>
  <c r="BI290" i="17" s="1"/>
  <c r="BG289" i="17"/>
  <c r="BD290" i="17" s="1"/>
  <c r="BE290" i="17" s="1"/>
  <c r="BF290" i="17" s="1"/>
  <c r="AV289" i="17"/>
  <c r="AA289" i="17"/>
  <c r="AB290" i="17" s="1"/>
  <c r="AE289" i="17"/>
  <c r="AC289" i="17" l="1"/>
  <c r="Q290" i="17" s="1"/>
  <c r="Y290" i="17"/>
  <c r="AD289" i="17" l="1"/>
  <c r="AT289" i="17"/>
  <c r="AF289" i="17" l="1"/>
  <c r="AG289" i="17" s="1"/>
  <c r="K290" i="17"/>
  <c r="S290" i="17"/>
  <c r="T290" i="17" s="1"/>
  <c r="M290" i="17" l="1"/>
  <c r="N290" i="17" s="1"/>
  <c r="AU290" i="17" s="1"/>
  <c r="X290" i="17" l="1"/>
  <c r="U290" i="17"/>
  <c r="V290" i="17"/>
  <c r="Z290" i="17"/>
  <c r="W290" i="17" l="1"/>
  <c r="AV290" i="17" s="1"/>
  <c r="BK290" i="17" l="1"/>
  <c r="BH291" i="17" s="1"/>
  <c r="BI291" i="17" s="1"/>
  <c r="AA290" i="17"/>
  <c r="AB291" i="17" s="1"/>
  <c r="BG290" i="17"/>
  <c r="BD291" i="17" s="1"/>
  <c r="BE291" i="17" s="1"/>
  <c r="BF291" i="17" s="1"/>
  <c r="AE290" i="17"/>
  <c r="Y291" i="17" l="1"/>
  <c r="AC290" i="17"/>
  <c r="Q291" i="17" s="1"/>
  <c r="S291" i="17" s="1"/>
  <c r="T291" i="17" s="1"/>
  <c r="AD290" i="17" l="1"/>
  <c r="AF290" i="17" s="1"/>
  <c r="AG290" i="17" s="1"/>
  <c r="AT290" i="17"/>
  <c r="K291" i="17"/>
  <c r="M291" i="17" s="1"/>
  <c r="N291" i="17" s="1"/>
  <c r="X291" i="17" s="1"/>
  <c r="Z291" i="17" s="1"/>
  <c r="AU291" i="17" l="1"/>
  <c r="U291" i="17" l="1"/>
  <c r="V291" i="17"/>
  <c r="W291" i="17" l="1"/>
  <c r="AV291" i="17" l="1"/>
  <c r="BG291" i="17"/>
  <c r="BD292" i="17" s="1"/>
  <c r="BE292" i="17" s="1"/>
  <c r="BF292" i="17" s="1"/>
  <c r="BK291" i="17"/>
  <c r="BH292" i="17" s="1"/>
  <c r="BI292" i="17" s="1"/>
  <c r="AA291" i="17"/>
  <c r="AB292" i="17" s="1"/>
  <c r="AE291" i="17"/>
  <c r="Y292" i="17" l="1"/>
  <c r="AC291" i="17"/>
  <c r="Q292" i="17" s="1"/>
  <c r="AD291" i="17" l="1"/>
  <c r="K292" i="17" s="1"/>
  <c r="AT291" i="17"/>
  <c r="S292" i="17" l="1"/>
  <c r="T292" i="17" s="1"/>
  <c r="AF291" i="17"/>
  <c r="AG291" i="17" s="1"/>
  <c r="M292" i="17" l="1"/>
  <c r="N292" i="17" s="1"/>
  <c r="AU292" i="17" s="1"/>
  <c r="X292" i="17" l="1"/>
  <c r="Z292" i="17" s="1"/>
  <c r="U292" i="17"/>
  <c r="V292" i="17"/>
  <c r="W292" i="17" l="1"/>
  <c r="AV292" i="17" s="1"/>
  <c r="BK292" i="17" l="1"/>
  <c r="BH293" i="17" s="1"/>
  <c r="BI293" i="17" s="1"/>
  <c r="AA292" i="17"/>
  <c r="AB293" i="17" s="1"/>
  <c r="AE292" i="17"/>
  <c r="BG292" i="17"/>
  <c r="BD293" i="17" s="1"/>
  <c r="BE293" i="17" s="1"/>
  <c r="BF293" i="17" s="1"/>
  <c r="Y293" i="17" l="1"/>
  <c r="AC292" i="17"/>
  <c r="Q293" i="17" s="1"/>
  <c r="S293" i="17" s="1"/>
  <c r="T293" i="17" s="1"/>
  <c r="AD292" i="17" l="1"/>
  <c r="K293" i="17" s="1"/>
  <c r="M293" i="17" s="1"/>
  <c r="N293" i="17" s="1"/>
  <c r="AU293" i="17" s="1"/>
  <c r="U293" i="17" s="1"/>
  <c r="AT292" i="17"/>
  <c r="AF292" i="17"/>
  <c r="AG292" i="17" s="1"/>
  <c r="X293" i="17" l="1"/>
  <c r="Z293" i="17" s="1"/>
  <c r="V293" i="17"/>
  <c r="W293" i="17" s="1"/>
  <c r="AV293" i="17" l="1"/>
  <c r="BG293" i="17"/>
  <c r="BD294" i="17" s="1"/>
  <c r="BE294" i="17" s="1"/>
  <c r="BF294" i="17" s="1"/>
  <c r="BK293" i="17"/>
  <c r="BH294" i="17" s="1"/>
  <c r="BI294" i="17" s="1"/>
  <c r="AA293" i="17"/>
  <c r="AB294" i="17" s="1"/>
  <c r="AE293" i="17"/>
  <c r="AC293" i="17" l="1"/>
  <c r="Q294" i="17" s="1"/>
  <c r="Y294" i="17"/>
  <c r="AD293" i="17" l="1"/>
  <c r="AT293" i="17"/>
  <c r="AF293" i="17" l="1"/>
  <c r="AG293" i="17" s="1"/>
  <c r="K294" i="17"/>
  <c r="S294" i="17"/>
  <c r="T294" i="17" s="1"/>
  <c r="M294" i="17" l="1"/>
  <c r="N294" i="17" s="1"/>
  <c r="AU294" i="17" l="1"/>
  <c r="U294" i="17" s="1"/>
  <c r="X294" i="17"/>
  <c r="V294" i="17"/>
  <c r="W294" i="17" l="1"/>
  <c r="BK294" i="17" s="1"/>
  <c r="BH295" i="17" s="1"/>
  <c r="BI295" i="17" s="1"/>
  <c r="Z294" i="17"/>
  <c r="AA294" i="17" l="1"/>
  <c r="AB295" i="17" s="1"/>
  <c r="AV294" i="17"/>
  <c r="BG294" i="17"/>
  <c r="BD295" i="17" s="1"/>
  <c r="BE295" i="17" s="1"/>
  <c r="BF295" i="17" s="1"/>
  <c r="AE294" i="17"/>
  <c r="Y295" i="17"/>
  <c r="AC294" i="17"/>
  <c r="Q295" i="17" s="1"/>
  <c r="AD294" i="17" l="1"/>
  <c r="AT294" i="17"/>
  <c r="AF294" i="17" l="1"/>
  <c r="AG294" i="17" s="1"/>
  <c r="K295" i="17"/>
  <c r="S295" i="17" l="1"/>
  <c r="T295" i="17" s="1"/>
  <c r="M295" i="17"/>
  <c r="N295" i="17" s="1"/>
  <c r="X295" i="17" l="1"/>
  <c r="Z295" i="17" s="1"/>
  <c r="AU295" i="17"/>
  <c r="U295" i="17" s="1"/>
  <c r="V295" i="17" l="1"/>
  <c r="W295" i="17" s="1"/>
  <c r="BK295" i="17" l="1"/>
  <c r="BH296" i="17" s="1"/>
  <c r="BI296" i="17" s="1"/>
  <c r="AV295" i="17"/>
  <c r="AA295" i="17"/>
  <c r="AB296" i="17" s="1"/>
  <c r="BG295" i="17"/>
  <c r="BD296" i="17" s="1"/>
  <c r="BE296" i="17" s="1"/>
  <c r="BF296" i="17" s="1"/>
  <c r="AE295" i="17"/>
  <c r="AC295" i="17" l="1"/>
  <c r="Q296" i="17" s="1"/>
  <c r="Y296" i="17"/>
  <c r="AD295" i="17" l="1"/>
  <c r="AT295" i="17"/>
  <c r="AF295" i="17" l="1"/>
  <c r="AG295" i="17" s="1"/>
  <c r="K296" i="17"/>
  <c r="S296" i="17"/>
  <c r="T296" i="17" s="1"/>
  <c r="M296" i="17" l="1"/>
  <c r="N296" i="17" s="1"/>
  <c r="AU296" i="17" s="1"/>
  <c r="U296" i="17" s="1"/>
  <c r="X296" i="17" l="1"/>
  <c r="Z296" i="17" s="1"/>
  <c r="V296" i="17"/>
  <c r="W296" i="17" s="1"/>
  <c r="AV296" i="17" l="1"/>
  <c r="BG296" i="17"/>
  <c r="BD297" i="17" s="1"/>
  <c r="BE297" i="17" s="1"/>
  <c r="BF297" i="17" s="1"/>
  <c r="BK296" i="17"/>
  <c r="BH297" i="17" s="1"/>
  <c r="BI297" i="17" s="1"/>
  <c r="AA296" i="17"/>
  <c r="AB297" i="17" s="1"/>
  <c r="AE296" i="17"/>
  <c r="AC296" i="17" l="1"/>
  <c r="Q297" i="17" s="1"/>
  <c r="Y297" i="17"/>
  <c r="S297" i="17" l="1"/>
  <c r="T297" i="17" s="1"/>
  <c r="AD296" i="17"/>
  <c r="AT296" i="17"/>
  <c r="AF296" i="17" l="1"/>
  <c r="AG296" i="17" s="1"/>
  <c r="K297" i="17"/>
  <c r="M297" i="17" s="1"/>
  <c r="N297" i="17" s="1"/>
  <c r="X297" i="17" s="1"/>
  <c r="AU297" i="17" l="1"/>
  <c r="U297" i="17" s="1"/>
  <c r="Z297" i="17"/>
  <c r="V297" i="17"/>
  <c r="W297" i="17" l="1"/>
  <c r="AA297" i="17" s="1"/>
  <c r="AB298" i="17" s="1"/>
  <c r="AV297" i="17" l="1"/>
  <c r="BG297" i="17"/>
  <c r="BD298" i="17" s="1"/>
  <c r="BE298" i="17" s="1"/>
  <c r="BF298" i="17" s="1"/>
  <c r="BK297" i="17"/>
  <c r="BH298" i="17" s="1"/>
  <c r="BI298" i="17" s="1"/>
  <c r="AE297" i="17"/>
  <c r="AC297" i="17"/>
  <c r="Q298" i="17" s="1"/>
  <c r="Y298" i="17"/>
  <c r="AD297" i="17" l="1"/>
  <c r="AT297" i="17"/>
  <c r="AF297" i="17" l="1"/>
  <c r="AG297" i="17" s="1"/>
  <c r="K298" i="17"/>
  <c r="S298" i="17"/>
  <c r="T298" i="17" s="1"/>
  <c r="M298" i="17" l="1"/>
  <c r="N298" i="17" s="1"/>
  <c r="AU298" i="17" s="1"/>
  <c r="U298" i="17" s="1"/>
  <c r="X298" i="17" l="1"/>
  <c r="Z298" i="17" s="1"/>
  <c r="V298" i="17"/>
  <c r="W298" i="17" s="1"/>
  <c r="BG298" i="17" s="1"/>
  <c r="BD299" i="17" s="1"/>
  <c r="BE299" i="17" s="1"/>
  <c r="BF299" i="17" s="1"/>
  <c r="AA298" i="17" l="1"/>
  <c r="AB299" i="17" s="1"/>
  <c r="BK298" i="17"/>
  <c r="BH299" i="17" s="1"/>
  <c r="BI299" i="17" s="1"/>
  <c r="AE298" i="17"/>
  <c r="AV298" i="17"/>
  <c r="Y299" i="17"/>
  <c r="AC298" i="17" l="1"/>
  <c r="Q299" i="17" s="1"/>
  <c r="AT298" i="17" l="1"/>
  <c r="AD298" i="17"/>
  <c r="AF298" i="17" s="1"/>
  <c r="AG298" i="17" s="1"/>
  <c r="S299" i="17"/>
  <c r="T299" i="17" s="1"/>
  <c r="K299" i="17" l="1"/>
  <c r="M299" i="17"/>
  <c r="N299" i="17" s="1"/>
  <c r="X299" i="17" s="1"/>
  <c r="Z299" i="17" s="1"/>
  <c r="AU299" i="17" l="1"/>
  <c r="U299" i="17" l="1"/>
  <c r="V299" i="17"/>
  <c r="W299" i="17" l="1"/>
  <c r="AA299" i="17" l="1"/>
  <c r="AB300" i="17" s="1"/>
  <c r="AV299" i="17"/>
  <c r="BG299" i="17"/>
  <c r="BD300" i="17" s="1"/>
  <c r="BE300" i="17" s="1"/>
  <c r="BF300" i="17" s="1"/>
  <c r="AE299" i="17"/>
  <c r="BK299" i="17"/>
  <c r="BH300" i="17" s="1"/>
  <c r="BI300" i="17" s="1"/>
  <c r="Y300" i="17" l="1"/>
  <c r="AC299" i="17"/>
  <c r="Q300" i="17" l="1"/>
  <c r="S300" i="17" s="1"/>
  <c r="T300" i="17" s="1"/>
  <c r="AD299" i="17"/>
  <c r="K300" i="17" s="1"/>
  <c r="AT299" i="17"/>
  <c r="AF299" i="17" l="1"/>
  <c r="AG299" i="17" s="1"/>
  <c r="M300" i="17"/>
  <c r="N300" i="17" s="1"/>
  <c r="AU300" i="17" s="1"/>
  <c r="U300" i="17" s="1"/>
  <c r="X300" i="17" l="1"/>
  <c r="Z300" i="17" s="1"/>
  <c r="V300" i="17"/>
  <c r="W300" i="17" s="1"/>
  <c r="AV300" i="17" l="1"/>
  <c r="BK300" i="17"/>
  <c r="BH301" i="17" s="1"/>
  <c r="BI301" i="17" s="1"/>
  <c r="BG300" i="17"/>
  <c r="BD301" i="17" s="1"/>
  <c r="BE301" i="17" s="1"/>
  <c r="BF301" i="17" s="1"/>
  <c r="AA300" i="17"/>
  <c r="AB301" i="17" s="1"/>
  <c r="AE300" i="17"/>
  <c r="Y301" i="17" l="1"/>
  <c r="AC300" i="17"/>
  <c r="Q301" i="17" l="1"/>
  <c r="S301" i="17" s="1"/>
  <c r="T301" i="17" s="1"/>
  <c r="AD300" i="17"/>
  <c r="K301" i="17" s="1"/>
  <c r="AT300" i="17"/>
  <c r="AF300" i="17" l="1"/>
  <c r="AG300" i="17" s="1"/>
  <c r="M301" i="17"/>
  <c r="N301" i="17" s="1"/>
  <c r="AU301" i="17" s="1"/>
  <c r="U301" i="17" s="1"/>
  <c r="V301" i="17"/>
  <c r="X301" i="17" l="1"/>
  <c r="Z301" i="17" s="1"/>
  <c r="W301" i="17"/>
  <c r="BG301" i="17" l="1"/>
  <c r="BD302" i="17" s="1"/>
  <c r="BE302" i="17" s="1"/>
  <c r="BF302" i="17" s="1"/>
  <c r="AA301" i="17"/>
  <c r="AB302" i="17" s="1"/>
  <c r="BK301" i="17"/>
  <c r="BH302" i="17" s="1"/>
  <c r="BI302" i="17" s="1"/>
  <c r="AV301" i="17"/>
  <c r="AE301" i="17"/>
  <c r="AC301" i="17" l="1"/>
  <c r="Y302" i="17"/>
  <c r="Q302" i="17" l="1"/>
  <c r="S302" i="17" s="1"/>
  <c r="T302" i="17" s="1"/>
  <c r="AD301" i="17"/>
  <c r="AT301" i="17"/>
  <c r="AF301" i="17" l="1"/>
  <c r="AG301" i="17" s="1"/>
  <c r="K302" i="17"/>
  <c r="M302" i="17" l="1"/>
  <c r="N302" i="17" s="1"/>
  <c r="X302" i="17" s="1"/>
  <c r="Z302" i="17" s="1"/>
  <c r="AU302" i="17" l="1"/>
  <c r="U302" i="17" l="1"/>
  <c r="V302" i="17"/>
  <c r="W302" i="17" l="1"/>
  <c r="AE302" i="17" l="1"/>
  <c r="AA302" i="17"/>
  <c r="AC302" i="17" s="1"/>
  <c r="Q303" i="17" s="1"/>
  <c r="S303" i="17" s="1"/>
  <c r="T303" i="17" s="1"/>
  <c r="AV302" i="17"/>
  <c r="BG302" i="17"/>
  <c r="BD303" i="17" s="1"/>
  <c r="BE303" i="17" s="1"/>
  <c r="BF303" i="17" s="1"/>
  <c r="BK302" i="17"/>
  <c r="BH303" i="17" s="1"/>
  <c r="BI303" i="17" s="1"/>
  <c r="AT302" i="17" l="1"/>
  <c r="AD302" i="17"/>
  <c r="K303" i="17" s="1"/>
  <c r="M303" i="17" s="1"/>
  <c r="N303" i="17" s="1"/>
  <c r="AB303" i="17"/>
  <c r="Y303" i="17"/>
  <c r="X303" i="17" l="1"/>
  <c r="Z303" i="17" s="1"/>
  <c r="AU303" i="17"/>
  <c r="U303" i="17" s="1"/>
  <c r="AF302" i="17"/>
  <c r="AG302" i="17" s="1"/>
  <c r="V303" i="17"/>
  <c r="W303" i="17" l="1"/>
  <c r="BG303" i="17" s="1"/>
  <c r="BD304" i="17" s="1"/>
  <c r="BE304" i="17" s="1"/>
  <c r="BF304" i="17" s="1"/>
  <c r="AA303" i="17" l="1"/>
  <c r="AB304" i="17" s="1"/>
  <c r="AE303" i="17"/>
  <c r="BK303" i="17"/>
  <c r="BH304" i="17" s="1"/>
  <c r="BI304" i="17" s="1"/>
  <c r="AV303" i="17"/>
  <c r="AC303" i="17" l="1"/>
  <c r="Q304" i="17" s="1"/>
  <c r="S304" i="17" s="1"/>
  <c r="T304" i="17" s="1"/>
  <c r="Y304" i="17"/>
  <c r="AT303" i="17" l="1"/>
  <c r="AD303" i="17"/>
  <c r="AF303" i="17" s="1"/>
  <c r="AG303" i="17" s="1"/>
  <c r="K304" i="17" l="1"/>
  <c r="M304" i="17" s="1"/>
  <c r="N304" i="17" s="1"/>
  <c r="X304" i="17" s="1"/>
  <c r="Z304" i="17" s="1"/>
  <c r="AU304" i="17" l="1"/>
  <c r="U304" i="17"/>
  <c r="V304" i="17"/>
  <c r="W304" i="17" l="1"/>
  <c r="AA304" i="17" l="1"/>
  <c r="AB305" i="17" s="1"/>
  <c r="AV304" i="17"/>
  <c r="BG304" i="17"/>
  <c r="BD305" i="17" s="1"/>
  <c r="BE305" i="17" s="1"/>
  <c r="BF305" i="17" s="1"/>
  <c r="BK304" i="17"/>
  <c r="BH305" i="17" s="1"/>
  <c r="BI305" i="17" s="1"/>
  <c r="AE304" i="17"/>
  <c r="Y305" i="17" l="1"/>
  <c r="AC304" i="17"/>
  <c r="Q305" i="17" s="1"/>
  <c r="AD304" i="17" l="1"/>
  <c r="AT304" i="17"/>
  <c r="AF304" i="17" l="1"/>
  <c r="AG304" i="17" s="1"/>
  <c r="K305" i="17"/>
  <c r="S305" i="17" l="1"/>
  <c r="T305" i="17" s="1"/>
  <c r="M305" i="17"/>
  <c r="N305" i="17" s="1"/>
  <c r="AU305" i="17" l="1"/>
  <c r="U305" i="17" s="1"/>
  <c r="X305" i="17"/>
  <c r="Z305" i="17" s="1"/>
  <c r="V305" i="17" l="1"/>
  <c r="W305" i="17" s="1"/>
  <c r="BK305" i="17" l="1"/>
  <c r="BH306" i="17" s="1"/>
  <c r="BI306" i="17" s="1"/>
  <c r="AA305" i="17"/>
  <c r="AB306" i="17" s="1"/>
  <c r="AV305" i="17"/>
  <c r="BG305" i="17"/>
  <c r="BD306" i="17" s="1"/>
  <c r="BE306" i="17" s="1"/>
  <c r="BF306" i="17" s="1"/>
  <c r="AE305" i="17"/>
  <c r="Y306" i="17" l="1"/>
  <c r="AC305" i="17"/>
  <c r="Q306" i="17" s="1"/>
  <c r="AD305" i="17" l="1"/>
  <c r="AT305" i="17"/>
  <c r="AF305" i="17" l="1"/>
  <c r="AG305" i="17" s="1"/>
  <c r="K306" i="17"/>
  <c r="M306" i="17" s="1"/>
  <c r="N306" i="17" l="1"/>
  <c r="AU306" i="17" s="1"/>
  <c r="U306" i="17" s="1"/>
  <c r="S306" i="17"/>
  <c r="T306" i="17" s="1"/>
  <c r="X306" i="17" l="1"/>
  <c r="Z306" i="17" s="1"/>
  <c r="V306" i="17"/>
  <c r="W306" i="17" s="1"/>
  <c r="AA306" i="17" l="1"/>
  <c r="AB307" i="17" s="1"/>
  <c r="BK306" i="17"/>
  <c r="BH307" i="17" s="1"/>
  <c r="BI307" i="17" s="1"/>
  <c r="AV306" i="17"/>
  <c r="BG306" i="17"/>
  <c r="BD307" i="17" s="1"/>
  <c r="BE307" i="17" s="1"/>
  <c r="BF307" i="17" s="1"/>
  <c r="AE306" i="17"/>
  <c r="Y307" i="17" l="1"/>
  <c r="AC306" i="17"/>
  <c r="Q307" i="17" s="1"/>
  <c r="AD306" i="17" l="1"/>
  <c r="AT306" i="17"/>
  <c r="AF306" i="17" l="1"/>
  <c r="AG306" i="17" s="1"/>
  <c r="K307" i="17"/>
  <c r="S307" i="17"/>
  <c r="T307" i="17" s="1"/>
  <c r="M307" i="17" l="1"/>
  <c r="N307" i="17" s="1"/>
  <c r="X307" i="17" s="1"/>
  <c r="Z307" i="17" s="1"/>
  <c r="AU307" i="17" l="1"/>
  <c r="U307" i="17" l="1"/>
  <c r="V307" i="17"/>
  <c r="W307" i="17" l="1"/>
  <c r="AV307" i="17" l="1"/>
  <c r="BK307" i="17"/>
  <c r="BH308" i="17" s="1"/>
  <c r="BI308" i="17" s="1"/>
  <c r="AA307" i="17"/>
  <c r="AB308" i="17" s="1"/>
  <c r="BG307" i="17"/>
  <c r="BD308" i="17" s="1"/>
  <c r="BE308" i="17" s="1"/>
  <c r="BF308" i="17" s="1"/>
  <c r="AE307" i="17"/>
  <c r="Y308" i="17" l="1"/>
  <c r="AC307" i="17"/>
  <c r="Q308" i="17" s="1"/>
  <c r="AD307" i="17" l="1"/>
  <c r="K308" i="17" s="1"/>
  <c r="AT307" i="17"/>
  <c r="S308" i="17" l="1"/>
  <c r="T308" i="17" s="1"/>
  <c r="AF307" i="17"/>
  <c r="AG307" i="17" s="1"/>
  <c r="M308" i="17" l="1"/>
  <c r="N308" i="17" s="1"/>
  <c r="X308" i="17" s="1"/>
  <c r="Z308" i="17" l="1"/>
  <c r="AU308" i="17"/>
  <c r="U308" i="17" s="1"/>
  <c r="V308" i="17" l="1"/>
  <c r="W308" i="17" s="1"/>
  <c r="AV308" i="17" l="1"/>
  <c r="BG308" i="17"/>
  <c r="BD309" i="17" s="1"/>
  <c r="BE309" i="17" s="1"/>
  <c r="BF309" i="17" s="1"/>
  <c r="AA308" i="17"/>
  <c r="AB309" i="17" s="1"/>
  <c r="BK308" i="17"/>
  <c r="BH309" i="17" s="1"/>
  <c r="BI309" i="17" s="1"/>
  <c r="AE308" i="17"/>
  <c r="AC308" i="17" l="1"/>
  <c r="Q309" i="17" s="1"/>
  <c r="Y309" i="17"/>
  <c r="AD308" i="17" l="1"/>
  <c r="AT308" i="17"/>
  <c r="AF308" i="17" l="1"/>
  <c r="AG308" i="17" s="1"/>
  <c r="K309" i="17"/>
  <c r="M309" i="17" s="1"/>
  <c r="N309" i="17" s="1"/>
  <c r="S309" i="17"/>
  <c r="T309" i="17" s="1"/>
  <c r="X309" i="17" l="1"/>
  <c r="Z309" i="17" s="1"/>
  <c r="AU309" i="17"/>
  <c r="U309" i="17" l="1"/>
  <c r="V309" i="17"/>
  <c r="W309" i="17" l="1"/>
  <c r="AA309" i="17" l="1"/>
  <c r="AB310" i="17" s="1"/>
  <c r="BG309" i="17"/>
  <c r="BD310" i="17" s="1"/>
  <c r="BE310" i="17" s="1"/>
  <c r="BF310" i="17" s="1"/>
  <c r="AV309" i="17"/>
  <c r="BK309" i="17"/>
  <c r="BH310" i="17" s="1"/>
  <c r="BI310" i="17" s="1"/>
  <c r="AE309" i="17"/>
  <c r="AC309" i="17" l="1"/>
  <c r="Q310" i="17" s="1"/>
  <c r="Y310" i="17"/>
  <c r="AD309" i="17" l="1"/>
  <c r="K310" i="17" s="1"/>
  <c r="AT309" i="17"/>
  <c r="AF309" i="17" l="1"/>
  <c r="AG309" i="17" s="1"/>
  <c r="M310" i="17"/>
  <c r="N310" i="17" s="1"/>
  <c r="S310" i="17" l="1"/>
  <c r="AU310" i="17"/>
  <c r="U310" i="17" s="1"/>
  <c r="T310" i="17" l="1"/>
  <c r="V310" i="17"/>
  <c r="W310" i="17" s="1"/>
  <c r="BK310" i="17" l="1"/>
  <c r="BH311" i="17" s="1"/>
  <c r="BI311" i="17" s="1"/>
  <c r="BG310" i="17"/>
  <c r="BD311" i="17" s="1"/>
  <c r="BE311" i="17" s="1"/>
  <c r="BF311" i="17" s="1"/>
  <c r="AV310" i="17"/>
  <c r="AE310" i="17"/>
  <c r="X310" i="17"/>
  <c r="AA310" i="17" s="1"/>
  <c r="AB311" i="17" s="1"/>
  <c r="AC310" i="17" l="1"/>
  <c r="Y311" i="17"/>
  <c r="Z310" i="17"/>
  <c r="Q311" i="17" l="1"/>
  <c r="AD310" i="17"/>
  <c r="K311" i="17" s="1"/>
  <c r="AT310" i="17"/>
  <c r="S311" i="17" l="1"/>
  <c r="T311" i="17" s="1"/>
  <c r="AF310" i="17"/>
  <c r="AG310" i="17" s="1"/>
  <c r="M311" i="17" l="1"/>
  <c r="N311" i="17" s="1"/>
  <c r="X311" i="17" s="1"/>
  <c r="Z311" i="17" s="1"/>
  <c r="AU311" i="17" l="1"/>
  <c r="U311" i="17" l="1"/>
  <c r="V311" i="17"/>
  <c r="W311" i="17" l="1"/>
  <c r="AA311" i="17" l="1"/>
  <c r="AB312" i="17" s="1"/>
  <c r="AV311" i="17"/>
  <c r="BK311" i="17"/>
  <c r="BH312" i="17" s="1"/>
  <c r="BI312" i="17" s="1"/>
  <c r="BG311" i="17"/>
  <c r="BD312" i="17" s="1"/>
  <c r="BE312" i="17" s="1"/>
  <c r="BF312" i="17" s="1"/>
  <c r="AE311" i="17"/>
  <c r="Y312" i="17" l="1"/>
  <c r="AC311" i="17"/>
  <c r="Q312" i="17" s="1"/>
  <c r="AD311" i="17" l="1"/>
  <c r="K312" i="17" s="1"/>
  <c r="AT311" i="17"/>
  <c r="M312" i="17" l="1"/>
  <c r="N312" i="17" s="1"/>
  <c r="S312" i="17"/>
  <c r="T312" i="17" s="1"/>
  <c r="AF311" i="17"/>
  <c r="AG311" i="17" s="1"/>
  <c r="AU312" i="17" l="1"/>
  <c r="U312" i="17"/>
  <c r="V312" i="17"/>
  <c r="X312" i="17"/>
  <c r="Z312" i="17" s="1"/>
  <c r="W312" i="17" l="1"/>
  <c r="AV312" i="17" l="1"/>
  <c r="BG312" i="17"/>
  <c r="BD313" i="17" s="1"/>
  <c r="BE313" i="17" s="1"/>
  <c r="BF313" i="17" s="1"/>
  <c r="BK312" i="17"/>
  <c r="BH313" i="17" s="1"/>
  <c r="BI313" i="17" s="1"/>
  <c r="AA312" i="17"/>
  <c r="AB313" i="17" s="1"/>
  <c r="AE312" i="17"/>
  <c r="Y313" i="17" l="1"/>
  <c r="AC312" i="17"/>
  <c r="Q313" i="17" s="1"/>
  <c r="AD312" i="17" l="1"/>
  <c r="K313" i="17" s="1"/>
  <c r="AT312" i="17"/>
  <c r="S313" i="17" l="1"/>
  <c r="T313" i="17" s="1"/>
  <c r="AF312" i="17"/>
  <c r="AG312" i="17" s="1"/>
  <c r="M313" i="17" l="1"/>
  <c r="N313" i="17" s="1"/>
  <c r="X313" i="17" s="1"/>
  <c r="Z313" i="17" s="1"/>
  <c r="AU313" i="17" l="1"/>
  <c r="U313" i="17" l="1"/>
  <c r="V313" i="17"/>
  <c r="W313" i="17" l="1"/>
  <c r="AE313" i="17" s="1"/>
  <c r="AA313" i="17" l="1"/>
  <c r="AB314" i="17" s="1"/>
  <c r="AV313" i="17"/>
  <c r="BG313" i="17"/>
  <c r="BD314" i="17" s="1"/>
  <c r="BE314" i="17" s="1"/>
  <c r="BF314" i="17" s="1"/>
  <c r="BK313" i="17"/>
  <c r="BH314" i="17" s="1"/>
  <c r="BI314" i="17" s="1"/>
  <c r="AC313" i="17"/>
  <c r="Q314" i="17" s="1"/>
  <c r="Y314" i="17" l="1"/>
  <c r="AD313" i="17"/>
  <c r="K314" i="17" s="1"/>
  <c r="AT313" i="17"/>
  <c r="AF313" i="17" l="1"/>
  <c r="AG313" i="17" s="1"/>
  <c r="S314" i="17"/>
  <c r="T314" i="17" s="1"/>
  <c r="M314" i="17"/>
  <c r="N314" i="17" l="1"/>
  <c r="X314" i="17" s="1"/>
  <c r="Z314" i="17" s="1"/>
  <c r="AU314" i="17" l="1"/>
  <c r="U314" i="17" l="1"/>
  <c r="V314" i="17"/>
  <c r="W314" i="17" l="1"/>
  <c r="BG314" i="17" l="1"/>
  <c r="BD315" i="17" s="1"/>
  <c r="BE315" i="17" s="1"/>
  <c r="BF315" i="17" s="1"/>
  <c r="AE314" i="17"/>
  <c r="AV314" i="17"/>
  <c r="BK314" i="17"/>
  <c r="BH315" i="17" s="1"/>
  <c r="BI315" i="17" s="1"/>
  <c r="AA314" i="17"/>
  <c r="AB315" i="17" s="1"/>
  <c r="Y315" i="17" l="1"/>
  <c r="AC314" i="17"/>
  <c r="Q315" i="17" l="1"/>
  <c r="S315" i="17" s="1"/>
  <c r="AD314" i="17"/>
  <c r="K315" i="17" s="1"/>
  <c r="AT314" i="17"/>
  <c r="AF314" i="17" l="1"/>
  <c r="AG314" i="17" s="1"/>
  <c r="T315" i="17"/>
  <c r="M315" i="17"/>
  <c r="H12" i="17"/>
  <c r="L12" i="13" l="1"/>
  <c r="Q29" i="13"/>
  <c r="L29" i="13"/>
  <c r="N315" i="17"/>
  <c r="X315" i="17" s="1"/>
  <c r="Z315" i="17" s="1"/>
  <c r="AU315" i="17" l="1"/>
  <c r="U315" i="17" s="1"/>
  <c r="V315" i="17"/>
  <c r="W315" i="17" l="1"/>
  <c r="BG315" i="17" s="1"/>
  <c r="BD316" i="17" s="1"/>
  <c r="BE316" i="17" s="1"/>
  <c r="BF316" i="17" s="1"/>
  <c r="BK315" i="17"/>
  <c r="BH316" i="17" s="1"/>
  <c r="BI316" i="17" s="1"/>
  <c r="AV315" i="17"/>
  <c r="AA315" i="17"/>
  <c r="AB316" i="17" s="1"/>
  <c r="AE315" i="17"/>
  <c r="AC315" i="17" l="1"/>
  <c r="Y316" i="17"/>
  <c r="Q316" i="17" l="1"/>
  <c r="AT315" i="17"/>
  <c r="AD315" i="17"/>
  <c r="K316" i="17" s="1"/>
  <c r="M316" i="17" l="1"/>
  <c r="AF315" i="17"/>
  <c r="AG315" i="17" s="1"/>
  <c r="S316" i="17"/>
  <c r="T316" i="17" s="1"/>
  <c r="N316" i="17" l="1"/>
  <c r="X316" i="17" s="1"/>
  <c r="Z316" i="17" s="1"/>
  <c r="AU316" i="17" l="1"/>
  <c r="U316" i="17" s="1"/>
  <c r="V316" i="17"/>
  <c r="W316" i="17" l="1"/>
  <c r="AV316" i="17" l="1"/>
  <c r="AA316" i="17"/>
  <c r="AB317" i="17" s="1"/>
  <c r="BK316" i="17"/>
  <c r="BH317" i="17" s="1"/>
  <c r="BI317" i="17" s="1"/>
  <c r="BG316" i="17"/>
  <c r="BD317" i="17" s="1"/>
  <c r="BE317" i="17" s="1"/>
  <c r="BF317" i="17" s="1"/>
  <c r="AE316" i="17"/>
  <c r="AC316" i="17" l="1"/>
  <c r="Y317" i="17"/>
  <c r="Q317" i="17" l="1"/>
  <c r="S317" i="17" s="1"/>
  <c r="T317" i="17" s="1"/>
  <c r="AD316" i="17"/>
  <c r="AT316" i="17"/>
  <c r="AF316" i="17" l="1"/>
  <c r="AG316" i="17" s="1"/>
  <c r="K317" i="17"/>
  <c r="M317" i="17" s="1"/>
  <c r="N317" i="17" l="1"/>
  <c r="AU317" i="17" l="1"/>
  <c r="U317" i="17" s="1"/>
  <c r="X317" i="17"/>
  <c r="Z317" i="17" s="1"/>
  <c r="V317" i="17" l="1"/>
  <c r="W317" i="17" s="1"/>
  <c r="AA317" i="17" l="1"/>
  <c r="AB318" i="17" s="1"/>
  <c r="AV317" i="17"/>
  <c r="BG317" i="17"/>
  <c r="BD318" i="17" s="1"/>
  <c r="BE318" i="17" s="1"/>
  <c r="BF318" i="17" s="1"/>
  <c r="BK317" i="17"/>
  <c r="BH318" i="17" s="1"/>
  <c r="BI318" i="17" s="1"/>
  <c r="AE317" i="17"/>
  <c r="Y318" i="17" l="1"/>
  <c r="AC317" i="17"/>
  <c r="Q318" i="17" l="1"/>
  <c r="S318" i="17" s="1"/>
  <c r="T318" i="17" s="1"/>
  <c r="AT317" i="17"/>
  <c r="AD317" i="17"/>
  <c r="AF317" i="17" l="1"/>
  <c r="AG317" i="17" s="1"/>
  <c r="K318" i="17"/>
  <c r="M318" i="17" s="1"/>
  <c r="N318" i="17" l="1"/>
  <c r="AU318" i="17" l="1"/>
  <c r="U318" i="17" s="1"/>
  <c r="X318" i="17"/>
  <c r="Z318" i="17" l="1"/>
  <c r="V318" i="17"/>
  <c r="W318" i="17" s="1"/>
  <c r="AV318" i="17" l="1"/>
  <c r="BK318" i="17"/>
  <c r="BH319" i="17" s="1"/>
  <c r="BI319" i="17" s="1"/>
  <c r="BG318" i="17"/>
  <c r="BD319" i="17" s="1"/>
  <c r="BE319" i="17" s="1"/>
  <c r="BF319" i="17" s="1"/>
  <c r="AA318" i="17"/>
  <c r="AB319" i="17" s="1"/>
  <c r="AE318" i="17"/>
  <c r="AC318" i="17" l="1"/>
  <c r="Y319" i="17"/>
  <c r="AD318" i="17" l="1"/>
  <c r="AT318" i="17"/>
  <c r="Q319" i="17"/>
  <c r="S319" i="17" s="1"/>
  <c r="T319" i="17" s="1"/>
  <c r="AF318" i="17" l="1"/>
  <c r="AG318" i="17" s="1"/>
  <c r="K319" i="17"/>
  <c r="M319" i="17" s="1"/>
  <c r="N319" i="17" s="1"/>
  <c r="X319" i="17" l="1"/>
  <c r="Z319" i="17" s="1"/>
  <c r="AU319" i="17"/>
  <c r="U319" i="17" s="1"/>
  <c r="V319" i="17" l="1"/>
  <c r="W319" i="17" s="1"/>
  <c r="AV319" i="17" s="1"/>
  <c r="AE319" i="17" l="1"/>
  <c r="BG319" i="17"/>
  <c r="BD320" i="17" s="1"/>
  <c r="BE320" i="17" s="1"/>
  <c r="BF320" i="17" s="1"/>
  <c r="BK319" i="17"/>
  <c r="BH320" i="17" s="1"/>
  <c r="BI320" i="17" s="1"/>
  <c r="AA319" i="17"/>
  <c r="Y320" i="17" s="1"/>
  <c r="AC319" i="17" l="1"/>
  <c r="AD319" i="17" s="1"/>
  <c r="AB320" i="17"/>
  <c r="AT319" i="17" l="1"/>
  <c r="Q320" i="17"/>
  <c r="S320" i="17" s="1"/>
  <c r="T320" i="17" s="1"/>
  <c r="AF319" i="17"/>
  <c r="AG319" i="17" s="1"/>
  <c r="K320" i="17"/>
  <c r="M320" i="17" s="1"/>
  <c r="N320" i="17" l="1"/>
  <c r="X320" i="17" l="1"/>
  <c r="AU320" i="17"/>
  <c r="U320" i="17" s="1"/>
  <c r="Z320" i="17" l="1"/>
  <c r="V320" i="17"/>
  <c r="W320" i="17" s="1"/>
  <c r="BK320" i="17" l="1"/>
  <c r="BH321" i="17" s="1"/>
  <c r="BI321" i="17" s="1"/>
  <c r="AV320" i="17"/>
  <c r="BG320" i="17"/>
  <c r="BD321" i="17" s="1"/>
  <c r="BE321" i="17" s="1"/>
  <c r="BF321" i="17" s="1"/>
  <c r="AA320" i="17"/>
  <c r="AB321" i="17" s="1"/>
  <c r="AE320" i="17"/>
  <c r="AC320" i="17" l="1"/>
  <c r="Y321" i="17"/>
  <c r="AD320" i="17" l="1"/>
  <c r="Q321" i="17"/>
  <c r="AT320" i="17"/>
  <c r="AF320" i="17" l="1"/>
  <c r="AG320" i="17" s="1"/>
  <c r="K321" i="17"/>
  <c r="S321" i="17"/>
  <c r="T321" i="17" s="1"/>
  <c r="M321" i="17" l="1"/>
  <c r="N321" i="17" s="1"/>
  <c r="AU321" i="17" s="1"/>
  <c r="U321" i="17" s="1"/>
  <c r="V321" i="17" l="1"/>
  <c r="W321" i="17" s="1"/>
  <c r="X321" i="17"/>
  <c r="Z321" i="17" s="1"/>
  <c r="BG321" i="17" l="1"/>
  <c r="BD322" i="17" s="1"/>
  <c r="BE322" i="17" s="1"/>
  <c r="BF322" i="17" s="1"/>
  <c r="AA321" i="17"/>
  <c r="AB322" i="17" s="1"/>
  <c r="AV321" i="17"/>
  <c r="BK321" i="17"/>
  <c r="BH322" i="17" s="1"/>
  <c r="BI322" i="17" s="1"/>
  <c r="AE321" i="17"/>
  <c r="AC321" i="17" l="1"/>
  <c r="Y322" i="17"/>
  <c r="AD321" i="17" l="1"/>
  <c r="K322" i="17" s="1"/>
  <c r="AT321" i="17"/>
  <c r="Q322" i="17"/>
  <c r="AF321" i="17" l="1"/>
  <c r="AG321" i="17" s="1"/>
  <c r="M322" i="17"/>
  <c r="S322" i="17"/>
  <c r="T322" i="17" s="1"/>
  <c r="N322" i="17" l="1"/>
  <c r="X322" i="17" l="1"/>
  <c r="Z322" i="17" s="1"/>
  <c r="AU322" i="17"/>
  <c r="U322" i="17" s="1"/>
  <c r="V322" i="17" l="1"/>
  <c r="W322" i="17" s="1"/>
  <c r="BK322" i="17" l="1"/>
  <c r="BH323" i="17" s="1"/>
  <c r="BI323" i="17" s="1"/>
  <c r="BG322" i="17"/>
  <c r="BD323" i="17" s="1"/>
  <c r="BE323" i="17" s="1"/>
  <c r="BF323" i="17" s="1"/>
  <c r="AV322" i="17"/>
  <c r="AA322" i="17"/>
  <c r="AB323" i="17" s="1"/>
  <c r="AE322" i="17"/>
  <c r="Y323" i="17" l="1"/>
  <c r="AC322" i="17"/>
  <c r="Q323" i="17" l="1"/>
  <c r="AD322" i="17"/>
  <c r="K323" i="17" s="1"/>
  <c r="AT322" i="17"/>
  <c r="S323" i="17" l="1"/>
  <c r="T323" i="17"/>
  <c r="M323" i="17"/>
  <c r="N323" i="17" s="1"/>
  <c r="AF322" i="17"/>
  <c r="AG322" i="17" s="1"/>
  <c r="AU323" i="17" l="1"/>
  <c r="U323" i="17" s="1"/>
  <c r="X323" i="17"/>
  <c r="Z323" i="17" s="1"/>
  <c r="V323" i="17" l="1"/>
  <c r="W323" i="17" s="1"/>
  <c r="BG323" i="17" l="1"/>
  <c r="BD324" i="17" s="1"/>
  <c r="BE324" i="17" s="1"/>
  <c r="BF324" i="17" s="1"/>
  <c r="AV323" i="17"/>
  <c r="BK323" i="17"/>
  <c r="BH324" i="17" s="1"/>
  <c r="BI324" i="17" s="1"/>
  <c r="AA323" i="17"/>
  <c r="AB324" i="17" s="1"/>
  <c r="AE323" i="17"/>
  <c r="AC323" i="17" l="1"/>
  <c r="Y324" i="17"/>
  <c r="Q324" i="17" l="1"/>
  <c r="AD323" i="17"/>
  <c r="K324" i="17" s="1"/>
  <c r="AT323" i="17"/>
  <c r="AF323" i="17" l="1"/>
  <c r="AG323" i="17" s="1"/>
  <c r="S324" i="17"/>
  <c r="T324" i="17" s="1"/>
  <c r="M324" i="17"/>
  <c r="N324" i="17" s="1"/>
  <c r="X324" i="17" l="1"/>
  <c r="Z324" i="17" s="1"/>
  <c r="AU324" i="17"/>
  <c r="U324" i="17" s="1"/>
  <c r="V324" i="17"/>
  <c r="W324" i="17" l="1"/>
  <c r="AV324" i="17" s="1"/>
  <c r="AE324" i="17" l="1"/>
  <c r="AA324" i="17"/>
  <c r="AB325" i="17" s="1"/>
  <c r="BG324" i="17"/>
  <c r="BD325" i="17" s="1"/>
  <c r="BE325" i="17" s="1"/>
  <c r="BF325" i="17" s="1"/>
  <c r="BK324" i="17"/>
  <c r="BH325" i="17" s="1"/>
  <c r="BI325" i="17" s="1"/>
  <c r="AC324" i="17" l="1"/>
  <c r="Q325" i="17" s="1"/>
  <c r="Y325" i="17"/>
  <c r="AD324" i="17"/>
  <c r="AT324" i="17"/>
  <c r="AF324" i="17" l="1"/>
  <c r="AG324" i="17" s="1"/>
  <c r="K325" i="17"/>
  <c r="S325" i="17"/>
  <c r="T325" i="17" s="1"/>
  <c r="M325" i="17" l="1"/>
  <c r="N325" i="17" s="1"/>
  <c r="X325" i="17" s="1"/>
  <c r="Z325" i="17" s="1"/>
  <c r="AU325" i="17" l="1"/>
  <c r="U325" i="17" s="1"/>
  <c r="V325" i="17" l="1"/>
  <c r="W325" i="17" s="1"/>
  <c r="AA325" i="17" s="1"/>
  <c r="AB326" i="17" s="1"/>
  <c r="AV325" i="17" l="1"/>
  <c r="BG325" i="17"/>
  <c r="BD326" i="17" s="1"/>
  <c r="BE326" i="17" s="1"/>
  <c r="BF326" i="17" s="1"/>
  <c r="AE325" i="17"/>
  <c r="BK325" i="17"/>
  <c r="BH326" i="17" s="1"/>
  <c r="BI326" i="17" s="1"/>
  <c r="Y326" i="17"/>
  <c r="AC325" i="17"/>
  <c r="Q326" i="17" l="1"/>
  <c r="S326" i="17" s="1"/>
  <c r="T326" i="17" s="1"/>
  <c r="AD325" i="17"/>
  <c r="AT325" i="17"/>
  <c r="AF325" i="17" l="1"/>
  <c r="AG325" i="17" s="1"/>
  <c r="K326" i="17"/>
  <c r="M326" i="17" s="1"/>
  <c r="N326" i="17" s="1"/>
  <c r="AU326" i="17" l="1"/>
  <c r="U326" i="17" s="1"/>
  <c r="X326" i="17"/>
  <c r="Z326" i="17" s="1"/>
  <c r="V326" i="17"/>
  <c r="W326" i="17" l="1"/>
  <c r="AA326" i="17" s="1"/>
  <c r="AB327" i="17" s="1"/>
  <c r="AE326" i="17"/>
  <c r="BG326" i="17" l="1"/>
  <c r="BD327" i="17" s="1"/>
  <c r="BE327" i="17" s="1"/>
  <c r="BF327" i="17" s="1"/>
  <c r="BK326" i="17"/>
  <c r="BH327" i="17" s="1"/>
  <c r="BI327" i="17" s="1"/>
  <c r="AV326" i="17"/>
  <c r="AC326" i="17"/>
  <c r="Y327" i="17"/>
  <c r="AD326" i="17" l="1"/>
  <c r="AT326" i="17"/>
  <c r="Q327" i="17"/>
  <c r="S327" i="17" s="1"/>
  <c r="T327" i="17" s="1"/>
  <c r="AF326" i="17" l="1"/>
  <c r="AG326" i="17" s="1"/>
  <c r="K327" i="17"/>
  <c r="M327" i="17" s="1"/>
  <c r="N327" i="17" s="1"/>
  <c r="AU327" i="17" l="1"/>
  <c r="U327" i="17" s="1"/>
  <c r="X327" i="17"/>
  <c r="V327" i="17"/>
  <c r="W327" i="17" l="1"/>
  <c r="BG327" i="17" s="1"/>
  <c r="BD328" i="17" s="1"/>
  <c r="BE328" i="17" s="1"/>
  <c r="BF328" i="17" s="1"/>
  <c r="Z327" i="17"/>
  <c r="AE327" i="17" l="1"/>
  <c r="AV327" i="17"/>
  <c r="BK327" i="17"/>
  <c r="BH328" i="17" s="1"/>
  <c r="BI328" i="17" s="1"/>
  <c r="AA327" i="17"/>
  <c r="AB328" i="17" s="1"/>
  <c r="AC327" i="17" l="1"/>
  <c r="AT327" i="17" s="1"/>
  <c r="Y328" i="17"/>
  <c r="AD327" i="17" l="1"/>
  <c r="Q328" i="17"/>
  <c r="S328" i="17" s="1"/>
  <c r="T328" i="17" s="1"/>
  <c r="AF327" i="17"/>
  <c r="AG327" i="17" s="1"/>
  <c r="K328" i="17"/>
  <c r="M328" i="17" s="1"/>
  <c r="N328" i="17" l="1"/>
  <c r="AU328" i="17" s="1"/>
  <c r="U328" i="17" s="1"/>
  <c r="V328" i="17" l="1"/>
  <c r="W328" i="17" s="1"/>
  <c r="AE328" i="17" s="1"/>
  <c r="X328" i="17"/>
  <c r="Z328" i="17" s="1"/>
  <c r="AA328" i="17" l="1"/>
  <c r="AB329" i="17" s="1"/>
  <c r="AV328" i="17"/>
  <c r="BG328" i="17"/>
  <c r="BD329" i="17" s="1"/>
  <c r="BE329" i="17" s="1"/>
  <c r="BF329" i="17" s="1"/>
  <c r="BK328" i="17"/>
  <c r="BH329" i="17" s="1"/>
  <c r="BI329" i="17" s="1"/>
  <c r="Y329" i="17" l="1"/>
  <c r="AC328" i="17"/>
  <c r="AD328" i="17" s="1"/>
  <c r="Q329" i="17" l="1"/>
  <c r="S329" i="17" s="1"/>
  <c r="T329" i="17" s="1"/>
  <c r="AT328" i="17"/>
  <c r="AF328" i="17"/>
  <c r="AG328" i="17" s="1"/>
  <c r="K329" i="17"/>
  <c r="M329" i="17" l="1"/>
  <c r="N329" i="17" s="1"/>
  <c r="X329" i="17" s="1"/>
  <c r="Z329" i="17" s="1"/>
  <c r="AU329" i="17" l="1"/>
  <c r="U329" i="17" s="1"/>
  <c r="V329" i="17" l="1"/>
  <c r="W329" i="17" s="1"/>
  <c r="BG329" i="17" l="1"/>
  <c r="BD330" i="17" s="1"/>
  <c r="BE330" i="17" s="1"/>
  <c r="BF330" i="17" s="1"/>
  <c r="AV329" i="17"/>
  <c r="BK329" i="17"/>
  <c r="BH330" i="17" s="1"/>
  <c r="BI330" i="17" s="1"/>
  <c r="AA329" i="17"/>
  <c r="AB330" i="17" s="1"/>
  <c r="AE329" i="17"/>
  <c r="Y330" i="17" l="1"/>
  <c r="AC329" i="17"/>
  <c r="Q330" i="17" l="1"/>
  <c r="AD329" i="17"/>
  <c r="K330" i="17" s="1"/>
  <c r="AT329" i="17"/>
  <c r="M330" i="17" l="1"/>
  <c r="N330" i="17" s="1"/>
  <c r="AU330" i="17" s="1"/>
  <c r="U330" i="17" s="1"/>
  <c r="S330" i="17"/>
  <c r="T330" i="17" s="1"/>
  <c r="V330" i="17" s="1"/>
  <c r="AF329" i="17"/>
  <c r="AG329" i="17" s="1"/>
  <c r="W330" i="17" l="1"/>
  <c r="AV330" i="17" s="1"/>
  <c r="X330" i="17"/>
  <c r="AE330" i="17" l="1"/>
  <c r="BG330" i="17"/>
  <c r="BD331" i="17" s="1"/>
  <c r="BE331" i="17" s="1"/>
  <c r="BF331" i="17" s="1"/>
  <c r="BK330" i="17"/>
  <c r="BH331" i="17" s="1"/>
  <c r="BI331" i="17" s="1"/>
  <c r="AA330" i="17"/>
  <c r="AB331" i="17" s="1"/>
  <c r="Z330" i="17"/>
  <c r="AC330" i="17" l="1"/>
  <c r="AD330" i="17" s="1"/>
  <c r="Y331" i="17"/>
  <c r="Q331" i="17" l="1"/>
  <c r="S331" i="17" s="1"/>
  <c r="T331" i="17" s="1"/>
  <c r="AT330" i="17"/>
  <c r="AF330" i="17"/>
  <c r="AG330" i="17" s="1"/>
  <c r="K331" i="17"/>
  <c r="M331" i="17" s="1"/>
  <c r="N331" i="17" s="1"/>
  <c r="X331" i="17" s="1"/>
  <c r="Z331" i="17" s="1"/>
  <c r="AU331" i="17" l="1"/>
  <c r="U331" i="17" s="1"/>
  <c r="V331" i="17"/>
  <c r="W331" i="17" l="1"/>
  <c r="BK331" i="17" s="1"/>
  <c r="BH332" i="17" s="1"/>
  <c r="BI332" i="17" s="1"/>
  <c r="AA331" i="17" l="1"/>
  <c r="AB332" i="17" s="1"/>
  <c r="BG331" i="17"/>
  <c r="BD332" i="17" s="1"/>
  <c r="BE332" i="17" s="1"/>
  <c r="BF332" i="17" s="1"/>
  <c r="AV331" i="17"/>
  <c r="AE331" i="17"/>
  <c r="Y332" i="17" l="1"/>
  <c r="AC331" i="17"/>
  <c r="AT331" i="17" s="1"/>
  <c r="Q332" i="17" l="1"/>
  <c r="S332" i="17" s="1"/>
  <c r="T332" i="17" s="1"/>
  <c r="AD331" i="17"/>
  <c r="K332" i="17" s="1"/>
  <c r="AF331" i="17" l="1"/>
  <c r="AG331" i="17" s="1"/>
  <c r="M332" i="17"/>
  <c r="N332" i="17" l="1"/>
  <c r="AU332" i="17" s="1"/>
  <c r="U332" i="17" s="1"/>
  <c r="X332" i="17" l="1"/>
  <c r="Z332" i="17" s="1"/>
  <c r="V332" i="17"/>
  <c r="W332" i="17" s="1"/>
  <c r="AV332" i="17" l="1"/>
  <c r="BG332" i="17"/>
  <c r="BD333" i="17" s="1"/>
  <c r="BE333" i="17" s="1"/>
  <c r="BF333" i="17" s="1"/>
  <c r="BK332" i="17"/>
  <c r="BH333" i="17" s="1"/>
  <c r="BI333" i="17" s="1"/>
  <c r="AA332" i="17"/>
  <c r="AB333" i="17" s="1"/>
  <c r="AE332" i="17"/>
  <c r="AC332" i="17" l="1"/>
  <c r="Q333" i="17" s="1"/>
  <c r="Y333" i="17"/>
  <c r="AT332" i="17" l="1"/>
  <c r="AD332" i="17"/>
  <c r="AF332" i="17" s="1"/>
  <c r="AG332" i="17" s="1"/>
  <c r="S333" i="17"/>
  <c r="T333" i="17" s="1"/>
  <c r="K333" i="17" l="1"/>
  <c r="M333" i="17" s="1"/>
  <c r="N333" i="17" s="1"/>
  <c r="AU333" i="17" s="1"/>
  <c r="U333" i="17" s="1"/>
  <c r="X333" i="17" l="1"/>
  <c r="Z333" i="17" s="1"/>
  <c r="V333" i="17"/>
  <c r="W333" i="17" s="1"/>
  <c r="AV333" i="17" l="1"/>
  <c r="BK333" i="17"/>
  <c r="BH334" i="17" s="1"/>
  <c r="BI334" i="17" s="1"/>
  <c r="AA333" i="17"/>
  <c r="AB334" i="17" s="1"/>
  <c r="BG333" i="17"/>
  <c r="BD334" i="17" s="1"/>
  <c r="BE334" i="17" s="1"/>
  <c r="BF334" i="17" s="1"/>
  <c r="AE333" i="17"/>
  <c r="AC333" i="17" l="1"/>
  <c r="Q334" i="17" s="1"/>
  <c r="Y334" i="17"/>
  <c r="AD333" i="17" l="1"/>
  <c r="AT333" i="17"/>
  <c r="AF333" i="17" l="1"/>
  <c r="AG333" i="17" s="1"/>
  <c r="K334" i="17"/>
  <c r="M334" i="17" l="1"/>
  <c r="N334" i="17" s="1"/>
  <c r="S334" i="17"/>
  <c r="T334" i="17" s="1"/>
  <c r="AU334" i="17" l="1"/>
  <c r="U334" i="17"/>
  <c r="X334" i="17"/>
  <c r="Z334" i="17" s="1"/>
  <c r="V334" i="17"/>
  <c r="W334" i="17" l="1"/>
  <c r="BK334" i="17" l="1"/>
  <c r="BH335" i="17" s="1"/>
  <c r="BI335" i="17" s="1"/>
  <c r="AV334" i="17"/>
  <c r="AA334" i="17"/>
  <c r="AB335" i="17" s="1"/>
  <c r="BG334" i="17"/>
  <c r="BD335" i="17" s="1"/>
  <c r="BE335" i="17" s="1"/>
  <c r="BF335" i="17" s="1"/>
  <c r="AE334" i="17"/>
  <c r="Y335" i="17" l="1"/>
  <c r="AC334" i="17"/>
  <c r="Q335" i="17" s="1"/>
  <c r="AD334" i="17" l="1"/>
  <c r="AT334" i="17"/>
  <c r="AF334" i="17" l="1"/>
  <c r="AG334" i="17" s="1"/>
  <c r="K335" i="17"/>
  <c r="M335" i="17" s="1"/>
  <c r="N335" i="17" s="1"/>
  <c r="S335" i="17"/>
  <c r="T335" i="17" s="1"/>
  <c r="X335" i="17" l="1"/>
  <c r="Z335" i="17" s="1"/>
  <c r="AU335" i="17"/>
  <c r="U335" i="17" l="1"/>
  <c r="V335" i="17"/>
  <c r="W335" i="17" l="1"/>
  <c r="AA335" i="17" l="1"/>
  <c r="AB336" i="17" s="1"/>
  <c r="BG335" i="17"/>
  <c r="BD336" i="17" s="1"/>
  <c r="BE336" i="17" s="1"/>
  <c r="BF336" i="17" s="1"/>
  <c r="BK335" i="17"/>
  <c r="BH336" i="17" s="1"/>
  <c r="BI336" i="17" s="1"/>
  <c r="AV335" i="17"/>
  <c r="AE335" i="17"/>
  <c r="Y336" i="17" l="1"/>
  <c r="AC335" i="17"/>
  <c r="Q336" i="17" s="1"/>
  <c r="AD335" i="17" l="1"/>
  <c r="K336" i="17" s="1"/>
  <c r="AT335" i="17"/>
  <c r="M336" i="17" l="1"/>
  <c r="N336" i="17" s="1"/>
  <c r="AF335" i="17"/>
  <c r="AG335" i="17" s="1"/>
  <c r="S336" i="17" l="1"/>
  <c r="AU336" i="17"/>
  <c r="U336" i="17" s="1"/>
  <c r="T336" i="17" l="1"/>
  <c r="X336" i="17" s="1"/>
  <c r="Z336" i="17" l="1"/>
  <c r="V336" i="17"/>
  <c r="W336" i="17" s="1"/>
  <c r="BK336" i="17" l="1"/>
  <c r="BH337" i="17" s="1"/>
  <c r="BI337" i="17" s="1"/>
  <c r="AV336" i="17"/>
  <c r="BG336" i="17"/>
  <c r="BD337" i="17" s="1"/>
  <c r="BE337" i="17" s="1"/>
  <c r="BF337" i="17" s="1"/>
  <c r="AA336" i="17"/>
  <c r="AB337" i="17" s="1"/>
  <c r="AE336" i="17"/>
  <c r="AC336" i="17" l="1"/>
  <c r="Q337" i="17" s="1"/>
  <c r="Y337" i="17"/>
  <c r="AD336" i="17" l="1"/>
  <c r="AT336" i="17"/>
  <c r="AF336" i="17" l="1"/>
  <c r="AG336" i="17" s="1"/>
  <c r="K337" i="17"/>
  <c r="M337" i="17" s="1"/>
  <c r="N337" i="17" s="1"/>
  <c r="S337" i="17" l="1"/>
  <c r="AU337" i="17"/>
  <c r="U337" i="17" s="1"/>
  <c r="T337" i="17" l="1"/>
  <c r="X337" i="17" s="1"/>
  <c r="V337" i="17"/>
  <c r="W337" i="17" s="1"/>
  <c r="BG337" i="17" l="1"/>
  <c r="BD338" i="17" s="1"/>
  <c r="BE338" i="17" s="1"/>
  <c r="BF338" i="17" s="1"/>
  <c r="BK337" i="17"/>
  <c r="BH338" i="17" s="1"/>
  <c r="BI338" i="17" s="1"/>
  <c r="AV337" i="17"/>
  <c r="AA337" i="17"/>
  <c r="AB338" i="17" s="1"/>
  <c r="AE337" i="17"/>
  <c r="Z337" i="17"/>
  <c r="Y338" i="17" l="1"/>
  <c r="AC337" i="17"/>
  <c r="Q338" i="17" s="1"/>
  <c r="AT337" i="17" l="1"/>
  <c r="AD337" i="17"/>
  <c r="AF337" i="17" l="1"/>
  <c r="AG337" i="17" s="1"/>
  <c r="K338" i="17"/>
  <c r="S338" i="17" l="1"/>
  <c r="T338" i="17" s="1"/>
  <c r="M338" i="17"/>
  <c r="N338" i="17" s="1"/>
  <c r="AU338" i="17" l="1"/>
  <c r="U338" i="17" s="1"/>
  <c r="X338" i="17"/>
  <c r="Z338" i="17" s="1"/>
  <c r="V338" i="17" l="1"/>
  <c r="W338" i="17" s="1"/>
  <c r="AE338" i="17" l="1"/>
  <c r="BK338" i="17"/>
  <c r="BH339" i="17" s="1"/>
  <c r="BI339" i="17" s="1"/>
  <c r="BG338" i="17"/>
  <c r="BD339" i="17" s="1"/>
  <c r="BE339" i="17" s="1"/>
  <c r="BF339" i="17" s="1"/>
  <c r="AV338" i="17"/>
  <c r="AA338" i="17"/>
  <c r="AB339" i="17" s="1"/>
  <c r="Y339" i="17" l="1"/>
  <c r="AC338" i="17"/>
  <c r="Q339" i="17" l="1"/>
  <c r="S339" i="17" s="1"/>
  <c r="T339" i="17" s="1"/>
  <c r="AT338" i="17"/>
  <c r="AD338" i="17"/>
  <c r="AF338" i="17" l="1"/>
  <c r="AG338" i="17" s="1"/>
  <c r="K339" i="17"/>
  <c r="M339" i="17" s="1"/>
  <c r="N339" i="17" s="1"/>
  <c r="AU339" i="17" s="1"/>
  <c r="U339" i="17" s="1"/>
  <c r="X339" i="17" l="1"/>
  <c r="Z339" i="17" s="1"/>
  <c r="V339" i="17"/>
  <c r="W339" i="17" s="1"/>
  <c r="BG339" i="17" l="1"/>
  <c r="BD340" i="17" s="1"/>
  <c r="BE340" i="17" s="1"/>
  <c r="BF340" i="17" s="1"/>
  <c r="BK339" i="17"/>
  <c r="BH340" i="17" s="1"/>
  <c r="BI340" i="17" s="1"/>
  <c r="AV339" i="17"/>
  <c r="AA339" i="17"/>
  <c r="AB340" i="17" s="1"/>
  <c r="AE339" i="17"/>
  <c r="AC339" i="17" l="1"/>
  <c r="Q340" i="17" s="1"/>
  <c r="Y340" i="17"/>
  <c r="AD339" i="17" l="1"/>
  <c r="K340" i="17" s="1"/>
  <c r="AT339" i="17"/>
  <c r="AF339" i="17" l="1"/>
  <c r="AG339" i="17" s="1"/>
  <c r="M340" i="17"/>
  <c r="N340" i="17" s="1"/>
  <c r="S340" i="17"/>
  <c r="T340" i="17" s="1"/>
  <c r="X340" i="17" l="1"/>
  <c r="Z340" i="17" s="1"/>
  <c r="AU340" i="17"/>
  <c r="U340" i="17" s="1"/>
  <c r="V340" i="17" l="1"/>
  <c r="W340" i="17" s="1"/>
  <c r="BK340" i="17" l="1"/>
  <c r="BH341" i="17" s="1"/>
  <c r="BI341" i="17" s="1"/>
  <c r="AA340" i="17"/>
  <c r="AB341" i="17" s="1"/>
  <c r="AV340" i="17"/>
  <c r="BG340" i="17"/>
  <c r="BD341" i="17" s="1"/>
  <c r="BE341" i="17" s="1"/>
  <c r="BF341" i="17" s="1"/>
  <c r="AE340" i="17"/>
  <c r="Y341" i="17" l="1"/>
  <c r="AC340" i="17"/>
  <c r="Q341" i="17" s="1"/>
  <c r="AD340" i="17" l="1"/>
  <c r="K341" i="17" s="1"/>
  <c r="AT340" i="17"/>
  <c r="S341" i="17" l="1"/>
  <c r="T341" i="17" s="1"/>
  <c r="AF340" i="17"/>
  <c r="AG340" i="17" s="1"/>
  <c r="M341" i="17" l="1"/>
  <c r="N341" i="17" s="1"/>
  <c r="X341" i="17" s="1"/>
  <c r="Z341" i="17" s="1"/>
  <c r="AU341" i="17" l="1"/>
  <c r="U341" i="17" l="1"/>
  <c r="V341" i="17"/>
  <c r="W341" i="17" l="1"/>
  <c r="AV341" i="17" l="1"/>
  <c r="AA341" i="17"/>
  <c r="AB342" i="17" s="1"/>
  <c r="BG341" i="17"/>
  <c r="BD342" i="17" s="1"/>
  <c r="BE342" i="17" s="1"/>
  <c r="BF342" i="17" s="1"/>
  <c r="BK341" i="17"/>
  <c r="BH342" i="17" s="1"/>
  <c r="BI342" i="17" s="1"/>
  <c r="AE341" i="17"/>
  <c r="AC341" i="17" l="1"/>
  <c r="Q342" i="17" s="1"/>
  <c r="Y342" i="17"/>
  <c r="AD341" i="17" l="1"/>
  <c r="K342" i="17" s="1"/>
  <c r="AT341" i="17"/>
  <c r="AF341" i="17" l="1"/>
  <c r="AG341" i="17" s="1"/>
  <c r="M342" i="17"/>
  <c r="N342" i="17" s="1"/>
  <c r="S342" i="17"/>
  <c r="T342" i="17" s="1"/>
  <c r="X342" i="17" l="1"/>
  <c r="Z342" i="17" s="1"/>
  <c r="AU342" i="17"/>
  <c r="U342" i="17" l="1"/>
  <c r="V342" i="17"/>
  <c r="W342" i="17" l="1"/>
  <c r="AV342" i="17" s="1"/>
  <c r="AE342" i="17" l="1"/>
  <c r="BK342" i="17"/>
  <c r="BH343" i="17" s="1"/>
  <c r="BI343" i="17" s="1"/>
  <c r="AA342" i="17"/>
  <c r="AB343" i="17" s="1"/>
  <c r="BG342" i="17"/>
  <c r="BD343" i="17" s="1"/>
  <c r="BE343" i="17" s="1"/>
  <c r="BF343" i="17" s="1"/>
  <c r="Y343" i="17" l="1"/>
  <c r="AC342" i="17"/>
  <c r="Q343" i="17" s="1"/>
  <c r="AT342" i="17" l="1"/>
  <c r="AD342" i="17"/>
  <c r="AF342" i="17" s="1"/>
  <c r="AG342" i="17" s="1"/>
  <c r="S343" i="17"/>
  <c r="K343" i="17" l="1"/>
  <c r="M343" i="17" s="1"/>
  <c r="N343" i="17" s="1"/>
  <c r="T343" i="17"/>
  <c r="AU343" i="17" l="1"/>
  <c r="U343" i="17" s="1"/>
  <c r="X343" i="17"/>
  <c r="Z343" i="17" s="1"/>
  <c r="V343" i="17"/>
  <c r="W343" i="17" l="1"/>
  <c r="AV343" i="17" s="1"/>
  <c r="AA343" i="17"/>
  <c r="AB344" i="17" s="1"/>
  <c r="BG343" i="17"/>
  <c r="BD344" i="17" s="1"/>
  <c r="BE344" i="17" s="1"/>
  <c r="BF344" i="17" s="1"/>
  <c r="BK343" i="17"/>
  <c r="BH344" i="17" s="1"/>
  <c r="BI344" i="17" s="1"/>
  <c r="AE343" i="17"/>
  <c r="Y344" i="17" l="1"/>
  <c r="AC343" i="17"/>
  <c r="Q344" i="17" s="1"/>
  <c r="AD343" i="17" l="1"/>
  <c r="K344" i="17" s="1"/>
  <c r="AT343" i="17"/>
  <c r="M344" i="17" l="1"/>
  <c r="N344" i="17" s="1"/>
  <c r="AF343" i="17"/>
  <c r="AG343" i="17" s="1"/>
  <c r="AU344" i="17" l="1"/>
  <c r="U344" i="17" s="1"/>
  <c r="S344" i="17"/>
  <c r="T344" i="17" l="1"/>
  <c r="X344" i="17" s="1"/>
  <c r="V344" i="17" l="1"/>
  <c r="W344" i="17" s="1"/>
  <c r="BK344" i="17" s="1"/>
  <c r="BH345" i="17" s="1"/>
  <c r="BI345" i="17" s="1"/>
  <c r="Z344" i="17"/>
  <c r="AE344" i="17" l="1"/>
  <c r="AA344" i="17"/>
  <c r="AB345" i="17" s="1"/>
  <c r="BG344" i="17"/>
  <c r="BD345" i="17" s="1"/>
  <c r="BE345" i="17" s="1"/>
  <c r="BF345" i="17" s="1"/>
  <c r="AV344" i="17"/>
  <c r="Y345" i="17" l="1"/>
  <c r="AC344" i="17"/>
  <c r="Q345" i="17" s="1"/>
  <c r="AT344" i="17" l="1"/>
  <c r="AD344" i="17"/>
  <c r="K345" i="17" s="1"/>
  <c r="M345" i="17" s="1"/>
  <c r="N345" i="17" s="1"/>
  <c r="S345" i="17"/>
  <c r="T345" i="17" s="1"/>
  <c r="AF344" i="17" l="1"/>
  <c r="AG344" i="17" s="1"/>
  <c r="X345" i="17"/>
  <c r="Z345" i="17" s="1"/>
  <c r="AU345" i="17"/>
  <c r="U345" i="17" s="1"/>
  <c r="V345" i="17" l="1"/>
  <c r="W345" i="17" s="1"/>
  <c r="AE345" i="17" l="1"/>
  <c r="AV345" i="17"/>
  <c r="BG345" i="17"/>
  <c r="BD346" i="17" s="1"/>
  <c r="BE346" i="17" s="1"/>
  <c r="BF346" i="17" s="1"/>
  <c r="AA345" i="17"/>
  <c r="AB346" i="17" s="1"/>
  <c r="BK345" i="17"/>
  <c r="BH346" i="17" s="1"/>
  <c r="BI346" i="17" s="1"/>
  <c r="AC345" i="17" l="1"/>
  <c r="Q346" i="17" s="1"/>
  <c r="Y346" i="17"/>
  <c r="AD345" i="17" l="1"/>
  <c r="AT345" i="17"/>
  <c r="AF345" i="17" l="1"/>
  <c r="AG345" i="17" s="1"/>
  <c r="K346" i="17"/>
  <c r="M346" i="17" s="1"/>
  <c r="N346" i="17" s="1"/>
  <c r="S346" i="17"/>
  <c r="T346" i="17" s="1"/>
  <c r="AU346" i="17" l="1"/>
  <c r="U346" i="17" s="1"/>
  <c r="X346" i="17"/>
  <c r="V346" i="17" l="1"/>
  <c r="W346" i="17" s="1"/>
  <c r="Z346" i="17"/>
  <c r="BK346" i="17" l="1"/>
  <c r="BH347" i="17" s="1"/>
  <c r="BI347" i="17" s="1"/>
  <c r="AA346" i="17"/>
  <c r="AB347" i="17" s="1"/>
  <c r="AV346" i="17"/>
  <c r="BG346" i="17"/>
  <c r="BD347" i="17" s="1"/>
  <c r="BE347" i="17" s="1"/>
  <c r="BF347" i="17" s="1"/>
  <c r="AE346" i="17"/>
  <c r="AC346" i="17" l="1"/>
  <c r="Q347" i="17" s="1"/>
  <c r="Y347" i="17"/>
  <c r="AD346" i="17" l="1"/>
  <c r="AT346" i="17"/>
  <c r="AF346" i="17" l="1"/>
  <c r="AG346" i="17" s="1"/>
  <c r="K347" i="17"/>
  <c r="S347" i="17"/>
  <c r="T347" i="17" s="1"/>
  <c r="M347" i="17" l="1"/>
  <c r="N347" i="17" s="1"/>
  <c r="X347" i="17" l="1"/>
  <c r="Z347" i="17" s="1"/>
  <c r="AU347" i="17"/>
  <c r="U347" i="17" s="1"/>
  <c r="V347" i="17" l="1"/>
  <c r="W347" i="17" s="1"/>
  <c r="AV347" i="17" l="1"/>
  <c r="BK347" i="17"/>
  <c r="BH348" i="17" s="1"/>
  <c r="BI348" i="17" s="1"/>
  <c r="BG347" i="17"/>
  <c r="BD348" i="17" s="1"/>
  <c r="BE348" i="17" s="1"/>
  <c r="BF348" i="17" s="1"/>
  <c r="AA347" i="17"/>
  <c r="AB348" i="17" s="1"/>
  <c r="AE347" i="17"/>
  <c r="AC347" i="17" l="1"/>
  <c r="Q348" i="17" s="1"/>
  <c r="Y348" i="17"/>
  <c r="AD347" i="17" l="1"/>
  <c r="AT347" i="17"/>
  <c r="AF347" i="17" l="1"/>
  <c r="AG347" i="17" s="1"/>
  <c r="K348" i="17"/>
  <c r="M348" i="17" s="1"/>
  <c r="N348" i="17" s="1"/>
  <c r="S348" i="17"/>
  <c r="T348" i="17" s="1"/>
  <c r="AU348" i="17" l="1"/>
  <c r="U348" i="17" s="1"/>
  <c r="X348" i="17"/>
  <c r="Z348" i="17" s="1"/>
  <c r="V348" i="17"/>
  <c r="W348" i="17" l="1"/>
  <c r="AV348" i="17" s="1"/>
  <c r="AE348" i="17" l="1"/>
  <c r="BG348" i="17"/>
  <c r="BD349" i="17" s="1"/>
  <c r="BE349" i="17" s="1"/>
  <c r="BF349" i="17" s="1"/>
  <c r="BK348" i="17"/>
  <c r="BH349" i="17" s="1"/>
  <c r="BI349" i="17" s="1"/>
  <c r="AA348" i="17"/>
  <c r="AB349" i="17" s="1"/>
  <c r="AC348" i="17" l="1"/>
  <c r="Q349" i="17" s="1"/>
  <c r="Y349" i="17"/>
  <c r="AT348" i="17" l="1"/>
  <c r="AD348" i="17"/>
  <c r="AF348" i="17" s="1"/>
  <c r="AG348" i="17" s="1"/>
  <c r="K349" i="17"/>
  <c r="M349" i="17" s="1"/>
  <c r="N349" i="17" s="1"/>
  <c r="S349" i="17"/>
  <c r="T349" i="17" s="1"/>
  <c r="X349" i="17" l="1"/>
  <c r="Z349" i="17" s="1"/>
  <c r="AU349" i="17"/>
  <c r="U349" i="17" s="1"/>
  <c r="V349" i="17" l="1"/>
  <c r="W349" i="17" s="1"/>
  <c r="AV349" i="17" l="1"/>
  <c r="BG349" i="17"/>
  <c r="BD350" i="17" s="1"/>
  <c r="BE350" i="17" s="1"/>
  <c r="BF350" i="17" s="1"/>
  <c r="BK349" i="17"/>
  <c r="BH350" i="17" s="1"/>
  <c r="BI350" i="17" s="1"/>
  <c r="AA349" i="17"/>
  <c r="AB350" i="17" s="1"/>
  <c r="AE349" i="17"/>
  <c r="Y350" i="17" l="1"/>
  <c r="AC349" i="17"/>
  <c r="Q350" i="17" s="1"/>
  <c r="AD349" i="17" l="1"/>
  <c r="AT349" i="17"/>
  <c r="S350" i="17" l="1"/>
  <c r="T350" i="17" s="1"/>
  <c r="K350" i="17"/>
  <c r="AF349" i="17"/>
  <c r="AG349" i="17" s="1"/>
  <c r="M350" i="17" l="1"/>
  <c r="N350" i="17" s="1"/>
  <c r="X350" i="17" s="1"/>
  <c r="Z350" i="17" s="1"/>
  <c r="AU350" i="17" l="1"/>
  <c r="U350" i="17" l="1"/>
  <c r="V350" i="17"/>
  <c r="W350" i="17" l="1"/>
  <c r="AA350" i="17" s="1"/>
  <c r="AB351" i="17" s="1"/>
  <c r="AE350" i="17" l="1"/>
  <c r="AV350" i="17"/>
  <c r="BK350" i="17"/>
  <c r="BH351" i="17" s="1"/>
  <c r="BI351" i="17" s="1"/>
  <c r="BG350" i="17"/>
  <c r="BD351" i="17" s="1"/>
  <c r="BE351" i="17" s="1"/>
  <c r="BF351" i="17" s="1"/>
  <c r="AC350" i="17"/>
  <c r="Q351" i="17" s="1"/>
  <c r="Y351" i="17"/>
  <c r="AD350" i="17" l="1"/>
  <c r="K351" i="17" s="1"/>
  <c r="AT350" i="17"/>
  <c r="AF350" i="17" l="1"/>
  <c r="AG350" i="17" s="1"/>
  <c r="M351" i="17"/>
  <c r="N351" i="17" s="1"/>
  <c r="S351" i="17"/>
  <c r="T351" i="17" s="1"/>
  <c r="AU351" i="17" l="1"/>
  <c r="U351" i="17"/>
  <c r="V351" i="17"/>
  <c r="X351" i="17"/>
  <c r="Z351" i="17" s="1"/>
  <c r="W351" i="17" l="1"/>
  <c r="BK351" i="17" l="1"/>
  <c r="BH352" i="17" s="1"/>
  <c r="BI352" i="17" s="1"/>
  <c r="BG351" i="17"/>
  <c r="BD352" i="17" s="1"/>
  <c r="BE352" i="17" s="1"/>
  <c r="BF352" i="17" s="1"/>
  <c r="AA351" i="17"/>
  <c r="AB352" i="17" s="1"/>
  <c r="AV351" i="17"/>
  <c r="AE351" i="17"/>
  <c r="Y352" i="17" l="1"/>
  <c r="AC351" i="17"/>
  <c r="Q352" i="17" s="1"/>
  <c r="AD351" i="17" l="1"/>
  <c r="K352" i="17" s="1"/>
  <c r="AT351" i="17"/>
  <c r="M352" i="17" l="1"/>
  <c r="N352" i="17" s="1"/>
  <c r="AF351" i="17"/>
  <c r="AG351" i="17" s="1"/>
  <c r="S352" i="17" l="1"/>
  <c r="AU352" i="17"/>
  <c r="U352" i="17" s="1"/>
  <c r="T352" i="17" l="1"/>
  <c r="X352" i="17" s="1"/>
  <c r="Z352" i="17" l="1"/>
  <c r="V352" i="17"/>
  <c r="W352" i="17" s="1"/>
  <c r="BK352" i="17" l="1"/>
  <c r="BH353" i="17" s="1"/>
  <c r="BI353" i="17" s="1"/>
  <c r="AV352" i="17"/>
  <c r="BG352" i="17"/>
  <c r="BD353" i="17" s="1"/>
  <c r="BE353" i="17" s="1"/>
  <c r="BF353" i="17" s="1"/>
  <c r="AA352" i="17"/>
  <c r="AB353" i="17" s="1"/>
  <c r="AE352" i="17"/>
  <c r="Y353" i="17" l="1"/>
  <c r="AC352" i="17"/>
  <c r="Q353" i="17" s="1"/>
  <c r="AD352" i="17" l="1"/>
  <c r="AT352" i="17"/>
  <c r="AF352" i="17" l="1"/>
  <c r="AG352" i="17" s="1"/>
  <c r="K353" i="17"/>
  <c r="M353" i="17" l="1"/>
  <c r="N353" i="17" s="1"/>
  <c r="S353" i="17"/>
  <c r="T353" i="17" s="1"/>
  <c r="AU353" i="17" l="1"/>
  <c r="V353" i="17" s="1"/>
  <c r="U353" i="17"/>
  <c r="X353" i="17"/>
  <c r="Z353" i="17" s="1"/>
  <c r="W353" i="17" l="1"/>
  <c r="AE353" i="17" s="1"/>
  <c r="BG353" i="17" l="1"/>
  <c r="BD354" i="17" s="1"/>
  <c r="BE354" i="17" s="1"/>
  <c r="BF354" i="17" s="1"/>
  <c r="AV353" i="17"/>
  <c r="AA353" i="17"/>
  <c r="AB354" i="17" s="1"/>
  <c r="BK353" i="17"/>
  <c r="BH354" i="17" s="1"/>
  <c r="BI354" i="17" s="1"/>
  <c r="AC353" i="17" l="1"/>
  <c r="Q354" i="17" s="1"/>
  <c r="Y354" i="17"/>
  <c r="AT353" i="17"/>
  <c r="AD353" i="17"/>
  <c r="AF353" i="17" l="1"/>
  <c r="AG353" i="17" s="1"/>
  <c r="K354" i="17"/>
  <c r="M354" i="17" s="1"/>
  <c r="N354" i="17" s="1"/>
  <c r="S354" i="17"/>
  <c r="T354" i="17" s="1"/>
  <c r="X354" i="17" l="1"/>
  <c r="Z354" i="17" s="1"/>
  <c r="AU354" i="17"/>
  <c r="U354" i="17" l="1"/>
  <c r="V354" i="17"/>
  <c r="W354" i="17" l="1"/>
  <c r="BG354" i="17" s="1"/>
  <c r="BD355" i="17" s="1"/>
  <c r="BE355" i="17" s="1"/>
  <c r="BF355" i="17" s="1"/>
  <c r="AE354" i="17" l="1"/>
  <c r="BK354" i="17"/>
  <c r="BH355" i="17" s="1"/>
  <c r="BI355" i="17" s="1"/>
  <c r="AA354" i="17"/>
  <c r="AB355" i="17" s="1"/>
  <c r="AV354" i="17"/>
  <c r="Y355" i="17" l="1"/>
  <c r="AC354" i="17"/>
  <c r="Q355" i="17" s="1"/>
  <c r="AT354" i="17"/>
  <c r="AD354" i="17" l="1"/>
  <c r="AF354" i="17"/>
  <c r="AG354" i="17" s="1"/>
  <c r="K355" i="17"/>
  <c r="M355" i="17" s="1"/>
  <c r="S355" i="17"/>
  <c r="T355" i="17" s="1"/>
  <c r="N355" i="17" l="1"/>
  <c r="AU355" i="17" l="1"/>
  <c r="U355" i="17" s="1"/>
  <c r="X355" i="17"/>
  <c r="Z355" i="17" s="1"/>
  <c r="V355" i="17" l="1"/>
  <c r="W355" i="17" s="1"/>
  <c r="BG355" i="17" l="1"/>
  <c r="BD356" i="17" s="1"/>
  <c r="BE356" i="17" s="1"/>
  <c r="BF356" i="17" s="1"/>
  <c r="AA355" i="17"/>
  <c r="AB356" i="17" s="1"/>
  <c r="BK355" i="17"/>
  <c r="BH356" i="17" s="1"/>
  <c r="BI356" i="17" s="1"/>
  <c r="AV355" i="17"/>
  <c r="AE355" i="17"/>
  <c r="Y356" i="17" l="1"/>
  <c r="AC355" i="17"/>
  <c r="Q356" i="17" s="1"/>
  <c r="AD355" i="17" l="1"/>
  <c r="K356" i="17" s="1"/>
  <c r="AT355" i="17"/>
  <c r="S356" i="17" l="1"/>
  <c r="T356" i="17" s="1"/>
  <c r="AF355" i="17"/>
  <c r="AG355" i="17" s="1"/>
  <c r="M356" i="17" l="1"/>
  <c r="N356" i="17" s="1"/>
  <c r="X356" i="17" s="1"/>
  <c r="Z356" i="17" s="1"/>
  <c r="AU356" i="17" l="1"/>
  <c r="U356" i="17" s="1"/>
  <c r="V356" i="17"/>
  <c r="W356" i="17" l="1"/>
  <c r="BK356" i="17" s="1"/>
  <c r="BH357" i="17" s="1"/>
  <c r="BI357" i="17" s="1"/>
  <c r="AE356" i="17" l="1"/>
  <c r="AA356" i="17"/>
  <c r="AB357" i="17" s="1"/>
  <c r="AV356" i="17"/>
  <c r="BG356" i="17"/>
  <c r="BD357" i="17" s="1"/>
  <c r="BE357" i="17" s="1"/>
  <c r="BF357" i="17" s="1"/>
  <c r="AC356" i="17" l="1"/>
  <c r="Q357" i="17" s="1"/>
  <c r="Y357" i="17"/>
  <c r="AT356" i="17"/>
  <c r="AD356" i="17" l="1"/>
  <c r="AF356" i="17"/>
  <c r="AG356" i="17" s="1"/>
  <c r="K357" i="17"/>
  <c r="M357" i="17" s="1"/>
  <c r="N357" i="17" s="1"/>
  <c r="S357" i="17"/>
  <c r="T357" i="17" s="1"/>
  <c r="AU357" i="17" l="1"/>
  <c r="U357" i="17" s="1"/>
  <c r="X357" i="17"/>
  <c r="Z357" i="17" l="1"/>
  <c r="V357" i="17"/>
  <c r="W357" i="17" s="1"/>
  <c r="BG357" i="17" l="1"/>
  <c r="BD358" i="17" s="1"/>
  <c r="BE358" i="17" s="1"/>
  <c r="BF358" i="17" s="1"/>
  <c r="AV357" i="17"/>
  <c r="AA357" i="17"/>
  <c r="AB358" i="17" s="1"/>
  <c r="BK357" i="17"/>
  <c r="BH358" i="17" s="1"/>
  <c r="BI358" i="17" s="1"/>
  <c r="AE357" i="17"/>
  <c r="Y358" i="17" l="1"/>
  <c r="AC357" i="17"/>
  <c r="Q358" i="17" s="1"/>
  <c r="AD357" i="17" l="1"/>
  <c r="AT357" i="17"/>
  <c r="AF357" i="17" l="1"/>
  <c r="AG357" i="17" s="1"/>
  <c r="K358" i="17"/>
  <c r="M358" i="17" s="1"/>
  <c r="N358" i="17" s="1"/>
  <c r="S358" i="17"/>
  <c r="T358" i="17" s="1"/>
  <c r="X358" i="17" l="1"/>
  <c r="Z358" i="17" s="1"/>
  <c r="AU358" i="17"/>
  <c r="U358" i="17" l="1"/>
  <c r="V358" i="17"/>
  <c r="W358" i="17" l="1"/>
  <c r="AV358" i="17" l="1"/>
  <c r="BG358" i="17"/>
  <c r="BD359" i="17" s="1"/>
  <c r="BE359" i="17" s="1"/>
  <c r="BF359" i="17" s="1"/>
  <c r="BK358" i="17"/>
  <c r="BH359" i="17" s="1"/>
  <c r="BI359" i="17" s="1"/>
  <c r="AA358" i="17"/>
  <c r="AB359" i="17" s="1"/>
  <c r="AE358" i="17"/>
  <c r="Y359" i="17" l="1"/>
  <c r="AC358" i="17"/>
  <c r="Q359" i="17" s="1"/>
  <c r="AD358" i="17" l="1"/>
  <c r="AT358" i="17"/>
  <c r="AF358" i="17" l="1"/>
  <c r="AG358" i="17" s="1"/>
  <c r="K359" i="17"/>
  <c r="S359" i="17" l="1"/>
  <c r="T359" i="17" s="1"/>
  <c r="M359" i="17"/>
  <c r="N359" i="17" s="1"/>
  <c r="AU359" i="17" l="1"/>
  <c r="U359" i="17" s="1"/>
  <c r="V359" i="17"/>
  <c r="X359" i="17"/>
  <c r="Z359" i="17" s="1"/>
  <c r="W359" i="17" l="1"/>
  <c r="AV359" i="17" l="1"/>
  <c r="BG359" i="17"/>
  <c r="BD360" i="17" s="1"/>
  <c r="BE360" i="17" s="1"/>
  <c r="BF360" i="17" s="1"/>
  <c r="AA359" i="17"/>
  <c r="AB360" i="17" s="1"/>
  <c r="BK359" i="17"/>
  <c r="BH360" i="17" s="1"/>
  <c r="BI360" i="17" s="1"/>
  <c r="AE359" i="17"/>
  <c r="Y360" i="17" l="1"/>
  <c r="AC359" i="17"/>
  <c r="Q360" i="17" s="1"/>
  <c r="AD359" i="17" l="1"/>
  <c r="K360" i="17" s="1"/>
  <c r="AT359" i="17"/>
  <c r="M360" i="17" l="1"/>
  <c r="N360" i="17" s="1"/>
  <c r="AF359" i="17"/>
  <c r="AG359" i="17" s="1"/>
  <c r="S360" i="17" l="1"/>
  <c r="AU360" i="17"/>
  <c r="U360" i="17" s="1"/>
  <c r="T360" i="17" l="1"/>
  <c r="X360" i="17" s="1"/>
  <c r="Z360" i="17" l="1"/>
  <c r="V360" i="17"/>
  <c r="W360" i="17" s="1"/>
  <c r="BG360" i="17" l="1"/>
  <c r="BD361" i="17" s="1"/>
  <c r="BE361" i="17" s="1"/>
  <c r="BF361" i="17" s="1"/>
  <c r="BK360" i="17"/>
  <c r="BH361" i="17" s="1"/>
  <c r="BI361" i="17" s="1"/>
  <c r="AA360" i="17"/>
  <c r="AB361" i="17" s="1"/>
  <c r="AV360" i="17"/>
  <c r="AE360" i="17"/>
  <c r="Y361" i="17" l="1"/>
  <c r="AC360" i="17"/>
  <c r="Q361" i="17" s="1"/>
  <c r="AD360" i="17" l="1"/>
  <c r="AT360" i="17"/>
  <c r="AF360" i="17" l="1"/>
  <c r="AG360" i="17" s="1"/>
  <c r="K361" i="17"/>
  <c r="M361" i="17" l="1"/>
  <c r="S361" i="17"/>
  <c r="T361" i="17" s="1"/>
  <c r="N361" i="17" l="1"/>
  <c r="X361" i="17" l="1"/>
  <c r="AU361" i="17"/>
  <c r="U361" i="17" s="1"/>
  <c r="V361" i="17" l="1"/>
  <c r="W361" i="17" s="1"/>
  <c r="Z361" i="17"/>
  <c r="AE361" i="17" l="1"/>
  <c r="BK361" i="17"/>
  <c r="BH362" i="17" s="1"/>
  <c r="BI362" i="17" s="1"/>
  <c r="AV361" i="17"/>
  <c r="BG361" i="17"/>
  <c r="BD362" i="17" s="1"/>
  <c r="BE362" i="17" s="1"/>
  <c r="BF362" i="17" s="1"/>
  <c r="AA361" i="17"/>
  <c r="AB362" i="17" s="1"/>
  <c r="Y362" i="17" l="1"/>
  <c r="AC361" i="17"/>
  <c r="Q362" i="17" s="1"/>
  <c r="AD361" i="17" l="1"/>
  <c r="AT361" i="17"/>
  <c r="AF361" i="17" l="1"/>
  <c r="AG361" i="17" s="1"/>
  <c r="K362" i="17"/>
  <c r="S362" i="17" l="1"/>
  <c r="T362" i="17" s="1"/>
  <c r="M362" i="17"/>
  <c r="N362" i="17" s="1"/>
  <c r="AU362" i="17" l="1"/>
  <c r="U362" i="17" s="1"/>
  <c r="X362" i="17"/>
  <c r="AC362" i="17" s="1"/>
  <c r="V362" i="17" l="1"/>
  <c r="W362" i="17" s="1"/>
  <c r="Z362" i="17"/>
  <c r="Q363" i="17" s="1"/>
  <c r="BK362" i="17" l="1"/>
  <c r="BH363" i="17" s="1"/>
  <c r="BI363" i="17" s="1"/>
  <c r="AA362" i="17"/>
  <c r="AB363" i="17" s="1"/>
  <c r="AV362" i="17"/>
  <c r="BG362" i="17"/>
  <c r="BD363" i="17" s="1"/>
  <c r="BE363" i="17" s="1"/>
  <c r="BF363" i="17" s="1"/>
  <c r="AT362" i="17"/>
  <c r="AE362" i="17"/>
  <c r="Y363" i="17" l="1"/>
  <c r="AD362" i="17"/>
  <c r="K363" i="17" s="1"/>
  <c r="AF362" i="17" l="1"/>
  <c r="S363" i="17" l="1"/>
  <c r="T363" i="17" s="1"/>
  <c r="M363" i="17"/>
  <c r="N363" i="17" s="1"/>
  <c r="AU363" i="17" l="1"/>
  <c r="U363" i="17" s="1"/>
  <c r="X363" i="17"/>
  <c r="Z363" i="17" s="1"/>
  <c r="V363" i="17" l="1"/>
  <c r="W363" i="17" s="1"/>
  <c r="BG363" i="17" s="1"/>
  <c r="BD364" i="17" s="1"/>
  <c r="BE364" i="17" s="1"/>
  <c r="BF364" i="17" s="1"/>
  <c r="AV363" i="17" l="1"/>
  <c r="AE363" i="17"/>
  <c r="BK363" i="17"/>
  <c r="BH364" i="17" s="1"/>
  <c r="BI364" i="17" s="1"/>
  <c r="AA363" i="17"/>
  <c r="Y364" i="17" l="1"/>
  <c r="AB364" i="17"/>
  <c r="AC363" i="17"/>
  <c r="Q364" i="17" s="1"/>
  <c r="AD363" i="17" l="1"/>
  <c r="K364" i="17" s="1"/>
  <c r="AT363" i="17"/>
  <c r="AF363" i="17"/>
  <c r="AG363" i="17" s="1"/>
  <c r="S364" i="17"/>
  <c r="T364" i="17" s="1"/>
  <c r="M364" i="17" l="1"/>
  <c r="N364" i="17" s="1"/>
  <c r="X364" i="17" s="1"/>
  <c r="Z364" i="17" s="1"/>
  <c r="AU364" i="17" l="1"/>
  <c r="U364" i="17" s="1"/>
  <c r="V364" i="17"/>
  <c r="W364" i="17" l="1"/>
  <c r="BG364" i="17" s="1"/>
  <c r="BD365" i="17" s="1"/>
  <c r="BE365" i="17" s="1"/>
  <c r="BF365" i="17" s="1"/>
  <c r="AE364" i="17" l="1"/>
  <c r="BK364" i="17"/>
  <c r="BH365" i="17" s="1"/>
  <c r="BI365" i="17" s="1"/>
  <c r="AA364" i="17"/>
  <c r="AB365" i="17" s="1"/>
  <c r="AV364" i="17"/>
  <c r="Y365" i="17" l="1"/>
  <c r="AC364" i="17"/>
  <c r="Q365" i="17" s="1"/>
  <c r="AT364" i="17" l="1"/>
  <c r="AD364" i="17"/>
  <c r="K365" i="17" s="1"/>
  <c r="M365" i="17" s="1"/>
  <c r="N365" i="17" s="1"/>
  <c r="AF364" i="17"/>
  <c r="AG364" i="17" s="1"/>
  <c r="S365" i="17" l="1"/>
  <c r="AU365" i="17"/>
  <c r="U365" i="17" s="1"/>
  <c r="T365" i="17" l="1"/>
  <c r="X365" i="17" s="1"/>
  <c r="Z365" i="17" l="1"/>
  <c r="V365" i="17"/>
  <c r="W365" i="17" s="1"/>
  <c r="AV365" i="17" l="1"/>
  <c r="AA365" i="17"/>
  <c r="AB366" i="17" s="1"/>
  <c r="BK365" i="17"/>
  <c r="BH366" i="17" s="1"/>
  <c r="BI366" i="17" s="1"/>
  <c r="BG365" i="17"/>
  <c r="BD366" i="17" s="1"/>
  <c r="BE366" i="17" s="1"/>
  <c r="BF366" i="17" s="1"/>
  <c r="AE365" i="17"/>
  <c r="AC365" i="17" l="1"/>
  <c r="Q366" i="17" s="1"/>
  <c r="Y366" i="17"/>
  <c r="AD365" i="17" l="1"/>
  <c r="AT365" i="17"/>
  <c r="AF365" i="17" l="1"/>
  <c r="AG365" i="17" s="1"/>
  <c r="K366" i="17"/>
  <c r="M366" i="17" s="1"/>
  <c r="N366" i="17" s="1"/>
  <c r="S366" i="17" l="1"/>
  <c r="T366" i="17" s="1"/>
  <c r="X366" i="17" s="1"/>
  <c r="Z366" i="17" s="1"/>
  <c r="AU366" i="17"/>
  <c r="U366" i="17" s="1"/>
  <c r="V366" i="17" l="1"/>
  <c r="W366" i="17" s="1"/>
  <c r="AA366" i="17" l="1"/>
  <c r="AB367" i="17" s="1"/>
  <c r="BK366" i="17"/>
  <c r="BH367" i="17" s="1"/>
  <c r="BI367" i="17" s="1"/>
  <c r="AV366" i="17"/>
  <c r="BG366" i="17"/>
  <c r="BD367" i="17" s="1"/>
  <c r="BE367" i="17" s="1"/>
  <c r="BF367" i="17" s="1"/>
  <c r="AE366" i="17"/>
  <c r="Y367" i="17" l="1"/>
  <c r="AC366" i="17"/>
  <c r="Q367" i="17" s="1"/>
  <c r="AD366" i="17" l="1"/>
  <c r="AT366" i="17"/>
  <c r="AF366" i="17" l="1"/>
  <c r="AG366" i="17" s="1"/>
  <c r="K367" i="17"/>
  <c r="M367" i="17" s="1"/>
  <c r="S367" i="17"/>
  <c r="T367" i="17" s="1"/>
  <c r="N367" i="17" l="1"/>
  <c r="AU367" i="17" s="1"/>
  <c r="U367" i="17" s="1"/>
  <c r="V367" i="17"/>
  <c r="X367" i="17" l="1"/>
  <c r="Z367" i="17" s="1"/>
  <c r="W367" i="17"/>
  <c r="AV367" i="17" s="1"/>
  <c r="AE367" i="17" l="1"/>
  <c r="BK367" i="17"/>
  <c r="BH368" i="17" s="1"/>
  <c r="BI368" i="17" s="1"/>
  <c r="AA367" i="17"/>
  <c r="AB368" i="17" s="1"/>
  <c r="BG367" i="17"/>
  <c r="BD368" i="17" s="1"/>
  <c r="BE368" i="17" s="1"/>
  <c r="BF368" i="17" s="1"/>
  <c r="Y368" i="17" l="1"/>
  <c r="AC367" i="17"/>
  <c r="Q368" i="17" s="1"/>
  <c r="AT367" i="17" l="1"/>
  <c r="AD367" i="17"/>
  <c r="AF367" i="17" s="1"/>
  <c r="AG367" i="17" s="1"/>
  <c r="S368" i="17"/>
  <c r="T368" i="17" s="1"/>
  <c r="K368" i="17" l="1"/>
  <c r="M368" i="17" s="1"/>
  <c r="N368" i="17" s="1"/>
  <c r="AU368" i="17" s="1"/>
  <c r="U368" i="17" s="1"/>
  <c r="X368" i="17" l="1"/>
  <c r="Z368" i="17" s="1"/>
  <c r="V368" i="17"/>
  <c r="W368" i="17" s="1"/>
  <c r="BG368" i="17" l="1"/>
  <c r="BD369" i="17" s="1"/>
  <c r="BE369" i="17" s="1"/>
  <c r="BF369" i="17" s="1"/>
  <c r="AA368" i="17"/>
  <c r="AB369" i="17" s="1"/>
  <c r="AV368" i="17"/>
  <c r="BK368" i="17"/>
  <c r="BH369" i="17" s="1"/>
  <c r="BI369" i="17" s="1"/>
  <c r="AE368" i="17"/>
  <c r="Y369" i="17" l="1"/>
  <c r="AC368" i="17"/>
  <c r="Q369" i="17" s="1"/>
  <c r="AD368" i="17" l="1"/>
  <c r="AT368" i="17"/>
  <c r="AF368" i="17" l="1"/>
  <c r="AG368" i="17" s="1"/>
  <c r="K369" i="17"/>
  <c r="M369" i="17" s="1"/>
  <c r="N369" i="17" s="1"/>
  <c r="S369" i="17"/>
  <c r="T369" i="17" s="1"/>
  <c r="X369" i="17" l="1"/>
  <c r="Z369" i="17" s="1"/>
  <c r="AU369" i="17"/>
  <c r="U369" i="17" s="1"/>
  <c r="V369" i="17" l="1"/>
  <c r="W369" i="17" s="1"/>
  <c r="BK369" i="17" l="1"/>
  <c r="BH370" i="17" s="1"/>
  <c r="BI370" i="17" s="1"/>
  <c r="AA369" i="17"/>
  <c r="AB370" i="17" s="1"/>
  <c r="BG369" i="17"/>
  <c r="BD370" i="17" s="1"/>
  <c r="BE370" i="17" s="1"/>
  <c r="BF370" i="17" s="1"/>
  <c r="AV369" i="17"/>
  <c r="AE369" i="17"/>
  <c r="Y370" i="17" l="1"/>
  <c r="AC369" i="17"/>
  <c r="Q370" i="17" s="1"/>
  <c r="AD369" i="17" l="1"/>
  <c r="K370" i="17" s="1"/>
  <c r="AT369" i="17"/>
  <c r="S370" i="17" l="1"/>
  <c r="T370" i="17" s="1"/>
  <c r="AF369" i="17"/>
  <c r="AG369" i="17" s="1"/>
  <c r="M370" i="17" l="1"/>
  <c r="N370" i="17" l="1"/>
  <c r="X370" i="17" l="1"/>
  <c r="AU370" i="17"/>
  <c r="U370" i="17" s="1"/>
  <c r="V370" i="17" l="1"/>
  <c r="W370" i="17" s="1"/>
  <c r="Z370" i="17"/>
  <c r="AV370" i="17" l="1"/>
  <c r="BG370" i="17"/>
  <c r="BD371" i="17" s="1"/>
  <c r="BE371" i="17" s="1"/>
  <c r="BF371" i="17" s="1"/>
  <c r="BK370" i="17"/>
  <c r="BH371" i="17" s="1"/>
  <c r="BI371" i="17" s="1"/>
  <c r="AA370" i="17"/>
  <c r="AB371" i="17" s="1"/>
  <c r="AE370" i="17"/>
  <c r="Y371" i="17" l="1"/>
  <c r="AC370" i="17"/>
  <c r="Q371" i="17" s="1"/>
  <c r="AD370" i="17" l="1"/>
  <c r="AT370" i="17"/>
  <c r="AF370" i="17" l="1"/>
  <c r="AG370" i="17" s="1"/>
  <c r="K371" i="17"/>
  <c r="M371" i="17" s="1"/>
  <c r="N371" i="17" s="1"/>
  <c r="S371" i="17"/>
  <c r="T371" i="17" s="1"/>
  <c r="X371" i="17" l="1"/>
  <c r="Z371" i="17" s="1"/>
  <c r="AU371" i="17"/>
  <c r="U371" i="17" s="1"/>
  <c r="V371" i="17" l="1"/>
  <c r="W371" i="17" s="1"/>
  <c r="AA371" i="17" l="1"/>
  <c r="AB372" i="17" s="1"/>
  <c r="BK371" i="17"/>
  <c r="BH372" i="17" s="1"/>
  <c r="BI372" i="17" s="1"/>
  <c r="AV371" i="17"/>
  <c r="BG371" i="17"/>
  <c r="BD372" i="17" s="1"/>
  <c r="BE372" i="17" s="1"/>
  <c r="BF372" i="17" s="1"/>
  <c r="AE371" i="17"/>
  <c r="Y372" i="17" l="1"/>
  <c r="AC371" i="17"/>
  <c r="Q372" i="17" s="1"/>
  <c r="AD371" i="17" l="1"/>
  <c r="AT371" i="17"/>
  <c r="S372" i="17" l="1"/>
  <c r="T372" i="17" s="1"/>
  <c r="K372" i="17"/>
  <c r="AF371" i="17"/>
  <c r="AG371" i="17" s="1"/>
  <c r="M372" i="17" l="1"/>
  <c r="N372" i="17" s="1"/>
  <c r="X372" i="17" s="1"/>
  <c r="Z372" i="17" l="1"/>
  <c r="AU372" i="17"/>
  <c r="U372" i="17" l="1"/>
  <c r="V372" i="17"/>
  <c r="W372" i="17" l="1"/>
  <c r="AA372" i="17" l="1"/>
  <c r="AB373" i="17" s="1"/>
  <c r="BG372" i="17"/>
  <c r="BD373" i="17" s="1"/>
  <c r="BE373" i="17" s="1"/>
  <c r="BF373" i="17" s="1"/>
  <c r="BK372" i="17"/>
  <c r="BH373" i="17" s="1"/>
  <c r="BI373" i="17" s="1"/>
  <c r="AV372" i="17"/>
  <c r="AE372" i="17"/>
  <c r="Y373" i="17" l="1"/>
  <c r="AC372" i="17"/>
  <c r="Q373" i="17" s="1"/>
  <c r="AD372" i="17" l="1"/>
  <c r="K373" i="17" s="1"/>
  <c r="AT372" i="17"/>
  <c r="S373" i="17" l="1"/>
  <c r="T373" i="17" s="1"/>
  <c r="AF372" i="17"/>
  <c r="AG372" i="17" s="1"/>
  <c r="M373" i="17" l="1"/>
  <c r="N373" i="17" s="1"/>
  <c r="X373" i="17" l="1"/>
  <c r="Z373" i="17" s="1"/>
  <c r="AU373" i="17"/>
  <c r="U373" i="17" l="1"/>
  <c r="V373" i="17"/>
  <c r="W373" i="17" l="1"/>
  <c r="AA373" i="17" l="1"/>
  <c r="AB374" i="17" s="1"/>
  <c r="BG373" i="17"/>
  <c r="BD374" i="17" s="1"/>
  <c r="BE374" i="17" s="1"/>
  <c r="BF374" i="17" s="1"/>
  <c r="AV373" i="17"/>
  <c r="BK373" i="17"/>
  <c r="BH374" i="17" s="1"/>
  <c r="BI374" i="17" s="1"/>
  <c r="AE373" i="17"/>
  <c r="AC373" i="17" l="1"/>
  <c r="Q374" i="17" s="1"/>
  <c r="Y374" i="17"/>
  <c r="AD373" i="17" l="1"/>
  <c r="AT373" i="17"/>
  <c r="AF373" i="17" l="1"/>
  <c r="AG373" i="17" s="1"/>
  <c r="K374" i="17"/>
  <c r="M374" i="17" s="1"/>
  <c r="N374" i="17" s="1"/>
  <c r="S374" i="17"/>
  <c r="T374" i="17" l="1"/>
  <c r="X374" i="17" s="1"/>
  <c r="Z374" i="17" s="1"/>
  <c r="AU374" i="17"/>
  <c r="U374" i="17" l="1"/>
  <c r="V374" i="17"/>
  <c r="W374" i="17" l="1"/>
  <c r="BG374" i="17" l="1"/>
  <c r="BD375" i="17" s="1"/>
  <c r="BE375" i="17" s="1"/>
  <c r="BF375" i="17" s="1"/>
  <c r="AV374" i="17"/>
  <c r="BK374" i="17"/>
  <c r="BH375" i="17" s="1"/>
  <c r="BI375" i="17" s="1"/>
  <c r="AA374" i="17"/>
  <c r="AB375" i="17" s="1"/>
  <c r="AE374" i="17"/>
  <c r="AC374" i="17" l="1"/>
  <c r="Q375" i="17" s="1"/>
  <c r="Y375" i="17"/>
  <c r="AD374" i="17" l="1"/>
  <c r="K375" i="17" s="1"/>
  <c r="AT374" i="17"/>
  <c r="M375" i="17" l="1"/>
  <c r="N375" i="17" s="1"/>
  <c r="AF374" i="17"/>
  <c r="AG374" i="17" s="1"/>
  <c r="H13" i="17" s="1"/>
  <c r="S375" i="17" l="1"/>
  <c r="T375" i="17" s="1"/>
  <c r="AU375" i="17"/>
  <c r="U375" i="17" s="1"/>
  <c r="V375" i="17" l="1"/>
  <c r="W375" i="17" s="1"/>
  <c r="X375" i="17"/>
  <c r="Z375" i="17" s="1"/>
  <c r="BG375" i="17" l="1"/>
  <c r="BD376" i="17" s="1"/>
  <c r="BE376" i="17" s="1"/>
  <c r="BF376" i="17" s="1"/>
  <c r="AA375" i="17"/>
  <c r="AB376" i="17" s="1"/>
  <c r="BK375" i="17"/>
  <c r="BH376" i="17" s="1"/>
  <c r="BI376" i="17" s="1"/>
  <c r="AV375" i="17"/>
  <c r="AE375" i="17"/>
  <c r="Y376" i="17" l="1"/>
  <c r="AC375" i="17"/>
  <c r="Q376" i="17" s="1"/>
  <c r="AD375" i="17" l="1"/>
  <c r="AT375" i="17"/>
  <c r="AF375" i="17" l="1"/>
  <c r="AG375" i="17" s="1"/>
  <c r="K376" i="17"/>
  <c r="M376" i="17" s="1"/>
  <c r="N376" i="17" s="1"/>
  <c r="S376" i="17"/>
  <c r="T376" i="17" s="1"/>
  <c r="X376" i="17" l="1"/>
  <c r="AU376" i="17"/>
  <c r="V376" i="17" s="1"/>
  <c r="U376" i="17" l="1"/>
  <c r="W376" i="17" s="1"/>
  <c r="Z376" i="17"/>
  <c r="BK376" i="17" l="1"/>
  <c r="BH377" i="17" s="1"/>
  <c r="BI377" i="17" s="1"/>
  <c r="AV376" i="17"/>
  <c r="AA376" i="17"/>
  <c r="AB377" i="17" s="1"/>
  <c r="BG376" i="17"/>
  <c r="BD377" i="17" s="1"/>
  <c r="BE377" i="17" s="1"/>
  <c r="BF377" i="17" s="1"/>
  <c r="AE376" i="17"/>
  <c r="Y377" i="17" l="1"/>
  <c r="AC376" i="17"/>
  <c r="Q377" i="17" s="1"/>
  <c r="AD376" i="17" l="1"/>
  <c r="AT376" i="17"/>
  <c r="AF376" i="17" l="1"/>
  <c r="AG376" i="17" s="1"/>
  <c r="K377" i="17"/>
  <c r="M377" i="17" s="1"/>
  <c r="N377" i="17" s="1"/>
  <c r="S377" i="17"/>
  <c r="T377" i="17" s="1"/>
  <c r="X377" i="17" l="1"/>
  <c r="Z377" i="17" s="1"/>
  <c r="AU377" i="17"/>
  <c r="U377" i="17" l="1"/>
  <c r="V377" i="17"/>
  <c r="W377" i="17" l="1"/>
  <c r="AA377" i="17" s="1"/>
  <c r="AB378" i="17" s="1"/>
  <c r="AE377" i="17" l="1"/>
  <c r="BK377" i="17"/>
  <c r="BH378" i="17" s="1"/>
  <c r="BI378" i="17" s="1"/>
  <c r="AV377" i="17"/>
  <c r="BG377" i="17"/>
  <c r="BD378" i="17" s="1"/>
  <c r="BE378" i="17" s="1"/>
  <c r="BF378" i="17" s="1"/>
  <c r="Y378" i="17"/>
  <c r="AC377" i="17"/>
  <c r="Q378" i="17" s="1"/>
  <c r="AD377" i="17" l="1"/>
  <c r="AT377" i="17"/>
  <c r="AF377" i="17" l="1"/>
  <c r="AG377" i="17" s="1"/>
  <c r="K378" i="17"/>
  <c r="S378" i="17" l="1"/>
  <c r="T378" i="17" s="1"/>
  <c r="M378" i="17"/>
  <c r="N378" i="17" s="1"/>
  <c r="AU378" i="17" l="1"/>
  <c r="U378" i="17" s="1"/>
  <c r="X378" i="17"/>
  <c r="Z378" i="17" s="1"/>
  <c r="V378" i="17" l="1"/>
  <c r="W378" i="17" s="1"/>
  <c r="BK378" i="17" l="1"/>
  <c r="BH379" i="17" s="1"/>
  <c r="BI379" i="17" s="1"/>
  <c r="AV378" i="17"/>
  <c r="BG378" i="17"/>
  <c r="BD379" i="17" s="1"/>
  <c r="BE379" i="17" s="1"/>
  <c r="BF379" i="17" s="1"/>
  <c r="AA378" i="17"/>
  <c r="AB379" i="17" s="1"/>
  <c r="AE378" i="17"/>
  <c r="AC378" i="17" l="1"/>
  <c r="Q379" i="17" s="1"/>
  <c r="Y379" i="17"/>
  <c r="AD378" i="17" l="1"/>
  <c r="AT378" i="17"/>
  <c r="AF378" i="17" l="1"/>
  <c r="AG378" i="17" s="1"/>
  <c r="K379" i="17"/>
  <c r="M379" i="17" l="1"/>
  <c r="N379" i="17" s="1"/>
  <c r="S379" i="17"/>
  <c r="T379" i="17" s="1"/>
  <c r="X379" i="17" l="1"/>
  <c r="Z379" i="17" s="1"/>
  <c r="AU379" i="17"/>
  <c r="U379" i="17" l="1"/>
  <c r="V379" i="17"/>
  <c r="W379" i="17" l="1"/>
  <c r="BG379" i="17" l="1"/>
  <c r="BD380" i="17" s="1"/>
  <c r="BE380" i="17" s="1"/>
  <c r="BF380" i="17" s="1"/>
  <c r="AA379" i="17"/>
  <c r="AB380" i="17" s="1"/>
  <c r="BK379" i="17"/>
  <c r="BH380" i="17" s="1"/>
  <c r="BI380" i="17" s="1"/>
  <c r="AV379" i="17"/>
  <c r="AE379" i="17"/>
  <c r="AC379" i="17" l="1"/>
  <c r="Q380" i="17" s="1"/>
  <c r="Y380" i="17"/>
  <c r="AD379" i="17" l="1"/>
  <c r="K380" i="17" s="1"/>
  <c r="AT379" i="17"/>
  <c r="AF379" i="17" l="1"/>
  <c r="AG379" i="17" s="1"/>
  <c r="S380" i="17"/>
  <c r="T380" i="17" s="1"/>
  <c r="M380" i="17"/>
  <c r="N380" i="17" s="1"/>
  <c r="AU380" i="17" l="1"/>
  <c r="U380" i="17" s="1"/>
  <c r="X380" i="17"/>
  <c r="Z380" i="17" s="1"/>
  <c r="V380" i="17"/>
  <c r="W380" i="17" l="1"/>
  <c r="AA380" i="17" s="1"/>
  <c r="AB381" i="17" s="1"/>
  <c r="AE380" i="17"/>
  <c r="AV380" i="17" l="1"/>
  <c r="BK380" i="17"/>
  <c r="BH381" i="17" s="1"/>
  <c r="BI381" i="17" s="1"/>
  <c r="BG380" i="17"/>
  <c r="BD381" i="17" s="1"/>
  <c r="BE381" i="17" s="1"/>
  <c r="BF381" i="17" s="1"/>
  <c r="Y381" i="17"/>
  <c r="AC380" i="17"/>
  <c r="Q381" i="17" s="1"/>
  <c r="AD380" i="17" l="1"/>
  <c r="AT380" i="17"/>
  <c r="AF380" i="17" l="1"/>
  <c r="AG380" i="17" s="1"/>
  <c r="K381" i="17"/>
  <c r="M381" i="17" s="1"/>
  <c r="N381" i="17" s="1"/>
  <c r="S381" i="17"/>
  <c r="T381" i="17" s="1"/>
  <c r="X381" i="17" l="1"/>
  <c r="Z381" i="17" s="1"/>
  <c r="AU381" i="17"/>
  <c r="U381" i="17" s="1"/>
  <c r="V381" i="17" l="1"/>
  <c r="W381" i="17" s="1"/>
  <c r="BG381" i="17" l="1"/>
  <c r="BD382" i="17" s="1"/>
  <c r="BE382" i="17" s="1"/>
  <c r="BF382" i="17" s="1"/>
  <c r="BK381" i="17"/>
  <c r="BH382" i="17" s="1"/>
  <c r="BI382" i="17" s="1"/>
  <c r="AV381" i="17"/>
  <c r="AA381" i="17"/>
  <c r="AB382" i="17" s="1"/>
  <c r="AE381" i="17"/>
  <c r="Y382" i="17" l="1"/>
  <c r="AC381" i="17"/>
  <c r="Q382" i="17" s="1"/>
  <c r="AD381" i="17" l="1"/>
  <c r="AT381" i="17"/>
  <c r="AF381" i="17" l="1"/>
  <c r="AG381" i="17" s="1"/>
  <c r="K382" i="17"/>
  <c r="M382" i="17" s="1"/>
  <c r="S382" i="17"/>
  <c r="T382" i="17" s="1"/>
  <c r="N382" i="17" l="1"/>
  <c r="X382" i="17" s="1"/>
  <c r="Z382" i="17" s="1"/>
  <c r="AU382" i="17" l="1"/>
  <c r="U382" i="17" s="1"/>
  <c r="V382" i="17"/>
  <c r="W382" i="17" l="1"/>
  <c r="AV382" i="17" s="1"/>
  <c r="AE382" i="17"/>
  <c r="AA382" i="17" l="1"/>
  <c r="AB383" i="17" s="1"/>
  <c r="BG382" i="17"/>
  <c r="BD383" i="17" s="1"/>
  <c r="BE383" i="17" s="1"/>
  <c r="BF383" i="17" s="1"/>
  <c r="BK382" i="17"/>
  <c r="BH383" i="17" s="1"/>
  <c r="BI383" i="17" s="1"/>
  <c r="Y383" i="17"/>
  <c r="AC382" i="17"/>
  <c r="Q383" i="17" s="1"/>
  <c r="AT382" i="17" l="1"/>
  <c r="AD382" i="17"/>
  <c r="S383" i="17"/>
  <c r="T383" i="17" s="1"/>
  <c r="AF382" i="17" l="1"/>
  <c r="AG382" i="17" s="1"/>
  <c r="K383" i="17"/>
  <c r="M383" i="17" s="1"/>
  <c r="N383" i="17" s="1"/>
  <c r="X383" i="17" s="1"/>
  <c r="Z383" i="17" s="1"/>
  <c r="AU383" i="17" l="1"/>
  <c r="U383" i="17" l="1"/>
  <c r="V383" i="17"/>
  <c r="W383" i="17" l="1"/>
  <c r="AA383" i="17" l="1"/>
  <c r="AB384" i="17" s="1"/>
  <c r="AV383" i="17"/>
  <c r="BG383" i="17"/>
  <c r="BD384" i="17" s="1"/>
  <c r="BE384" i="17" s="1"/>
  <c r="BF384" i="17" s="1"/>
  <c r="BK383" i="17"/>
  <c r="BH384" i="17" s="1"/>
  <c r="BI384" i="17" s="1"/>
  <c r="AE383" i="17"/>
  <c r="Y384" i="17" l="1"/>
  <c r="AC383" i="17"/>
  <c r="Q384" i="17" s="1"/>
  <c r="AD383" i="17" l="1"/>
  <c r="AT383" i="17"/>
  <c r="AF383" i="17" l="1"/>
  <c r="AG383" i="17" s="1"/>
  <c r="K384" i="17"/>
  <c r="M384" i="17" s="1"/>
  <c r="N384" i="17" s="1"/>
  <c r="S384" i="17"/>
  <c r="T384" i="17" s="1"/>
  <c r="AU384" i="17" l="1"/>
  <c r="U384" i="17" s="1"/>
  <c r="X384" i="17"/>
  <c r="Z384" i="17" s="1"/>
  <c r="V384" i="17" l="1"/>
  <c r="W384" i="17" s="1"/>
  <c r="BG384" i="17" l="1"/>
  <c r="BD385" i="17" s="1"/>
  <c r="BE385" i="17" s="1"/>
  <c r="BF385" i="17" s="1"/>
  <c r="AA384" i="17"/>
  <c r="AB385" i="17" s="1"/>
  <c r="AV384" i="17"/>
  <c r="BK384" i="17"/>
  <c r="BH385" i="17" s="1"/>
  <c r="BI385" i="17" s="1"/>
  <c r="AE384" i="17"/>
  <c r="AC384" i="17" l="1"/>
  <c r="Q385" i="17" s="1"/>
  <c r="Y385" i="17"/>
  <c r="AD384" i="17" l="1"/>
  <c r="AT384" i="17"/>
  <c r="AF384" i="17" l="1"/>
  <c r="K385" i="17"/>
  <c r="M385" i="17" s="1"/>
  <c r="N385" i="17" s="1"/>
  <c r="S385" i="17"/>
  <c r="T385" i="17" s="1"/>
  <c r="AG384" i="17"/>
  <c r="X385" i="17" l="1"/>
  <c r="Z385" i="17" s="1"/>
  <c r="AU385" i="17"/>
  <c r="U385" i="17" s="1"/>
  <c r="V385" i="17" l="1"/>
  <c r="W385" i="17" s="1"/>
  <c r="AV385" i="17" l="1"/>
  <c r="BG385" i="17"/>
  <c r="BD386" i="17" s="1"/>
  <c r="BE386" i="17" s="1"/>
  <c r="BF386" i="17" s="1"/>
  <c r="BK385" i="17"/>
  <c r="BH386" i="17" s="1"/>
  <c r="BI386" i="17" s="1"/>
  <c r="AA385" i="17"/>
  <c r="AB386" i="17" s="1"/>
  <c r="AE385" i="17"/>
  <c r="AC385" i="17" l="1"/>
  <c r="Q386" i="17" s="1"/>
  <c r="Y386" i="17"/>
  <c r="AD385" i="17" l="1"/>
  <c r="AT385" i="17"/>
  <c r="AF385" i="17" l="1"/>
  <c r="AG385" i="17" s="1"/>
  <c r="K386" i="17"/>
  <c r="S386" i="17"/>
  <c r="T386" i="17" s="1"/>
  <c r="M386" i="17" l="1"/>
  <c r="N386" i="17" s="1"/>
  <c r="X386" i="17" s="1"/>
  <c r="Z386" i="17" l="1"/>
  <c r="AU386" i="17"/>
  <c r="U386" i="17" s="1"/>
  <c r="V386" i="17"/>
  <c r="W386" i="17" l="1"/>
  <c r="BK386" i="17" s="1"/>
  <c r="BH387" i="17" s="1"/>
  <c r="BI387" i="17" s="1"/>
  <c r="AE386" i="17" l="1"/>
  <c r="AV386" i="17"/>
  <c r="BG386" i="17"/>
  <c r="BD387" i="17" s="1"/>
  <c r="BE387" i="17" s="1"/>
  <c r="BF387" i="17" s="1"/>
  <c r="AA386" i="17"/>
  <c r="AB387" i="17" s="1"/>
  <c r="Y387" i="17" l="1"/>
  <c r="AC386" i="17"/>
  <c r="Q387" i="17" s="1"/>
  <c r="AT386" i="17" l="1"/>
  <c r="AD386" i="17"/>
  <c r="AF386" i="17" s="1"/>
  <c r="AG386" i="17" s="1"/>
  <c r="S387" i="17"/>
  <c r="T387" i="17" s="1"/>
  <c r="K387" i="17" l="1"/>
  <c r="M387" i="17" s="1"/>
  <c r="N387" i="17" s="1"/>
  <c r="X387" i="17" s="1"/>
  <c r="Z387" i="17" s="1"/>
  <c r="AU387" i="17" l="1"/>
  <c r="U387" i="17" l="1"/>
  <c r="V387" i="17"/>
  <c r="W387" i="17" l="1"/>
  <c r="AA387" i="17" l="1"/>
  <c r="AB388" i="17" s="1"/>
  <c r="AV387" i="17"/>
  <c r="BK387" i="17"/>
  <c r="BH388" i="17" s="1"/>
  <c r="BI388" i="17" s="1"/>
  <c r="BG387" i="17"/>
  <c r="BD388" i="17" s="1"/>
  <c r="BE388" i="17" s="1"/>
  <c r="BF388" i="17" s="1"/>
  <c r="AE387" i="17"/>
  <c r="AC387" i="17" l="1"/>
  <c r="Q388" i="17" s="1"/>
  <c r="Y388" i="17"/>
  <c r="AD387" i="17" l="1"/>
  <c r="K388" i="17" s="1"/>
  <c r="AT387" i="17"/>
  <c r="AF387" i="17" l="1"/>
  <c r="AG387" i="17" s="1"/>
  <c r="S388" i="17"/>
  <c r="T388" i="17" s="1"/>
  <c r="M388" i="17" l="1"/>
  <c r="N388" i="17" s="1"/>
  <c r="X388" i="17" s="1"/>
  <c r="Z388" i="17" s="1"/>
  <c r="AU388" i="17" l="1"/>
  <c r="U388" i="17" l="1"/>
  <c r="V388" i="17"/>
  <c r="W388" i="17" l="1"/>
  <c r="AA388" i="17" l="1"/>
  <c r="AB389" i="17" s="1"/>
  <c r="AV388" i="17"/>
  <c r="BK388" i="17"/>
  <c r="BH389" i="17" s="1"/>
  <c r="BI389" i="17" s="1"/>
  <c r="BG388" i="17"/>
  <c r="BD389" i="17" s="1"/>
  <c r="BE389" i="17" s="1"/>
  <c r="BF389" i="17" s="1"/>
  <c r="AE388" i="17"/>
  <c r="Y389" i="17" l="1"/>
  <c r="AC388" i="17"/>
  <c r="Q389" i="17" s="1"/>
  <c r="AD388" i="17" l="1"/>
  <c r="AT388" i="17"/>
  <c r="AF388" i="17" l="1"/>
  <c r="K389" i="17"/>
  <c r="M389" i="17" s="1"/>
  <c r="N389" i="17" s="1"/>
  <c r="S389" i="17"/>
  <c r="T389" i="17" s="1"/>
  <c r="AG388" i="17"/>
  <c r="X389" i="17" l="1"/>
  <c r="Z389" i="17" s="1"/>
  <c r="AU389" i="17"/>
  <c r="U389" i="17" s="1"/>
  <c r="V389" i="17" l="1"/>
  <c r="W389" i="17" s="1"/>
  <c r="AA389" i="17" l="1"/>
  <c r="AB390" i="17" s="1"/>
  <c r="BK389" i="17"/>
  <c r="BH390" i="17" s="1"/>
  <c r="BI390" i="17" s="1"/>
  <c r="AV389" i="17"/>
  <c r="BG389" i="17"/>
  <c r="BD390" i="17" s="1"/>
  <c r="BE390" i="17" s="1"/>
  <c r="BF390" i="17" s="1"/>
  <c r="AE389" i="17"/>
  <c r="AC389" i="17" l="1"/>
  <c r="Q390" i="17" s="1"/>
  <c r="Y390" i="17"/>
  <c r="AD389" i="17" l="1"/>
  <c r="AT389" i="17"/>
  <c r="AF389" i="17" l="1"/>
  <c r="AG389" i="17" s="1"/>
  <c r="K390" i="17"/>
  <c r="S390" i="17"/>
  <c r="T390" i="17" s="1"/>
  <c r="M390" i="17" l="1"/>
  <c r="N390" i="17" s="1"/>
  <c r="X390" i="17" l="1"/>
  <c r="Z390" i="17" s="1"/>
  <c r="AU390" i="17"/>
  <c r="U390" i="17" s="1"/>
  <c r="V390" i="17" l="1"/>
  <c r="W390" i="17" s="1"/>
  <c r="BG390" i="17" l="1"/>
  <c r="BD391" i="17" s="1"/>
  <c r="BE391" i="17" s="1"/>
  <c r="BF391" i="17" s="1"/>
  <c r="BK390" i="17"/>
  <c r="BH391" i="17" s="1"/>
  <c r="BI391" i="17" s="1"/>
  <c r="AA390" i="17"/>
  <c r="AB391" i="17" s="1"/>
  <c r="AV390" i="17"/>
  <c r="AE390" i="17"/>
  <c r="AC390" i="17" l="1"/>
  <c r="Q391" i="17" s="1"/>
  <c r="Y391" i="17"/>
  <c r="AD390" i="17" l="1"/>
  <c r="K391" i="17" s="1"/>
  <c r="AT390" i="17"/>
  <c r="S391" i="17" l="1"/>
  <c r="T391" i="17" s="1"/>
  <c r="AF390" i="17"/>
  <c r="AG390" i="17" s="1"/>
  <c r="M391" i="17"/>
  <c r="N391" i="17" s="1"/>
  <c r="X391" i="17" l="1"/>
  <c r="Z391" i="17" s="1"/>
  <c r="AU391" i="17"/>
  <c r="U391" i="17" l="1"/>
  <c r="V391" i="17"/>
  <c r="W391" i="17" l="1"/>
  <c r="AV391" i="17" s="1"/>
  <c r="AE391" i="17" l="1"/>
  <c r="AA391" i="17"/>
  <c r="AB392" i="17" s="1"/>
  <c r="BK391" i="17"/>
  <c r="BH392" i="17" s="1"/>
  <c r="BI392" i="17" s="1"/>
  <c r="BG391" i="17"/>
  <c r="BD392" i="17" s="1"/>
  <c r="BE392" i="17" s="1"/>
  <c r="BF392" i="17" s="1"/>
  <c r="AC391" i="17" l="1"/>
  <c r="Q392" i="17" s="1"/>
  <c r="Y392" i="17"/>
  <c r="AT391" i="17" l="1"/>
  <c r="AD391" i="17"/>
  <c r="K392" i="17" s="1"/>
  <c r="S392" i="17"/>
  <c r="T392" i="17" s="1"/>
  <c r="AF391" i="17"/>
  <c r="AG391" i="17" s="1"/>
  <c r="M392" i="17" l="1"/>
  <c r="N392" i="17" l="1"/>
  <c r="X392" i="17" l="1"/>
  <c r="Z392" i="17" s="1"/>
  <c r="AU392" i="17"/>
  <c r="U392" i="17" l="1"/>
  <c r="V392" i="17"/>
  <c r="W392" i="17" l="1"/>
  <c r="AV392" i="17" l="1"/>
  <c r="BK392" i="17"/>
  <c r="BH393" i="17" s="1"/>
  <c r="BI393" i="17" s="1"/>
  <c r="BG392" i="17"/>
  <c r="BD393" i="17" s="1"/>
  <c r="BE393" i="17" s="1"/>
  <c r="BF393" i="17" s="1"/>
  <c r="AA392" i="17"/>
  <c r="AB393" i="17" s="1"/>
  <c r="AE392" i="17"/>
  <c r="AC392" i="17" l="1"/>
  <c r="Q393" i="17" s="1"/>
  <c r="Y393" i="17"/>
  <c r="AD392" i="17" l="1"/>
  <c r="AT392" i="17"/>
  <c r="AF392" i="17" l="1"/>
  <c r="AG392" i="17" s="1"/>
  <c r="K393" i="17"/>
  <c r="M393" i="17" s="1"/>
  <c r="N393" i="17" s="1"/>
  <c r="S393" i="17"/>
  <c r="T393" i="17" s="1"/>
  <c r="AU393" i="17" l="1"/>
  <c r="U393" i="17" s="1"/>
  <c r="X393" i="17"/>
  <c r="V393" i="17" l="1"/>
  <c r="W393" i="17" s="1"/>
  <c r="Z393" i="17"/>
  <c r="AE393" i="17" l="1"/>
  <c r="BK393" i="17"/>
  <c r="BH394" i="17" s="1"/>
  <c r="BI394" i="17" s="1"/>
  <c r="BG393" i="17"/>
  <c r="BD394" i="17" s="1"/>
  <c r="BE394" i="17" s="1"/>
  <c r="BF394" i="17" s="1"/>
  <c r="AA393" i="17"/>
  <c r="AB394" i="17" s="1"/>
  <c r="AV393" i="17"/>
  <c r="Y394" i="17" l="1"/>
  <c r="AC393" i="17"/>
  <c r="Q394" i="17" s="1"/>
  <c r="AD393" i="17" l="1"/>
  <c r="AT393" i="17"/>
  <c r="AF393" i="17" l="1"/>
  <c r="K394" i="17"/>
  <c r="M394" i="17" s="1"/>
  <c r="N394" i="17" s="1"/>
  <c r="AG393" i="17"/>
  <c r="S394" i="17"/>
  <c r="T394" i="17" s="1"/>
  <c r="X394" i="17" l="1"/>
  <c r="Z394" i="17" s="1"/>
  <c r="AU394" i="17"/>
  <c r="U394" i="17" l="1"/>
  <c r="V394" i="17"/>
  <c r="W394" i="17" l="1"/>
  <c r="BG394" i="17" l="1"/>
  <c r="BD395" i="17" s="1"/>
  <c r="BE395" i="17" s="1"/>
  <c r="BF395" i="17" s="1"/>
  <c r="AV394" i="17"/>
  <c r="AA394" i="17"/>
  <c r="AB395" i="17" s="1"/>
  <c r="BK394" i="17"/>
  <c r="BH395" i="17" s="1"/>
  <c r="BI395" i="17" s="1"/>
  <c r="AE394" i="17"/>
  <c r="Y395" i="17" l="1"/>
  <c r="AC394" i="17"/>
  <c r="Q395" i="17" s="1"/>
  <c r="AD394" i="17" l="1"/>
  <c r="AT394" i="17"/>
  <c r="AF394" i="17" l="1"/>
  <c r="K395" i="17"/>
  <c r="AG394" i="17"/>
  <c r="S395" i="17" l="1"/>
  <c r="T395" i="17" s="1"/>
  <c r="M395" i="17"/>
  <c r="N395" i="17" s="1"/>
  <c r="AU395" i="17" s="1"/>
  <c r="U395" i="17" s="1"/>
  <c r="V395" i="17" l="1"/>
  <c r="W395" i="17" s="1"/>
  <c r="X395" i="17"/>
  <c r="Z395" i="17" s="1"/>
  <c r="BK395" i="17" l="1"/>
  <c r="BH396" i="17" s="1"/>
  <c r="BI396" i="17" s="1"/>
  <c r="BG395" i="17"/>
  <c r="BD396" i="17" s="1"/>
  <c r="BE396" i="17" s="1"/>
  <c r="BF396" i="17" s="1"/>
  <c r="AA395" i="17"/>
  <c r="AB396" i="17" s="1"/>
  <c r="AV395" i="17"/>
  <c r="AE395" i="17"/>
  <c r="Y396" i="17" l="1"/>
  <c r="AC395" i="17"/>
  <c r="Q396" i="17" s="1"/>
  <c r="AD395" i="17" l="1"/>
  <c r="K396" i="17" s="1"/>
  <c r="AT395" i="17"/>
  <c r="M396" i="17" l="1"/>
  <c r="N396" i="17" s="1"/>
  <c r="AF395" i="17"/>
  <c r="AG395" i="17" s="1"/>
  <c r="S396" i="17" l="1"/>
  <c r="AU396" i="17"/>
  <c r="U396" i="17" s="1"/>
  <c r="T396" i="17" l="1"/>
  <c r="X396" i="17" s="1"/>
  <c r="V396" i="17" l="1"/>
  <c r="W396" i="17" s="1"/>
  <c r="BG396" i="17" s="1"/>
  <c r="BD397" i="17" s="1"/>
  <c r="BE397" i="17" s="1"/>
  <c r="BF397" i="17" s="1"/>
  <c r="Z396" i="17"/>
  <c r="AE396" i="17" l="1"/>
  <c r="BK396" i="17"/>
  <c r="BH397" i="17" s="1"/>
  <c r="BI397" i="17" s="1"/>
  <c r="AA396" i="17"/>
  <c r="AB397" i="17" s="1"/>
  <c r="AV396" i="17"/>
  <c r="AC396" i="17" l="1"/>
  <c r="Q397" i="17" s="1"/>
  <c r="Y397" i="17"/>
  <c r="AT396" i="17" l="1"/>
  <c r="AD396" i="17"/>
  <c r="K397" i="17" s="1"/>
  <c r="M397" i="17" s="1"/>
  <c r="N397" i="17" s="1"/>
  <c r="S397" i="17"/>
  <c r="T397" i="17" s="1"/>
  <c r="AF396" i="17" l="1"/>
  <c r="AG396" i="17" s="1"/>
  <c r="AU397" i="17"/>
  <c r="U397" i="17" s="1"/>
  <c r="X397" i="17"/>
  <c r="Z397" i="17" l="1"/>
  <c r="V397" i="17"/>
  <c r="W397" i="17" s="1"/>
  <c r="BG397" i="17" l="1"/>
  <c r="BD398" i="17" s="1"/>
  <c r="BE398" i="17" s="1"/>
  <c r="BF398" i="17" s="1"/>
  <c r="BK397" i="17"/>
  <c r="BH398" i="17" s="1"/>
  <c r="BI398" i="17" s="1"/>
  <c r="AA397" i="17"/>
  <c r="AB398" i="17" s="1"/>
  <c r="AV397" i="17"/>
  <c r="AE397" i="17"/>
  <c r="AC397" i="17" l="1"/>
  <c r="Q398" i="17" s="1"/>
  <c r="Y398" i="17"/>
  <c r="AD397" i="17" l="1"/>
  <c r="AT397" i="17"/>
  <c r="AF397" i="17" l="1"/>
  <c r="AG397" i="17" s="1"/>
  <c r="K398" i="17"/>
  <c r="S398" i="17"/>
  <c r="T398" i="17" s="1"/>
  <c r="M398" i="17" l="1"/>
  <c r="N398" i="17" s="1"/>
  <c r="X398" i="17" s="1"/>
  <c r="Z398" i="17" l="1"/>
  <c r="AU398" i="17"/>
  <c r="U398" i="17" l="1"/>
  <c r="V398" i="17"/>
  <c r="W398" i="17" l="1"/>
  <c r="BK398" i="17" l="1"/>
  <c r="BH399" i="17" s="1"/>
  <c r="BI399" i="17" s="1"/>
  <c r="AV398" i="17"/>
  <c r="BG398" i="17"/>
  <c r="BD399" i="17" s="1"/>
  <c r="BE399" i="17" s="1"/>
  <c r="BF399" i="17" s="1"/>
  <c r="AA398" i="17"/>
  <c r="AB399" i="17" s="1"/>
  <c r="AE398" i="17"/>
  <c r="AC398" i="17" l="1"/>
  <c r="Q399" i="17" s="1"/>
  <c r="Y399" i="17"/>
  <c r="AD398" i="17" l="1"/>
  <c r="AT398" i="17"/>
  <c r="AF398" i="17" l="1"/>
  <c r="AG398" i="17" s="1"/>
  <c r="K399" i="17"/>
  <c r="M399" i="17" s="1"/>
  <c r="N399" i="17" s="1"/>
  <c r="S399" i="17"/>
  <c r="T399" i="17" s="1"/>
  <c r="X399" i="17" l="1"/>
  <c r="Z399" i="17" s="1"/>
  <c r="AU399" i="17"/>
  <c r="U399" i="17" l="1"/>
  <c r="V399" i="17"/>
  <c r="W399" i="17" l="1"/>
  <c r="AA399" i="17" s="1"/>
  <c r="AB400" i="17" s="1"/>
  <c r="AE399" i="17" l="1"/>
  <c r="AV399" i="17"/>
  <c r="BG399" i="17"/>
  <c r="BD400" i="17" s="1"/>
  <c r="BE400" i="17" s="1"/>
  <c r="BF400" i="17" s="1"/>
  <c r="BK399" i="17"/>
  <c r="BH400" i="17" s="1"/>
  <c r="BI400" i="17" s="1"/>
  <c r="Y400" i="17"/>
  <c r="AC399" i="17"/>
  <c r="Q400" i="17" s="1"/>
  <c r="AD399" i="17" l="1"/>
  <c r="K400" i="17" s="1"/>
  <c r="AT399" i="17"/>
  <c r="M400" i="17" l="1"/>
  <c r="N400" i="17" s="1"/>
  <c r="AF399" i="17"/>
  <c r="AG399" i="17" s="1"/>
  <c r="S400" i="17" l="1"/>
  <c r="AU400" i="17"/>
  <c r="U400" i="17" s="1"/>
  <c r="T400" i="17" l="1"/>
  <c r="X400" i="17" s="1"/>
  <c r="Z400" i="17" l="1"/>
  <c r="V400" i="17"/>
  <c r="W400" i="17" s="1"/>
  <c r="BG400" i="17" l="1"/>
  <c r="BD401" i="17" s="1"/>
  <c r="BE401" i="17" s="1"/>
  <c r="BF401" i="17" s="1"/>
  <c r="AA400" i="17"/>
  <c r="AB401" i="17" s="1"/>
  <c r="BK400" i="17"/>
  <c r="BH401" i="17" s="1"/>
  <c r="BI401" i="17" s="1"/>
  <c r="AV400" i="17"/>
  <c r="AE400" i="17"/>
  <c r="AC400" i="17" l="1"/>
  <c r="Q401" i="17" s="1"/>
  <c r="Y401" i="17"/>
  <c r="AD400" i="17" l="1"/>
  <c r="AT400" i="17"/>
  <c r="AF400" i="17" l="1"/>
  <c r="AG400" i="17" s="1"/>
  <c r="K401" i="17"/>
  <c r="M401" i="17" s="1"/>
  <c r="N401" i="17" s="1"/>
  <c r="S401" i="17" l="1"/>
  <c r="T401" i="17" s="1"/>
  <c r="AU401" i="17"/>
  <c r="U401" i="17" s="1"/>
  <c r="X401" i="17" l="1"/>
  <c r="V401" i="17"/>
  <c r="W401" i="17" s="1"/>
  <c r="Z401" i="17" l="1"/>
  <c r="AV401" i="17"/>
  <c r="AA401" i="17"/>
  <c r="AB402" i="17" s="1"/>
  <c r="BG401" i="17"/>
  <c r="BD402" i="17" s="1"/>
  <c r="BE402" i="17" s="1"/>
  <c r="BF402" i="17" s="1"/>
  <c r="BK401" i="17"/>
  <c r="BH402" i="17" s="1"/>
  <c r="BI402" i="17" s="1"/>
  <c r="AE401" i="17"/>
  <c r="AC401" i="17" l="1"/>
  <c r="Q402" i="17" s="1"/>
  <c r="Y402" i="17"/>
  <c r="AT401" i="17" l="1"/>
  <c r="AD401" i="17"/>
  <c r="AF401" i="17" l="1"/>
  <c r="AG401" i="17" s="1"/>
  <c r="K402" i="17"/>
  <c r="S402" i="17" l="1"/>
  <c r="T402" i="17" s="1"/>
  <c r="M402" i="17"/>
  <c r="N402" i="17" s="1"/>
  <c r="AU402" i="17" l="1"/>
  <c r="U402" i="17" s="1"/>
  <c r="X402" i="17"/>
  <c r="Z402" i="17" s="1"/>
  <c r="V402" i="17"/>
  <c r="W402" i="17" l="1"/>
  <c r="AV402" i="17" s="1"/>
  <c r="AE402" i="17" l="1"/>
  <c r="BK402" i="17"/>
  <c r="BH403" i="17" s="1"/>
  <c r="BI403" i="17" s="1"/>
  <c r="AA402" i="17"/>
  <c r="AB403" i="17" s="1"/>
  <c r="BG402" i="17"/>
  <c r="BD403" i="17" s="1"/>
  <c r="BE403" i="17" s="1"/>
  <c r="BF403" i="17" s="1"/>
  <c r="AC402" i="17" l="1"/>
  <c r="Q403" i="17" s="1"/>
  <c r="Y403" i="17"/>
  <c r="AT402" i="17" l="1"/>
  <c r="AD402" i="17"/>
  <c r="AF402" i="17" s="1"/>
  <c r="AG402" i="17" s="1"/>
  <c r="S403" i="17"/>
  <c r="T403" i="17" s="1"/>
  <c r="K403" i="17" l="1"/>
  <c r="M403" i="17" s="1"/>
  <c r="N403" i="17" s="1"/>
  <c r="X403" i="17" s="1"/>
  <c r="Z403" i="17" s="1"/>
  <c r="V403" i="17"/>
  <c r="AU403" i="17" l="1"/>
  <c r="U403" i="17" s="1"/>
  <c r="W403" i="17" s="1"/>
  <c r="BG403" i="17" s="1"/>
  <c r="BD404" i="17" s="1"/>
  <c r="BE404" i="17" s="1"/>
  <c r="BF404" i="17" s="1"/>
  <c r="AE403" i="17" l="1"/>
  <c r="BK403" i="17"/>
  <c r="BH404" i="17" s="1"/>
  <c r="BI404" i="17" s="1"/>
  <c r="AV403" i="17"/>
  <c r="AA403" i="17"/>
  <c r="AB404" i="17" s="1"/>
  <c r="AC403" i="17" l="1"/>
  <c r="Q404" i="17" s="1"/>
  <c r="Y404" i="17"/>
  <c r="AT403" i="17"/>
  <c r="AD403" i="17" l="1"/>
  <c r="AF403" i="17"/>
  <c r="AG403" i="17" s="1"/>
  <c r="K404" i="17"/>
  <c r="S404" i="17"/>
  <c r="T404" i="17" s="1"/>
  <c r="M404" i="17" l="1"/>
  <c r="N404" i="17" s="1"/>
  <c r="AU404" i="17" s="1"/>
  <c r="X404" i="17" l="1"/>
  <c r="Z404" i="17" s="1"/>
  <c r="U404" i="17"/>
  <c r="V404" i="17"/>
  <c r="W404" i="17" l="1"/>
  <c r="BK404" i="17" s="1"/>
  <c r="BH405" i="17" s="1"/>
  <c r="BI405" i="17" s="1"/>
  <c r="AE404" i="17" l="1"/>
  <c r="AV404" i="17"/>
  <c r="AA404" i="17"/>
  <c r="AB405" i="17" s="1"/>
  <c r="BG404" i="17"/>
  <c r="BD405" i="17" s="1"/>
  <c r="BE405" i="17" s="1"/>
  <c r="BF405" i="17" s="1"/>
  <c r="AC404" i="17" l="1"/>
  <c r="Q405" i="17" s="1"/>
  <c r="Y405" i="17"/>
  <c r="AT404" i="17" l="1"/>
  <c r="AD404" i="17"/>
  <c r="K405" i="17" s="1"/>
  <c r="M405" i="17" s="1"/>
  <c r="N405" i="17" s="1"/>
  <c r="S405" i="17"/>
  <c r="T405" i="17" s="1"/>
  <c r="AF404" i="17" l="1"/>
  <c r="AG404" i="17" s="1"/>
  <c r="X405" i="17"/>
  <c r="Z405" i="17" s="1"/>
  <c r="AU405" i="17"/>
  <c r="U405" i="17" s="1"/>
  <c r="V405" i="17" l="1"/>
  <c r="W405" i="17" s="1"/>
  <c r="AV405" i="17" l="1"/>
  <c r="BK405" i="17"/>
  <c r="BH406" i="17" s="1"/>
  <c r="BI406" i="17" s="1"/>
  <c r="BG405" i="17"/>
  <c r="BD406" i="17" s="1"/>
  <c r="BE406" i="17" s="1"/>
  <c r="BF406" i="17" s="1"/>
  <c r="AE405" i="17"/>
  <c r="AA405" i="17"/>
  <c r="AB406" i="17" s="1"/>
  <c r="AC405" i="17"/>
  <c r="Q406" i="17" s="1"/>
  <c r="Y406" i="17" l="1"/>
  <c r="AD405" i="17"/>
  <c r="AT405" i="17"/>
  <c r="AF405" i="17" l="1"/>
  <c r="AG405" i="17" s="1"/>
  <c r="K406" i="17"/>
  <c r="M406" i="17" s="1"/>
  <c r="S406" i="17"/>
  <c r="T406" i="17" l="1"/>
  <c r="N406" i="17"/>
  <c r="X406" i="17" s="1"/>
  <c r="AU406" i="17" l="1"/>
  <c r="Z406" i="17"/>
  <c r="U406" i="17" l="1"/>
  <c r="V406" i="17"/>
  <c r="W406" i="17" l="1"/>
  <c r="BG406" i="17" l="1"/>
  <c r="BD407" i="17" s="1"/>
  <c r="BE407" i="17" s="1"/>
  <c r="BF407" i="17" s="1"/>
  <c r="AA406" i="17"/>
  <c r="AB407" i="17" s="1"/>
  <c r="BK406" i="17"/>
  <c r="BH407" i="17" s="1"/>
  <c r="BI407" i="17" s="1"/>
  <c r="AV406" i="17"/>
  <c r="AE406" i="17"/>
  <c r="AC406" i="17" l="1"/>
  <c r="Q407" i="17" s="1"/>
  <c r="Y407" i="17"/>
  <c r="AD406" i="17" l="1"/>
  <c r="AT406" i="17"/>
  <c r="AF406" i="17" l="1"/>
  <c r="K407" i="17"/>
  <c r="M407" i="17" s="1"/>
  <c r="N407" i="17" s="1"/>
  <c r="S407" i="17"/>
  <c r="T407" i="17" s="1"/>
  <c r="AG406" i="17"/>
  <c r="X407" i="17" l="1"/>
  <c r="Z407" i="17" s="1"/>
  <c r="AU407" i="17"/>
  <c r="U407" i="17" s="1"/>
  <c r="V407" i="17" l="1"/>
  <c r="W407" i="17" s="1"/>
  <c r="AA407" i="17" l="1"/>
  <c r="AB408" i="17" s="1"/>
  <c r="BG407" i="17"/>
  <c r="BD408" i="17" s="1"/>
  <c r="BE408" i="17" s="1"/>
  <c r="BF408" i="17" s="1"/>
  <c r="AV407" i="17"/>
  <c r="BK407" i="17"/>
  <c r="BH408" i="17" s="1"/>
  <c r="BI408" i="17" s="1"/>
  <c r="AE407" i="17"/>
  <c r="AC407" i="17" l="1"/>
  <c r="Q408" i="17" s="1"/>
  <c r="Y408" i="17"/>
  <c r="AD407" i="17" l="1"/>
  <c r="K408" i="17" s="1"/>
  <c r="AT407" i="17"/>
  <c r="AF407" i="17" l="1"/>
  <c r="AG407" i="17" s="1"/>
  <c r="S408" i="17"/>
  <c r="T408" i="17" s="1"/>
  <c r="M408" i="17" l="1"/>
  <c r="N408" i="17" s="1"/>
  <c r="X408" i="17" l="1"/>
  <c r="Z408" i="17" s="1"/>
  <c r="AU408" i="17"/>
  <c r="U408" i="17" l="1"/>
  <c r="V408" i="17"/>
  <c r="W408" i="17" l="1"/>
  <c r="AA408" i="17" l="1"/>
  <c r="AB409" i="17" s="1"/>
  <c r="BK408" i="17"/>
  <c r="BH409" i="17" s="1"/>
  <c r="BI409" i="17" s="1"/>
  <c r="AV408" i="17"/>
  <c r="BG408" i="17"/>
  <c r="BD409" i="17" s="1"/>
  <c r="BE409" i="17" s="1"/>
  <c r="BF409" i="17" s="1"/>
  <c r="AE408" i="17"/>
  <c r="Y409" i="17" l="1"/>
  <c r="AC408" i="17"/>
  <c r="Q409" i="17" s="1"/>
  <c r="AD408" i="17" l="1"/>
  <c r="AT408" i="17"/>
  <c r="AF408" i="17" l="1"/>
  <c r="AG408" i="17" s="1"/>
  <c r="K409" i="17"/>
  <c r="S409" i="17" l="1"/>
  <c r="T409" i="17" s="1"/>
  <c r="M409" i="17"/>
  <c r="N409" i="17" s="1"/>
  <c r="AU409" i="17" l="1"/>
  <c r="U409" i="17" s="1"/>
  <c r="V409" i="17"/>
  <c r="X409" i="17"/>
  <c r="Z409" i="17" s="1"/>
  <c r="W409" i="17" l="1"/>
  <c r="BG409" i="17" l="1"/>
  <c r="BD410" i="17" s="1"/>
  <c r="BE410" i="17" s="1"/>
  <c r="BF410" i="17" s="1"/>
  <c r="AV409" i="17"/>
  <c r="AA409" i="17"/>
  <c r="AB410" i="17" s="1"/>
  <c r="BK409" i="17"/>
  <c r="BH410" i="17" s="1"/>
  <c r="BI410" i="17" s="1"/>
  <c r="AE409" i="17"/>
  <c r="AC409" i="17" l="1"/>
  <c r="Q410" i="17" s="1"/>
  <c r="Y410" i="17"/>
  <c r="AD409" i="17" l="1"/>
  <c r="AT409" i="17"/>
  <c r="AF409" i="17" l="1"/>
  <c r="AG409" i="17" s="1"/>
  <c r="K410" i="17"/>
  <c r="S410" i="17"/>
  <c r="T410" i="17" s="1"/>
  <c r="M410" i="17" l="1"/>
  <c r="N410" i="17" s="1"/>
  <c r="AU410" i="17" l="1"/>
  <c r="U410" i="17" s="1"/>
  <c r="X410" i="17"/>
  <c r="V410" i="17" l="1"/>
  <c r="W410" i="17" s="1"/>
  <c r="AA410" i="17" s="1"/>
  <c r="AB411" i="17" s="1"/>
  <c r="Z410" i="17"/>
  <c r="AV410" i="17" l="1"/>
  <c r="BG410" i="17"/>
  <c r="BD411" i="17" s="1"/>
  <c r="BE411" i="17" s="1"/>
  <c r="BF411" i="17" s="1"/>
  <c r="BK410" i="17"/>
  <c r="BH411" i="17" s="1"/>
  <c r="BI411" i="17" s="1"/>
  <c r="AE410" i="17"/>
  <c r="Y411" i="17"/>
  <c r="AC410" i="17"/>
  <c r="Q411" i="17" s="1"/>
  <c r="AT410" i="17" l="1"/>
  <c r="AD410" i="17"/>
  <c r="AF410" i="17" l="1"/>
  <c r="AG410" i="17" s="1"/>
  <c r="K411" i="17"/>
  <c r="M411" i="17" s="1"/>
  <c r="N411" i="17" s="1"/>
  <c r="S411" i="17" l="1"/>
  <c r="T411" i="17" s="1"/>
  <c r="AU411" i="17"/>
  <c r="U411" i="17" s="1"/>
  <c r="V411" i="17" l="1"/>
  <c r="W411" i="17" s="1"/>
  <c r="X411" i="17"/>
  <c r="Z411" i="17" s="1"/>
  <c r="AA411" i="17" l="1"/>
  <c r="AB412" i="17" s="1"/>
  <c r="BK411" i="17"/>
  <c r="BH412" i="17" s="1"/>
  <c r="BI412" i="17" s="1"/>
  <c r="BG411" i="17"/>
  <c r="BD412" i="17" s="1"/>
  <c r="BE412" i="17" s="1"/>
  <c r="BF412" i="17" s="1"/>
  <c r="AV411" i="17"/>
  <c r="AE411" i="17"/>
  <c r="AC411" i="17" l="1"/>
  <c r="Q412" i="17" s="1"/>
  <c r="Y412" i="17"/>
  <c r="AD411" i="17" l="1"/>
  <c r="K412" i="17" s="1"/>
  <c r="AT411" i="17"/>
  <c r="AF411" i="17" l="1"/>
  <c r="AG411" i="17" s="1"/>
  <c r="S412" i="17"/>
  <c r="T412" i="17" s="1"/>
  <c r="M412" i="17" l="1"/>
  <c r="N412" i="17" s="1"/>
  <c r="X412" i="17" l="1"/>
  <c r="Z412" i="17" s="1"/>
  <c r="AU412" i="17"/>
  <c r="U412" i="17" l="1"/>
  <c r="V412" i="17"/>
  <c r="W412" i="17" l="1"/>
  <c r="AA412" i="17" l="1"/>
  <c r="AB413" i="17" s="1"/>
  <c r="BG412" i="17"/>
  <c r="BD413" i="17" s="1"/>
  <c r="BE413" i="17" s="1"/>
  <c r="BF413" i="17" s="1"/>
  <c r="AV412" i="17"/>
  <c r="BK412" i="17"/>
  <c r="BH413" i="17" s="1"/>
  <c r="BI413" i="17" s="1"/>
  <c r="AE412" i="17"/>
  <c r="Y413" i="17" l="1"/>
  <c r="AC412" i="17"/>
  <c r="Q413" i="17" s="1"/>
  <c r="AD412" i="17" l="1"/>
  <c r="AT412" i="17"/>
  <c r="AF412" i="17" l="1"/>
  <c r="AG412" i="17" s="1"/>
  <c r="K413" i="17"/>
  <c r="S413" i="17" l="1"/>
  <c r="T413" i="17" s="1"/>
  <c r="M413" i="17"/>
  <c r="N413" i="17" s="1"/>
  <c r="AU413" i="17" l="1"/>
  <c r="X413" i="17"/>
  <c r="Z413" i="17" s="1"/>
  <c r="U413" i="17" l="1"/>
  <c r="V413" i="17"/>
  <c r="W413" i="17" l="1"/>
  <c r="BG413" i="17" l="1"/>
  <c r="BD414" i="17" s="1"/>
  <c r="BE414" i="17" s="1"/>
  <c r="BF414" i="17" s="1"/>
  <c r="AV413" i="17"/>
  <c r="AA413" i="17"/>
  <c r="AB414" i="17" s="1"/>
  <c r="BK413" i="17"/>
  <c r="BH414" i="17" s="1"/>
  <c r="BI414" i="17" s="1"/>
  <c r="AE413" i="17"/>
  <c r="Y414" i="17" l="1"/>
  <c r="AC413" i="17"/>
  <c r="Q414" i="17" s="1"/>
  <c r="AD413" i="17" l="1"/>
  <c r="AT413" i="17"/>
  <c r="AF413" i="17" l="1"/>
  <c r="AG413" i="17" s="1"/>
  <c r="K414" i="17"/>
  <c r="M414" i="17" s="1"/>
  <c r="S414" i="17"/>
  <c r="T414" i="17" s="1"/>
  <c r="N414" i="17" l="1"/>
  <c r="X414" i="17" l="1"/>
  <c r="AU414" i="17"/>
  <c r="U414" i="17" s="1"/>
  <c r="V414" i="17" l="1"/>
  <c r="W414" i="17" s="1"/>
  <c r="Z414" i="17"/>
  <c r="AA414" i="17" l="1"/>
  <c r="AB415" i="17" s="1"/>
  <c r="AV414" i="17"/>
  <c r="BK414" i="17"/>
  <c r="BH415" i="17" s="1"/>
  <c r="BI415" i="17" s="1"/>
  <c r="BG414" i="17"/>
  <c r="BD415" i="17" s="1"/>
  <c r="BE415" i="17" s="1"/>
  <c r="BF415" i="17" s="1"/>
  <c r="AE414" i="17"/>
  <c r="Y415" i="17" l="1"/>
  <c r="AC414" i="17"/>
  <c r="Q415" i="17" s="1"/>
  <c r="AD414" i="17" l="1"/>
  <c r="AT414" i="17"/>
  <c r="AF414" i="17" l="1"/>
  <c r="AG414" i="17" s="1"/>
  <c r="K415" i="17"/>
  <c r="S415" i="17" l="1"/>
  <c r="T415" i="17" s="1"/>
  <c r="M415" i="17"/>
  <c r="N415" i="17" s="1"/>
  <c r="AU415" i="17" l="1"/>
  <c r="U415" i="17" s="1"/>
  <c r="X415" i="17"/>
  <c r="Z415" i="17" s="1"/>
  <c r="V415" i="17" l="1"/>
  <c r="W415" i="17" s="1"/>
  <c r="AE415" i="17" l="1"/>
  <c r="AV415" i="17"/>
  <c r="AA415" i="17"/>
  <c r="AB416" i="17" s="1"/>
  <c r="BK415" i="17"/>
  <c r="BH416" i="17" s="1"/>
  <c r="BI416" i="17" s="1"/>
  <c r="BG415" i="17"/>
  <c r="BD416" i="17" s="1"/>
  <c r="BE416" i="17" s="1"/>
  <c r="BF416" i="17" s="1"/>
  <c r="AC415" i="17" l="1"/>
  <c r="Q416" i="17" s="1"/>
  <c r="Y416" i="17"/>
  <c r="AD415" i="17" l="1"/>
  <c r="AT415" i="17"/>
  <c r="S416" i="17"/>
  <c r="T416" i="17" s="1"/>
  <c r="AF415" i="17" l="1"/>
  <c r="AG415" i="17" s="1"/>
  <c r="K416" i="17"/>
  <c r="M416" i="17" s="1"/>
  <c r="N416" i="17" l="1"/>
  <c r="AU416" i="17" s="1"/>
  <c r="U416" i="17" s="1"/>
  <c r="V416" i="17"/>
  <c r="X416" i="17" l="1"/>
  <c r="Z416" i="17" s="1"/>
  <c r="W416" i="17"/>
  <c r="AA416" i="17" s="1"/>
  <c r="AB417" i="17" s="1"/>
  <c r="AE416" i="17" l="1"/>
  <c r="AV416" i="17"/>
  <c r="BG416" i="17"/>
  <c r="BD417" i="17" s="1"/>
  <c r="BE417" i="17" s="1"/>
  <c r="BF417" i="17" s="1"/>
  <c r="BK416" i="17"/>
  <c r="BH417" i="17" s="1"/>
  <c r="BI417" i="17" s="1"/>
  <c r="Y417" i="17"/>
  <c r="AC416" i="17"/>
  <c r="Q417" i="17" s="1"/>
  <c r="AD416" i="17" l="1"/>
  <c r="AT416" i="17"/>
  <c r="AF416" i="17" l="1"/>
  <c r="AG416" i="17" s="1"/>
  <c r="K417" i="17"/>
  <c r="S417" i="17" l="1"/>
  <c r="T417" i="17" s="1"/>
  <c r="M417" i="17"/>
  <c r="N417" i="17" s="1"/>
  <c r="AU417" i="17" s="1"/>
  <c r="U417" i="17" s="1"/>
  <c r="V417" i="17" l="1"/>
  <c r="W417" i="17" s="1"/>
  <c r="X417" i="17"/>
  <c r="BG417" i="17" l="1"/>
  <c r="BD418" i="17" s="1"/>
  <c r="BE418" i="17" s="1"/>
  <c r="BF418" i="17" s="1"/>
  <c r="AV417" i="17"/>
  <c r="BK417" i="17"/>
  <c r="BH418" i="17" s="1"/>
  <c r="BI418" i="17" s="1"/>
  <c r="AA417" i="17"/>
  <c r="AB418" i="17" s="1"/>
  <c r="AE417" i="17"/>
  <c r="Z417" i="17"/>
  <c r="Y418" i="17" l="1"/>
  <c r="AC417" i="17"/>
  <c r="Q418" i="17" s="1"/>
  <c r="AD417" i="17" l="1"/>
  <c r="AT417" i="17"/>
  <c r="AF417" i="17" l="1"/>
  <c r="AG417" i="17" s="1"/>
  <c r="K418" i="17"/>
  <c r="S418" i="17" l="1"/>
  <c r="T418" i="17" s="1"/>
  <c r="M418" i="17"/>
  <c r="N418" i="17" s="1"/>
  <c r="X418" i="17" l="1"/>
  <c r="Z418" i="17" s="1"/>
  <c r="AU418" i="17"/>
  <c r="U418" i="17" s="1"/>
  <c r="V418" i="17" l="1"/>
  <c r="W418" i="17" s="1"/>
  <c r="BK418" i="17" l="1"/>
  <c r="BH419" i="17" s="1"/>
  <c r="BI419" i="17" s="1"/>
  <c r="AV418" i="17"/>
  <c r="AA418" i="17"/>
  <c r="AB419" i="17" s="1"/>
  <c r="BG418" i="17"/>
  <c r="BD419" i="17" s="1"/>
  <c r="BE419" i="17" s="1"/>
  <c r="BF419" i="17" s="1"/>
  <c r="AE418" i="17"/>
  <c r="AC418" i="17" l="1"/>
  <c r="Q419" i="17" s="1"/>
  <c r="Y419" i="17"/>
  <c r="AD418" i="17" l="1"/>
  <c r="AT418" i="17"/>
  <c r="AF418" i="17" l="1"/>
  <c r="AG418" i="17" s="1"/>
  <c r="K419" i="17"/>
  <c r="M419" i="17" s="1"/>
  <c r="N419" i="17" s="1"/>
  <c r="S419" i="17"/>
  <c r="T419" i="17" s="1"/>
  <c r="AU419" i="17" l="1"/>
  <c r="U419" i="17" s="1"/>
  <c r="X419" i="17"/>
  <c r="Z419" i="17" s="1"/>
  <c r="V419" i="17"/>
  <c r="W419" i="17" l="1"/>
  <c r="AE419" i="17" s="1"/>
  <c r="AA419" i="17" l="1"/>
  <c r="AB420" i="17" s="1"/>
  <c r="BK419" i="17"/>
  <c r="BH420" i="17" s="1"/>
  <c r="BI420" i="17" s="1"/>
  <c r="AV419" i="17"/>
  <c r="BG419" i="17"/>
  <c r="BD420" i="17" s="1"/>
  <c r="BE420" i="17" s="1"/>
  <c r="BF420" i="17" s="1"/>
  <c r="AC419" i="17" l="1"/>
  <c r="Q420" i="17" s="1"/>
  <c r="Y420" i="17"/>
  <c r="AT419" i="17"/>
  <c r="AD419" i="17" l="1"/>
  <c r="K420" i="17" s="1"/>
  <c r="AF419" i="17"/>
  <c r="AG419" i="17" s="1"/>
  <c r="S420" i="17"/>
  <c r="T420" i="17" s="1"/>
  <c r="M420" i="17" l="1"/>
  <c r="N420" i="17" s="1"/>
  <c r="X420" i="17" s="1"/>
  <c r="AU420" i="17" l="1"/>
  <c r="Z420" i="17"/>
  <c r="U420" i="17" l="1"/>
  <c r="V420" i="17"/>
  <c r="W420" i="17" l="1"/>
  <c r="AA420" i="17" l="1"/>
  <c r="BK420" i="17"/>
  <c r="BH421" i="17" s="1"/>
  <c r="BI421" i="17" s="1"/>
  <c r="AV420" i="17"/>
  <c r="AE420" i="17"/>
  <c r="BG420" i="17"/>
  <c r="BD421" i="17" s="1"/>
  <c r="BE421" i="17" s="1"/>
  <c r="BF421" i="17" s="1"/>
  <c r="AB421" i="17" l="1"/>
  <c r="AC420" i="17"/>
  <c r="Y421" i="17"/>
  <c r="Q421" i="17" l="1"/>
  <c r="S421" i="17" s="1"/>
  <c r="T421" i="17" s="1"/>
  <c r="AD420" i="17"/>
  <c r="K421" i="17" s="1"/>
  <c r="AT420" i="17"/>
  <c r="AF420" i="17"/>
  <c r="AG420" i="17" s="1"/>
  <c r="M421" i="17" l="1"/>
  <c r="N421" i="17" s="1"/>
  <c r="AU421" i="17" l="1"/>
  <c r="U421" i="17" s="1"/>
  <c r="X421" i="17"/>
  <c r="Z421" i="17" s="1"/>
  <c r="V421" i="17" l="1"/>
  <c r="W421" i="17" s="1"/>
  <c r="BK421" i="17" l="1"/>
  <c r="BH422" i="17" s="1"/>
  <c r="BI422" i="17" s="1"/>
  <c r="BG421" i="17"/>
  <c r="BD422" i="17" s="1"/>
  <c r="BE422" i="17" s="1"/>
  <c r="BF422" i="17" s="1"/>
  <c r="AV421" i="17"/>
  <c r="AA421" i="17"/>
  <c r="AE421" i="17"/>
  <c r="AB422" i="17" l="1"/>
  <c r="AC421" i="17"/>
  <c r="Y422" i="17"/>
  <c r="Q422" i="17" l="1"/>
  <c r="S422" i="17" s="1"/>
  <c r="T422" i="17" s="1"/>
  <c r="AD421" i="17"/>
  <c r="K422" i="17" s="1"/>
  <c r="M422" i="17" s="1"/>
  <c r="N422" i="17" s="1"/>
  <c r="AU422" i="17" s="1"/>
  <c r="U422" i="17" s="1"/>
  <c r="AT421" i="17"/>
  <c r="X422" i="17" l="1"/>
  <c r="AF421" i="17"/>
  <c r="AG421" i="17" s="1"/>
  <c r="V422" i="17"/>
  <c r="W422" i="17" s="1"/>
  <c r="Z422" i="17"/>
  <c r="BK422" i="17" l="1"/>
  <c r="BH423" i="17" s="1"/>
  <c r="BI423" i="17" s="1"/>
  <c r="AA422" i="17"/>
  <c r="AB423" i="17" s="1"/>
  <c r="AV422" i="17"/>
  <c r="BG422" i="17"/>
  <c r="BD423" i="17" s="1"/>
  <c r="BE423" i="17" s="1"/>
  <c r="BF423" i="17" s="1"/>
  <c r="AE422" i="17"/>
  <c r="Y423" i="17" l="1"/>
  <c r="AC422" i="17"/>
  <c r="Q423" i="17" s="1"/>
  <c r="AD422" i="17" l="1"/>
  <c r="AT422" i="17"/>
  <c r="AF422" i="17" l="1"/>
  <c r="AG422" i="17" s="1"/>
  <c r="K423" i="17"/>
  <c r="S423" i="17"/>
  <c r="T423" i="17" s="1"/>
  <c r="M423" i="17" l="1"/>
  <c r="N423" i="17" s="1"/>
  <c r="X423" i="17" l="1"/>
  <c r="Z423" i="17" s="1"/>
  <c r="AU423" i="17"/>
  <c r="U423" i="17" l="1"/>
  <c r="V423" i="17"/>
  <c r="W423" i="17" s="1"/>
  <c r="BG423" i="17" l="1"/>
  <c r="BD424" i="17" s="1"/>
  <c r="BE424" i="17" s="1"/>
  <c r="BF424" i="17" s="1"/>
  <c r="AA423" i="17"/>
  <c r="AB424" i="17" s="1"/>
  <c r="AV423" i="17"/>
  <c r="BK423" i="17"/>
  <c r="BH424" i="17" s="1"/>
  <c r="BI424" i="17" s="1"/>
  <c r="AE423" i="17"/>
  <c r="AC423" i="17" l="1"/>
  <c r="Q424" i="17" s="1"/>
  <c r="Y424" i="17"/>
  <c r="AD423" i="17" l="1"/>
  <c r="K424" i="17" s="1"/>
  <c r="AT423" i="17"/>
  <c r="AF423" i="17" l="1"/>
  <c r="AG423" i="17" s="1"/>
  <c r="S424" i="17"/>
  <c r="T424" i="17" s="1"/>
  <c r="M424" i="17" l="1"/>
  <c r="N424" i="17" s="1"/>
  <c r="X424" i="17" s="1"/>
  <c r="Z424" i="17" s="1"/>
  <c r="AU424" i="17" l="1"/>
  <c r="U424" i="17" l="1"/>
  <c r="V424" i="17"/>
  <c r="W424" i="17" l="1"/>
  <c r="AV424" i="17" l="1"/>
  <c r="AA424" i="17"/>
  <c r="AB425" i="17" s="1"/>
  <c r="BK424" i="17"/>
  <c r="BH425" i="17" s="1"/>
  <c r="BI425" i="17" s="1"/>
  <c r="BG424" i="17"/>
  <c r="BD425" i="17" s="1"/>
  <c r="BE425" i="17" s="1"/>
  <c r="BF425" i="17" s="1"/>
  <c r="AE424" i="17"/>
  <c r="AC424" i="17" l="1"/>
  <c r="Q425" i="17" s="1"/>
  <c r="Y425" i="17"/>
  <c r="AD424" i="17" l="1"/>
  <c r="AT424" i="17"/>
  <c r="AF424" i="17" l="1"/>
  <c r="K425" i="17"/>
  <c r="M425" i="17" s="1"/>
  <c r="N425" i="17" s="1"/>
  <c r="S425" i="17"/>
  <c r="T425" i="17" s="1"/>
  <c r="AG424" i="17"/>
  <c r="AU425" i="17" l="1"/>
  <c r="U425" i="17" s="1"/>
  <c r="X425" i="17"/>
  <c r="Z425" i="17" s="1"/>
  <c r="V425" i="17" l="1"/>
  <c r="W425" i="17" s="1"/>
  <c r="BG425" i="17" l="1"/>
  <c r="BD426" i="17" s="1"/>
  <c r="BE426" i="17" s="1"/>
  <c r="BF426" i="17" s="1"/>
  <c r="AV425" i="17"/>
  <c r="BK425" i="17"/>
  <c r="BH426" i="17" s="1"/>
  <c r="BI426" i="17" s="1"/>
  <c r="AA425" i="17"/>
  <c r="AB426" i="17" s="1"/>
  <c r="AE425" i="17"/>
  <c r="Y426" i="17" l="1"/>
  <c r="AC425" i="17"/>
  <c r="Q426" i="17" s="1"/>
  <c r="AD425" i="17" l="1"/>
  <c r="K426" i="17" s="1"/>
  <c r="AT425" i="17"/>
  <c r="M426" i="17" l="1"/>
  <c r="N426" i="17" s="1"/>
  <c r="AF425" i="17"/>
  <c r="AG425" i="17" s="1"/>
  <c r="S426" i="17" l="1"/>
  <c r="AU426" i="17"/>
  <c r="U426" i="17" s="1"/>
  <c r="T426" i="17" l="1"/>
  <c r="X426" i="17" s="1"/>
  <c r="Z426" i="17" l="1"/>
  <c r="V426" i="17"/>
  <c r="W426" i="17" s="1"/>
  <c r="BK426" i="17" l="1"/>
  <c r="BH427" i="17" s="1"/>
  <c r="BI427" i="17" s="1"/>
  <c r="AA426" i="17"/>
  <c r="AB427" i="17" s="1"/>
  <c r="AV426" i="17"/>
  <c r="BG426" i="17"/>
  <c r="BD427" i="17" s="1"/>
  <c r="BE427" i="17" s="1"/>
  <c r="BF427" i="17" s="1"/>
  <c r="AE426" i="17"/>
  <c r="Y427" i="17" l="1"/>
  <c r="AC426" i="17"/>
  <c r="Q427" i="17" s="1"/>
  <c r="AD426" i="17" l="1"/>
  <c r="AT426" i="17"/>
  <c r="AF426" i="17" l="1"/>
  <c r="AG426" i="17" s="1"/>
  <c r="K427" i="17"/>
  <c r="M427" i="17" l="1"/>
  <c r="N427" i="17" s="1"/>
  <c r="AU427" i="17" s="1"/>
  <c r="U427" i="17" s="1"/>
  <c r="S427" i="17"/>
  <c r="T427" i="17" s="1"/>
  <c r="V427" i="17" l="1"/>
  <c r="X427" i="17"/>
  <c r="Z427" i="17" s="1"/>
  <c r="W427" i="17"/>
  <c r="AA427" i="17" l="1"/>
  <c r="AB428" i="17" s="1"/>
  <c r="BK427" i="17"/>
  <c r="BH428" i="17" s="1"/>
  <c r="BI428" i="17" s="1"/>
  <c r="AV427" i="17"/>
  <c r="BG427" i="17"/>
  <c r="BD428" i="17" s="1"/>
  <c r="BE428" i="17" s="1"/>
  <c r="BF428" i="17" s="1"/>
  <c r="AE427" i="17"/>
  <c r="AC427" i="17" l="1"/>
  <c r="Q428" i="17" s="1"/>
  <c r="Y428" i="17"/>
  <c r="AD427" i="17" l="1"/>
  <c r="K428" i="17" s="1"/>
  <c r="AT427" i="17"/>
  <c r="AF427" i="17" l="1"/>
  <c r="AG427" i="17" s="1"/>
  <c r="M428" i="17"/>
  <c r="N428" i="17" s="1"/>
  <c r="S428" i="17" l="1"/>
  <c r="T428" i="17" s="1"/>
  <c r="AU428" i="17"/>
  <c r="U428" i="17" s="1"/>
  <c r="X428" i="17" l="1"/>
  <c r="Z428" i="17" s="1"/>
  <c r="V428" i="17"/>
  <c r="W428" i="17" s="1"/>
  <c r="BG428" i="17" l="1"/>
  <c r="BD429" i="17" s="1"/>
  <c r="BE429" i="17" s="1"/>
  <c r="BF429" i="17" s="1"/>
  <c r="AV428" i="17"/>
  <c r="AA428" i="17"/>
  <c r="AB429" i="17" s="1"/>
  <c r="BK428" i="17"/>
  <c r="BH429" i="17" s="1"/>
  <c r="BI429" i="17" s="1"/>
  <c r="AE428" i="17"/>
  <c r="AC428" i="17" l="1"/>
  <c r="Q429" i="17" s="1"/>
  <c r="Y429" i="17"/>
  <c r="AD428" i="17" l="1"/>
  <c r="AT428" i="17"/>
  <c r="AF428" i="17" l="1"/>
  <c r="AG428" i="17" s="1"/>
  <c r="K429" i="17"/>
  <c r="M429" i="17" l="1"/>
  <c r="N429" i="17" s="1"/>
  <c r="S429" i="17"/>
  <c r="T429" i="17" s="1"/>
  <c r="X429" i="17" l="1"/>
  <c r="Z429" i="17" s="1"/>
  <c r="AU429" i="17"/>
  <c r="U429" i="17" l="1"/>
  <c r="V429" i="17"/>
  <c r="W429" i="17" l="1"/>
  <c r="BK429" i="17" l="1"/>
  <c r="BH430" i="17" s="1"/>
  <c r="BI430" i="17" s="1"/>
  <c r="AA429" i="17"/>
  <c r="AB430" i="17" s="1"/>
  <c r="AV429" i="17"/>
  <c r="BG429" i="17"/>
  <c r="BD430" i="17" s="1"/>
  <c r="BE430" i="17" s="1"/>
  <c r="BF430" i="17" s="1"/>
  <c r="AE429" i="17"/>
  <c r="Y430" i="17" l="1"/>
  <c r="AC429" i="17"/>
  <c r="Q430" i="17" s="1"/>
  <c r="AD429" i="17" l="1"/>
  <c r="AT429" i="17"/>
  <c r="AF429" i="17" l="1"/>
  <c r="AG429" i="17" s="1"/>
  <c r="K430" i="17"/>
  <c r="M430" i="17" s="1"/>
  <c r="N430" i="17" s="1"/>
  <c r="S430" i="17"/>
  <c r="T430" i="17" s="1"/>
  <c r="X430" i="17" l="1"/>
  <c r="Z430" i="17" s="1"/>
  <c r="AU430" i="17"/>
  <c r="U430" i="17" s="1"/>
  <c r="V430" i="17" l="1"/>
  <c r="W430" i="17" s="1"/>
  <c r="BK430" i="17" l="1"/>
  <c r="BH431" i="17" s="1"/>
  <c r="BI431" i="17" s="1"/>
  <c r="AA430" i="17"/>
  <c r="AB431" i="17" s="1"/>
  <c r="AV430" i="17"/>
  <c r="BG430" i="17"/>
  <c r="BD431" i="17" s="1"/>
  <c r="BE431" i="17" s="1"/>
  <c r="BF431" i="17" s="1"/>
  <c r="AE430" i="17"/>
  <c r="Y431" i="17" l="1"/>
  <c r="AC430" i="17"/>
  <c r="Q431" i="17" s="1"/>
  <c r="AD430" i="17" l="1"/>
  <c r="AT430" i="17"/>
  <c r="AF430" i="17" l="1"/>
  <c r="AG430" i="17" s="1"/>
  <c r="K431" i="17"/>
  <c r="S431" i="17" l="1"/>
  <c r="T431" i="17" s="1"/>
  <c r="M431" i="17"/>
  <c r="N431" i="17" s="1"/>
  <c r="AU431" i="17" l="1"/>
  <c r="U431" i="17" s="1"/>
  <c r="X431" i="17"/>
  <c r="Z431" i="17" s="1"/>
  <c r="V431" i="17"/>
  <c r="W431" i="17" l="1"/>
  <c r="BK431" i="17" s="1"/>
  <c r="BH432" i="17" s="1"/>
  <c r="BI432" i="17" s="1"/>
  <c r="AE431" i="17" l="1"/>
  <c r="BG431" i="17"/>
  <c r="BD432" i="17" s="1"/>
  <c r="BE432" i="17" s="1"/>
  <c r="BF432" i="17" s="1"/>
  <c r="AV431" i="17"/>
  <c r="AA431" i="17"/>
  <c r="AB432" i="17" s="1"/>
  <c r="AC431" i="17" l="1"/>
  <c r="Q432" i="17" s="1"/>
  <c r="Y432" i="17"/>
  <c r="AT431" i="17" l="1"/>
  <c r="AD431" i="17"/>
  <c r="K432" i="17" s="1"/>
  <c r="M432" i="17" s="1"/>
  <c r="N432" i="17" s="1"/>
  <c r="S432" i="17"/>
  <c r="T432" i="17" s="1"/>
  <c r="AF431" i="17" l="1"/>
  <c r="AG431" i="17" s="1"/>
  <c r="AU432" i="17"/>
  <c r="U432" i="17" s="1"/>
  <c r="X432" i="17"/>
  <c r="Z432" i="17" s="1"/>
  <c r="V432" i="17"/>
  <c r="W432" i="17" l="1"/>
  <c r="BK432" i="17" s="1"/>
  <c r="BH433" i="17" s="1"/>
  <c r="BI433" i="17" s="1"/>
  <c r="AE432" i="17"/>
  <c r="AV432" i="17" l="1"/>
  <c r="BG432" i="17"/>
  <c r="BD433" i="17" s="1"/>
  <c r="BE433" i="17" s="1"/>
  <c r="BF433" i="17" s="1"/>
  <c r="AA432" i="17"/>
  <c r="AB433" i="17" s="1"/>
  <c r="AC432" i="17"/>
  <c r="Q433" i="17" s="1"/>
  <c r="Y433" i="17" l="1"/>
  <c r="AD432" i="17"/>
  <c r="AT432" i="17"/>
  <c r="AF432" i="17" l="1"/>
  <c r="AG432" i="17" s="1"/>
  <c r="K433" i="17"/>
  <c r="M433" i="17" s="1"/>
  <c r="N433" i="17" l="1"/>
  <c r="S433" i="17"/>
  <c r="T433" i="17" s="1"/>
  <c r="X433" i="17" l="1"/>
  <c r="Z433" i="17" s="1"/>
  <c r="AU433" i="17"/>
  <c r="U433" i="17" s="1"/>
  <c r="V433" i="17" l="1"/>
  <c r="W433" i="17" s="1"/>
  <c r="BG433" i="17" l="1"/>
  <c r="BD434" i="17" s="1"/>
  <c r="BE434" i="17" s="1"/>
  <c r="BF434" i="17" s="1"/>
  <c r="AV433" i="17"/>
  <c r="AA433" i="17"/>
  <c r="AB434" i="17" s="1"/>
  <c r="BK433" i="17"/>
  <c r="BH434" i="17" s="1"/>
  <c r="BI434" i="17" s="1"/>
  <c r="AE433" i="17"/>
  <c r="Y434" i="17" l="1"/>
  <c r="AC433" i="17"/>
  <c r="Q434" i="17" s="1"/>
  <c r="AD433" i="17" l="1"/>
  <c r="AT433" i="17"/>
  <c r="AF433" i="17" l="1"/>
  <c r="AG433" i="17" s="1"/>
  <c r="K434" i="17"/>
  <c r="M434" i="17" s="1"/>
  <c r="N434" i="17" s="1"/>
  <c r="S434" i="17"/>
  <c r="T434" i="17" s="1"/>
  <c r="AU434" i="17" l="1"/>
  <c r="U434" i="17" s="1"/>
  <c r="X434" i="17"/>
  <c r="Z434" i="17" s="1"/>
  <c r="V434" i="17" l="1"/>
  <c r="W434" i="17" s="1"/>
  <c r="BG434" i="17" l="1"/>
  <c r="BD435" i="17" s="1"/>
  <c r="BE435" i="17" s="1"/>
  <c r="BF435" i="17" s="1"/>
  <c r="BK434" i="17"/>
  <c r="BH435" i="17" s="1"/>
  <c r="BI435" i="17" s="1"/>
  <c r="AV434" i="17"/>
  <c r="AE434" i="17"/>
  <c r="AA434" i="17"/>
  <c r="AB435" i="17" s="1"/>
  <c r="AC434" i="17" l="1"/>
  <c r="Q435" i="17" s="1"/>
  <c r="Y435" i="17"/>
  <c r="AT434" i="17" l="1"/>
  <c r="AD434" i="17"/>
  <c r="AF434" i="17" s="1"/>
  <c r="AG434" i="17" s="1"/>
  <c r="S435" i="17"/>
  <c r="T435" i="17" s="1"/>
  <c r="K435" i="17" l="1"/>
  <c r="M435" i="17" l="1"/>
  <c r="H14" i="17"/>
  <c r="N435" i="17" l="1"/>
  <c r="AU435" i="17" s="1"/>
  <c r="U435" i="17" s="1"/>
  <c r="V435" i="17" l="1"/>
  <c r="W435" i="17" s="1"/>
  <c r="X435" i="17"/>
  <c r="Z435" i="17" s="1"/>
  <c r="AV435" i="17" l="1"/>
  <c r="AE435" i="17"/>
  <c r="BG435" i="17"/>
  <c r="BD436" i="17" s="1"/>
  <c r="BE436" i="17" s="1"/>
  <c r="BF436" i="17" s="1"/>
  <c r="BK435" i="17"/>
  <c r="BH436" i="17" s="1"/>
  <c r="BI436" i="17" s="1"/>
  <c r="AA435" i="17"/>
  <c r="AB436" i="17" l="1"/>
  <c r="AC435" i="17"/>
  <c r="Y436" i="17"/>
  <c r="Q436" i="17" l="1"/>
  <c r="S436" i="17" s="1"/>
  <c r="T436" i="17" s="1"/>
  <c r="AD435" i="17"/>
  <c r="AT435" i="17"/>
  <c r="K436" i="17" l="1"/>
  <c r="AF435" i="17"/>
  <c r="AG435" i="17" s="1"/>
  <c r="M436" i="17" l="1"/>
  <c r="N436" i="17" l="1"/>
  <c r="X436" i="17" s="1"/>
  <c r="Z436" i="17" s="1"/>
  <c r="AU436" i="17" l="1"/>
  <c r="U436" i="17" s="1"/>
  <c r="V436" i="17"/>
  <c r="W436" i="17" l="1"/>
  <c r="BK436" i="17" l="1"/>
  <c r="BH437" i="17" s="1"/>
  <c r="BI437" i="17" s="1"/>
  <c r="AE436" i="17"/>
  <c r="BG436" i="17"/>
  <c r="BD437" i="17" s="1"/>
  <c r="BE437" i="17" s="1"/>
  <c r="BF437" i="17" s="1"/>
  <c r="AV436" i="17"/>
  <c r="AA436" i="17"/>
  <c r="AC436" i="17" s="1"/>
  <c r="Q437" i="17" l="1"/>
  <c r="S437" i="17" s="1"/>
  <c r="T437" i="17" s="1"/>
  <c r="AT436" i="17"/>
  <c r="AD436" i="17"/>
  <c r="AB437" i="17"/>
  <c r="Y437" i="17"/>
  <c r="V437" i="17"/>
  <c r="U437" i="17"/>
  <c r="K437" i="17" l="1"/>
  <c r="AF436" i="17"/>
  <c r="AG436" i="17" s="1"/>
  <c r="W437" i="17"/>
  <c r="AV437" i="17" s="1"/>
  <c r="M437" i="17" l="1"/>
  <c r="N437" i="17" s="1"/>
  <c r="AU437" i="17" s="1"/>
  <c r="BK437" i="17"/>
  <c r="BH438" i="17" s="1"/>
  <c r="BI438" i="17" s="1"/>
  <c r="BG437" i="17"/>
  <c r="BD438" i="17" s="1"/>
  <c r="BE438" i="17" s="1"/>
  <c r="BF438" i="17" s="1"/>
  <c r="X437" i="17" l="1"/>
  <c r="Z437" i="17" s="1"/>
  <c r="AE437" i="17"/>
  <c r="AA437" i="17" l="1"/>
  <c r="Y438" i="17" s="1"/>
  <c r="AB438" i="17" l="1"/>
  <c r="AC437" i="17"/>
  <c r="AT437" i="17" l="1"/>
  <c r="AD437" i="17"/>
  <c r="K438" i="17" s="1"/>
  <c r="M438" i="17" s="1"/>
  <c r="N438" i="17" s="1"/>
  <c r="Q438" i="17"/>
  <c r="S438" i="17" s="1"/>
  <c r="T438" i="17" s="1"/>
  <c r="V438" i="17"/>
  <c r="AF437" i="17" l="1"/>
  <c r="AG437" i="17" s="1"/>
  <c r="AU438" i="17"/>
  <c r="U438" i="17" s="1"/>
  <c r="W438" i="17" s="1"/>
  <c r="BK438" i="17" s="1"/>
  <c r="BH439" i="17" s="1"/>
  <c r="BI439" i="17" s="1"/>
  <c r="X438" i="17"/>
  <c r="Z438" i="17" s="1"/>
  <c r="BG438" i="17" l="1"/>
  <c r="BD439" i="17" s="1"/>
  <c r="BE439" i="17" s="1"/>
  <c r="BF439" i="17" s="1"/>
  <c r="AA438" i="17"/>
  <c r="AB439" i="17" s="1"/>
  <c r="AV438" i="17"/>
  <c r="AE438" i="17"/>
  <c r="AC438" i="17" l="1"/>
  <c r="Q439" i="17" s="1"/>
  <c r="Y439" i="17"/>
  <c r="AT438" i="17" l="1"/>
  <c r="AD438" i="17"/>
  <c r="AF438" i="17" s="1"/>
  <c r="AG438" i="17" s="1"/>
  <c r="S439" i="17"/>
  <c r="T439" i="17" s="1"/>
  <c r="K439" i="17" l="1"/>
  <c r="M439" i="17" s="1"/>
  <c r="N439" i="17" s="1"/>
  <c r="AU439" i="17" s="1"/>
  <c r="U439" i="17" s="1"/>
  <c r="X439" i="17" l="1"/>
  <c r="Z439" i="17" s="1"/>
  <c r="V439" i="17"/>
  <c r="W439" i="17" s="1"/>
  <c r="AA439" i="17" l="1"/>
  <c r="AB440" i="17" s="1"/>
  <c r="AV439" i="17"/>
  <c r="BK439" i="17"/>
  <c r="BH440" i="17" s="1"/>
  <c r="BI440" i="17" s="1"/>
  <c r="BG439" i="17"/>
  <c r="BD440" i="17" s="1"/>
  <c r="BE440" i="17" s="1"/>
  <c r="BF440" i="17" s="1"/>
  <c r="AE439" i="17"/>
  <c r="AC439" i="17" l="1"/>
  <c r="Q440" i="17" s="1"/>
  <c r="Y440" i="17"/>
  <c r="AD439" i="17" l="1"/>
  <c r="AT439" i="17"/>
  <c r="AF439" i="17" l="1"/>
  <c r="K440" i="17"/>
  <c r="M440" i="17" s="1"/>
  <c r="N440" i="17" s="1"/>
  <c r="S440" i="17"/>
  <c r="T440" i="17" s="1"/>
  <c r="AG439" i="17"/>
  <c r="X440" i="17" l="1"/>
  <c r="Z440" i="17" s="1"/>
  <c r="AU440" i="17"/>
  <c r="U440" i="17" s="1"/>
  <c r="V440" i="17" l="1"/>
  <c r="W440" i="17" s="1"/>
  <c r="BK440" i="17" l="1"/>
  <c r="BH441" i="17" s="1"/>
  <c r="BI441" i="17" s="1"/>
  <c r="AA440" i="17"/>
  <c r="AB441" i="17" s="1"/>
  <c r="AV440" i="17"/>
  <c r="BG440" i="17"/>
  <c r="BD441" i="17" s="1"/>
  <c r="BE441" i="17" s="1"/>
  <c r="BF441" i="17" s="1"/>
  <c r="AE440" i="17"/>
  <c r="Y441" i="17" l="1"/>
  <c r="AC440" i="17"/>
  <c r="Q441" i="17" s="1"/>
  <c r="AD440" i="17" l="1"/>
  <c r="AT440" i="17"/>
  <c r="AF440" i="17" l="1"/>
  <c r="K441" i="17"/>
  <c r="M441" i="17" s="1"/>
  <c r="N441" i="17" s="1"/>
  <c r="AU441" i="17" s="1"/>
  <c r="U441" i="17" s="1"/>
  <c r="AG440" i="17"/>
  <c r="S441" i="17"/>
  <c r="T441" i="17" s="1"/>
  <c r="V441" i="17" l="1"/>
  <c r="W441" i="17" s="1"/>
  <c r="X441" i="17"/>
  <c r="Z441" i="17" s="1"/>
  <c r="BK441" i="17" l="1"/>
  <c r="BH442" i="17" s="1"/>
  <c r="BI442" i="17" s="1"/>
  <c r="AV441" i="17"/>
  <c r="BG441" i="17"/>
  <c r="BD442" i="17" s="1"/>
  <c r="BE442" i="17" s="1"/>
  <c r="BF442" i="17" s="1"/>
  <c r="AA441" i="17"/>
  <c r="AB442" i="17" s="1"/>
  <c r="AE441" i="17"/>
  <c r="Y442" i="17" l="1"/>
  <c r="AC441" i="17"/>
  <c r="Q442" i="17" s="1"/>
  <c r="AD441" i="17" l="1"/>
  <c r="AT441" i="17"/>
  <c r="AF441" i="17" l="1"/>
  <c r="AG441" i="17" s="1"/>
  <c r="K442" i="17"/>
  <c r="M442" i="17" s="1"/>
  <c r="N442" i="17" s="1"/>
  <c r="S442" i="17"/>
  <c r="T442" i="17" s="1"/>
  <c r="AU442" i="17" l="1"/>
  <c r="U442" i="17" s="1"/>
  <c r="X442" i="17"/>
  <c r="Z442" i="17" s="1"/>
  <c r="V442" i="17" l="1"/>
  <c r="W442" i="17" s="1"/>
  <c r="BG442" i="17" l="1"/>
  <c r="BD443" i="17" s="1"/>
  <c r="BE443" i="17" s="1"/>
  <c r="BF443" i="17" s="1"/>
  <c r="AA442" i="17"/>
  <c r="AV442" i="17"/>
  <c r="BK442" i="17"/>
  <c r="BH443" i="17" s="1"/>
  <c r="BI443" i="17" s="1"/>
  <c r="AE442" i="17"/>
  <c r="Y443" i="17" l="1"/>
  <c r="AB443" i="17"/>
  <c r="AC442" i="17"/>
  <c r="Q443" i="17" s="1"/>
  <c r="AD442" i="17" l="1"/>
  <c r="AF442" i="17" s="1"/>
  <c r="AG442" i="17" s="1"/>
  <c r="AT442" i="17"/>
  <c r="S443" i="17"/>
  <c r="T443" i="17" s="1"/>
  <c r="K443" i="17" l="1"/>
  <c r="M443" i="17" s="1"/>
  <c r="N443" i="17" s="1"/>
  <c r="X443" i="17" s="1"/>
  <c r="Z443" i="17" s="1"/>
  <c r="AU443" i="17" l="1"/>
  <c r="U443" i="17"/>
  <c r="V443" i="17"/>
  <c r="W443" i="17" l="1"/>
  <c r="AA443" i="17" s="1"/>
  <c r="AB444" i="17" s="1"/>
  <c r="AV443" i="17" l="1"/>
  <c r="AE443" i="17"/>
  <c r="BK443" i="17"/>
  <c r="BH444" i="17" s="1"/>
  <c r="BI444" i="17" s="1"/>
  <c r="BG443" i="17"/>
  <c r="BD444" i="17" s="1"/>
  <c r="BE444" i="17" s="1"/>
  <c r="BF444" i="17" s="1"/>
  <c r="AC443" i="17"/>
  <c r="Q444" i="17" s="1"/>
  <c r="Y444" i="17"/>
  <c r="AD443" i="17" l="1"/>
  <c r="K444" i="17" s="1"/>
  <c r="AT443" i="17"/>
  <c r="AF443" i="17" l="1"/>
  <c r="AG443" i="17" s="1"/>
  <c r="S444" i="17"/>
  <c r="T444" i="17" s="1"/>
  <c r="M444" i="17"/>
  <c r="N444" i="17" s="1"/>
  <c r="AU444" i="17" l="1"/>
  <c r="U444" i="17" s="1"/>
  <c r="V444" i="17"/>
  <c r="X444" i="17"/>
  <c r="Z444" i="17" s="1"/>
  <c r="W444" i="17" l="1"/>
  <c r="BK444" i="17" l="1"/>
  <c r="BH445" i="17" s="1"/>
  <c r="BI445" i="17" s="1"/>
  <c r="BG444" i="17"/>
  <c r="BD445" i="17" s="1"/>
  <c r="BE445" i="17" s="1"/>
  <c r="BF445" i="17" s="1"/>
  <c r="AA444" i="17"/>
  <c r="AB445" i="17" s="1"/>
  <c r="AV444" i="17"/>
  <c r="AE444" i="17"/>
  <c r="Y445" i="17" l="1"/>
  <c r="AC444" i="17"/>
  <c r="Q445" i="17" s="1"/>
  <c r="AD444" i="17" l="1"/>
  <c r="AT444" i="17"/>
  <c r="AF444" i="17" l="1"/>
  <c r="AG444" i="17" s="1"/>
  <c r="K445" i="17"/>
  <c r="M445" i="17" s="1"/>
  <c r="N445" i="17" s="1"/>
  <c r="S445" i="17"/>
  <c r="T445" i="17" s="1"/>
  <c r="AU445" i="17" l="1"/>
  <c r="U445" i="17" s="1"/>
  <c r="X445" i="17"/>
  <c r="Z445" i="17" s="1"/>
  <c r="V445" i="17" l="1"/>
  <c r="W445" i="17" s="1"/>
  <c r="AV445" i="17" s="1"/>
  <c r="AA445" i="17" l="1"/>
  <c r="AB446" i="17" s="1"/>
  <c r="AE445" i="17"/>
  <c r="BG445" i="17"/>
  <c r="BD446" i="17" s="1"/>
  <c r="BE446" i="17" s="1"/>
  <c r="BF446" i="17" s="1"/>
  <c r="BK445" i="17"/>
  <c r="BH446" i="17" s="1"/>
  <c r="BI446" i="17" s="1"/>
  <c r="AC445" i="17"/>
  <c r="Q446" i="17" s="1"/>
  <c r="Y446" i="17" l="1"/>
  <c r="AD445" i="17"/>
  <c r="AT445" i="17"/>
  <c r="AF445" i="17" l="1"/>
  <c r="AG445" i="17" s="1"/>
  <c r="K446" i="17"/>
  <c r="S446" i="17"/>
  <c r="T446" i="17" s="1"/>
  <c r="M446" i="17" l="1"/>
  <c r="N446" i="17" s="1"/>
  <c r="X446" i="17" s="1"/>
  <c r="Z446" i="17" s="1"/>
  <c r="AU446" i="17" l="1"/>
  <c r="U446" i="17" s="1"/>
  <c r="V446" i="17"/>
  <c r="W446" i="17" l="1"/>
  <c r="AV446" i="17" l="1"/>
  <c r="BK446" i="17"/>
  <c r="BH447" i="17" s="1"/>
  <c r="BI447" i="17" s="1"/>
  <c r="BG446" i="17"/>
  <c r="BD447" i="17" s="1"/>
  <c r="AA446" i="17"/>
  <c r="AB447" i="17" s="1"/>
  <c r="AE446" i="17"/>
  <c r="Y447" i="17" l="1"/>
  <c r="AC446" i="17"/>
  <c r="Q447" i="17" s="1"/>
  <c r="BE447" i="17"/>
  <c r="BF447" i="17" s="1"/>
  <c r="AD446" i="17" l="1"/>
  <c r="AT446" i="17"/>
  <c r="AF446" i="17" l="1"/>
  <c r="AG446" i="17" s="1"/>
  <c r="K447" i="17"/>
  <c r="M447" i="17" s="1"/>
  <c r="N447" i="17" s="1"/>
  <c r="S447" i="17"/>
  <c r="T447" i="17" s="1"/>
  <c r="X447" i="17" l="1"/>
  <c r="Z447" i="17" s="1"/>
  <c r="AU447" i="17"/>
  <c r="U447" i="17" s="1"/>
  <c r="V447" i="17" l="1"/>
  <c r="W447" i="17" s="1"/>
  <c r="AA447" i="17" l="1"/>
  <c r="AB448" i="17" s="1"/>
  <c r="BG447" i="17"/>
  <c r="BD448" i="17" s="1"/>
  <c r="BE448" i="17" s="1"/>
  <c r="BF448" i="17" s="1"/>
  <c r="AV447" i="17"/>
  <c r="BK447" i="17"/>
  <c r="BH448" i="17" s="1"/>
  <c r="BI448" i="17" s="1"/>
  <c r="AE447" i="17"/>
  <c r="AC447" i="17" l="1"/>
  <c r="Q448" i="17" s="1"/>
  <c r="Y448" i="17"/>
  <c r="AD447" i="17" l="1"/>
  <c r="K448" i="17" s="1"/>
  <c r="AT447" i="17"/>
  <c r="AF447" i="17" l="1"/>
  <c r="AG447" i="17" s="1"/>
  <c r="S448" i="17"/>
  <c r="T448" i="17" s="1"/>
  <c r="M448" i="17"/>
  <c r="N448" i="17" s="1"/>
  <c r="AU448" i="17" l="1"/>
  <c r="U448" i="17" s="1"/>
  <c r="X448" i="17"/>
  <c r="Z448" i="17" s="1"/>
  <c r="V448" i="17"/>
  <c r="W448" i="17" l="1"/>
  <c r="AA448" i="17" s="1"/>
  <c r="AB449" i="17" s="1"/>
  <c r="AE448" i="17"/>
  <c r="BG448" i="17" l="1"/>
  <c r="BD449" i="17" s="1"/>
  <c r="BE449" i="17" s="1"/>
  <c r="BF449" i="17" s="1"/>
  <c r="AV448" i="17"/>
  <c r="BK448" i="17"/>
  <c r="BH449" i="17" s="1"/>
  <c r="BI449" i="17" s="1"/>
  <c r="AC448" i="17"/>
  <c r="Q449" i="17" s="1"/>
  <c r="Y449" i="17"/>
  <c r="AT448" i="17" l="1"/>
  <c r="AD448" i="17"/>
  <c r="AF448" i="17" l="1"/>
  <c r="AG448" i="17" s="1"/>
  <c r="K449" i="17"/>
  <c r="S449" i="17"/>
  <c r="T449" i="17" s="1"/>
  <c r="M449" i="17" l="1"/>
  <c r="N449" i="17" s="1"/>
  <c r="X449" i="17" l="1"/>
  <c r="Z449" i="17" s="1"/>
  <c r="AU449" i="17"/>
  <c r="U449" i="17" l="1"/>
  <c r="V449" i="17"/>
  <c r="W449" i="17" l="1"/>
  <c r="BK449" i="17" s="1"/>
  <c r="BH450" i="17" s="1"/>
  <c r="BI450" i="17" s="1"/>
  <c r="AE449" i="17" l="1"/>
  <c r="BG449" i="17"/>
  <c r="BD450" i="17" s="1"/>
  <c r="BE450" i="17" s="1"/>
  <c r="BF450" i="17" s="1"/>
  <c r="AV449" i="17"/>
  <c r="AA449" i="17"/>
  <c r="AB450" i="17" s="1"/>
  <c r="AC449" i="17" l="1"/>
  <c r="Q450" i="17" s="1"/>
  <c r="Y450" i="17"/>
  <c r="AT449" i="17"/>
  <c r="AD449" i="17" l="1"/>
  <c r="K450" i="17" s="1"/>
  <c r="AF449" i="17"/>
  <c r="AG449" i="17" s="1"/>
  <c r="M450" i="17"/>
  <c r="N450" i="17" s="1"/>
  <c r="S450" i="17"/>
  <c r="T450" i="17" s="1"/>
  <c r="X450" i="17" l="1"/>
  <c r="Z450" i="17" s="1"/>
  <c r="AU450" i="17"/>
  <c r="U450" i="17" s="1"/>
  <c r="V450" i="17" l="1"/>
  <c r="W450" i="17" s="1"/>
  <c r="BK450" i="17" l="1"/>
  <c r="BH451" i="17" s="1"/>
  <c r="BI451" i="17" s="1"/>
  <c r="BG450" i="17"/>
  <c r="BD451" i="17" s="1"/>
  <c r="AV450" i="17"/>
  <c r="AA450" i="17"/>
  <c r="AB451" i="17" s="1"/>
  <c r="AE450" i="17"/>
  <c r="Y451" i="17" l="1"/>
  <c r="AC450" i="17"/>
  <c r="Q451" i="17" s="1"/>
  <c r="BE451" i="17"/>
  <c r="BF451" i="17" s="1"/>
  <c r="AD450" i="17" l="1"/>
  <c r="AT450" i="17"/>
  <c r="AF450" i="17" l="1"/>
  <c r="AG450" i="17" s="1"/>
  <c r="K451" i="17"/>
  <c r="M451" i="17" s="1"/>
  <c r="N451" i="17" s="1"/>
  <c r="S451" i="17"/>
  <c r="T451" i="17" s="1"/>
  <c r="AU451" i="17" l="1"/>
  <c r="U451" i="17" s="1"/>
  <c r="V451" i="17"/>
  <c r="X451" i="17"/>
  <c r="Z451" i="17" s="1"/>
  <c r="W451" i="17" l="1"/>
  <c r="BK451" i="17" s="1"/>
  <c r="BH452" i="17" s="1"/>
  <c r="BI452" i="17" s="1"/>
  <c r="AE451" i="17" l="1"/>
  <c r="AV451" i="17"/>
  <c r="BG451" i="17"/>
  <c r="BD452" i="17" s="1"/>
  <c r="BE452" i="17" s="1"/>
  <c r="BF452" i="17" s="1"/>
  <c r="AA451" i="17"/>
  <c r="AB452" i="17" s="1"/>
  <c r="Y452" i="17" l="1"/>
  <c r="AC451" i="17"/>
  <c r="Q452" i="17" s="1"/>
  <c r="AT451" i="17" l="1"/>
  <c r="AD451" i="17"/>
  <c r="AF451" i="17" s="1"/>
  <c r="AG451" i="17" s="1"/>
  <c r="S452" i="17"/>
  <c r="T452" i="17" s="1"/>
  <c r="K452" i="17" l="1"/>
  <c r="M452" i="17" s="1"/>
  <c r="N452" i="17" s="1"/>
  <c r="X452" i="17" s="1"/>
  <c r="Z452" i="17" s="1"/>
  <c r="AU452" i="17" l="1"/>
  <c r="U452" i="17" s="1"/>
  <c r="V452" i="17"/>
  <c r="W452" i="17" l="1"/>
  <c r="BG452" i="17" s="1"/>
  <c r="BD453" i="17" s="1"/>
  <c r="BE453" i="17" s="1"/>
  <c r="BF453" i="17" s="1"/>
  <c r="AV452" i="17"/>
  <c r="AA452" i="17"/>
  <c r="AB453" i="17" s="1"/>
  <c r="BK452" i="17"/>
  <c r="BH453" i="17" s="1"/>
  <c r="BI453" i="17" s="1"/>
  <c r="AE452" i="17"/>
  <c r="Y453" i="17" l="1"/>
  <c r="AC452" i="17"/>
  <c r="Q453" i="17" s="1"/>
  <c r="AD452" i="17" l="1"/>
  <c r="AT452" i="17"/>
  <c r="AF452" i="17" l="1"/>
  <c r="AG452" i="17" s="1"/>
  <c r="K453" i="17"/>
  <c r="S453" i="17" l="1"/>
  <c r="T453" i="17" s="1"/>
  <c r="M453" i="17"/>
  <c r="N453" i="17" s="1"/>
  <c r="AU453" i="17" l="1"/>
  <c r="U453" i="17" s="1"/>
  <c r="X453" i="17"/>
  <c r="V453" i="17" l="1"/>
  <c r="W453" i="17" s="1"/>
  <c r="Z453" i="17"/>
  <c r="AA453" i="17" l="1"/>
  <c r="AB454" i="17" s="1"/>
  <c r="AE453" i="17"/>
  <c r="BG453" i="17"/>
  <c r="BD454" i="17" s="1"/>
  <c r="BE454" i="17" s="1"/>
  <c r="BF454" i="17" s="1"/>
  <c r="BK453" i="17"/>
  <c r="BH454" i="17" s="1"/>
  <c r="BI454" i="17" s="1"/>
  <c r="AV453" i="17"/>
  <c r="Y454" i="17" l="1"/>
  <c r="AC453" i="17"/>
  <c r="Q454" i="17" s="1"/>
  <c r="AT453" i="17" l="1"/>
  <c r="AD453" i="17"/>
  <c r="AF453" i="17" s="1"/>
  <c r="AG453" i="17" s="1"/>
  <c r="S454" i="17"/>
  <c r="T454" i="17" s="1"/>
  <c r="K454" i="17" l="1"/>
  <c r="M454" i="17" s="1"/>
  <c r="N454" i="17" s="1"/>
  <c r="X454" i="17" l="1"/>
  <c r="Z454" i="17" s="1"/>
  <c r="AU454" i="17"/>
  <c r="U454" i="17" s="1"/>
  <c r="V454" i="17" l="1"/>
  <c r="W454" i="17" s="1"/>
  <c r="AA454" i="17" l="1"/>
  <c r="AB455" i="17" s="1"/>
  <c r="BG454" i="17"/>
  <c r="BD455" i="17" s="1"/>
  <c r="AV454" i="17"/>
  <c r="BK454" i="17"/>
  <c r="BH455" i="17" s="1"/>
  <c r="BI455" i="17" s="1"/>
  <c r="AE454" i="17"/>
  <c r="BE455" i="17" l="1"/>
  <c r="BF455" i="17" s="1"/>
  <c r="AC454" i="17"/>
  <c r="Q455" i="17" s="1"/>
  <c r="Y455" i="17"/>
  <c r="AD454" i="17" l="1"/>
  <c r="AT454" i="17"/>
  <c r="AF454" i="17" l="1"/>
  <c r="AG454" i="17" s="1"/>
  <c r="K455" i="17"/>
  <c r="S455" i="17" l="1"/>
  <c r="T455" i="17" s="1"/>
  <c r="M455" i="17"/>
  <c r="N455" i="17" s="1"/>
  <c r="AU455" i="17" l="1"/>
  <c r="U455" i="17" s="1"/>
  <c r="V455" i="17"/>
  <c r="X455" i="17"/>
  <c r="Z455" i="17" s="1"/>
  <c r="W455" i="17" l="1"/>
  <c r="BK455" i="17" l="1"/>
  <c r="BH456" i="17" s="1"/>
  <c r="BI456" i="17" s="1"/>
  <c r="AV455" i="17"/>
  <c r="BG455" i="17"/>
  <c r="BD456" i="17" s="1"/>
  <c r="BE456" i="17" s="1"/>
  <c r="BF456" i="17" s="1"/>
  <c r="AA455" i="17"/>
  <c r="AB456" i="17" s="1"/>
  <c r="AE455" i="17"/>
  <c r="AC455" i="17" l="1"/>
  <c r="Q456" i="17" s="1"/>
  <c r="Y456" i="17"/>
  <c r="AD455" i="17" l="1"/>
  <c r="AT455" i="17"/>
  <c r="AF455" i="17" l="1"/>
  <c r="AG455" i="17" s="1"/>
  <c r="K456" i="17"/>
  <c r="M456" i="17" s="1"/>
  <c r="N456" i="17" s="1"/>
  <c r="S456" i="17"/>
  <c r="T456" i="17" s="1"/>
  <c r="X456" i="17" l="1"/>
  <c r="Z456" i="17" s="1"/>
  <c r="AU456" i="17"/>
  <c r="U456" i="17" l="1"/>
  <c r="V456" i="17"/>
  <c r="W456" i="17" l="1"/>
  <c r="AV456" i="17" l="1"/>
  <c r="BG456" i="17"/>
  <c r="BD457" i="17" s="1"/>
  <c r="BE457" i="17" s="1"/>
  <c r="BF457" i="17" s="1"/>
  <c r="AA456" i="17"/>
  <c r="AB457" i="17" s="1"/>
  <c r="BK456" i="17"/>
  <c r="BH457" i="17" s="1"/>
  <c r="BI457" i="17" s="1"/>
  <c r="AE456" i="17"/>
  <c r="Y457" i="17" l="1"/>
  <c r="AC456" i="17"/>
  <c r="Q457" i="17" s="1"/>
  <c r="AD456" i="17" l="1"/>
  <c r="K457" i="17" s="1"/>
  <c r="AT456" i="17"/>
  <c r="S457" i="17" l="1"/>
  <c r="T457" i="17" s="1"/>
  <c r="AF456" i="17"/>
  <c r="AG456" i="17" s="1"/>
  <c r="M457" i="17" l="1"/>
  <c r="N457" i="17" s="1"/>
  <c r="X457" i="17" s="1"/>
  <c r="AU457" i="17" l="1"/>
  <c r="U457" i="17" s="1"/>
  <c r="Z457" i="17"/>
  <c r="V457" i="17"/>
  <c r="W457" i="17" l="1"/>
  <c r="AA457" i="17" s="1"/>
  <c r="AB458" i="17" s="1"/>
  <c r="AE457" i="17" l="1"/>
  <c r="AV457" i="17"/>
  <c r="BK457" i="17"/>
  <c r="BH458" i="17" s="1"/>
  <c r="BI458" i="17" s="1"/>
  <c r="BG457" i="17"/>
  <c r="BD458" i="17" s="1"/>
  <c r="BE458" i="17" s="1"/>
  <c r="BF458" i="17" s="1"/>
  <c r="Y458" i="17"/>
  <c r="AC457" i="17"/>
  <c r="Q458" i="17" s="1"/>
  <c r="AD457" i="17" l="1"/>
  <c r="AT457" i="17"/>
  <c r="AF457" i="17" l="1"/>
  <c r="AG457" i="17" s="1"/>
  <c r="K458" i="17"/>
  <c r="M458" i="17" s="1"/>
  <c r="N458" i="17" s="1"/>
  <c r="S458" i="17"/>
  <c r="T458" i="17" s="1"/>
  <c r="X458" i="17" l="1"/>
  <c r="AC458" i="17" s="1"/>
  <c r="AU458" i="17"/>
  <c r="U458" i="17" s="1"/>
  <c r="V458" i="17"/>
  <c r="Z458" i="17" l="1"/>
  <c r="Q459" i="17" s="1"/>
  <c r="W458" i="17"/>
  <c r="AV458" i="17" l="1"/>
  <c r="AA458" i="17"/>
  <c r="AB459" i="17" s="1"/>
  <c r="BK458" i="17"/>
  <c r="BH459" i="17" s="1"/>
  <c r="BI459" i="17" s="1"/>
  <c r="BG458" i="17"/>
  <c r="BD459" i="17" s="1"/>
  <c r="BE459" i="17" s="1"/>
  <c r="BF459" i="17" s="1"/>
  <c r="AE458" i="17"/>
  <c r="AT458" i="17"/>
  <c r="Y459" i="17" l="1"/>
  <c r="AD458" i="17"/>
  <c r="K459" i="17" s="1"/>
  <c r="AF458" i="17" l="1"/>
  <c r="S459" i="17" l="1"/>
  <c r="T459" i="17" s="1"/>
  <c r="M459" i="17"/>
  <c r="N459" i="17" s="1"/>
  <c r="AU459" i="17" l="1"/>
  <c r="U459" i="17" s="1"/>
  <c r="X459" i="17"/>
  <c r="Z459" i="17" s="1"/>
  <c r="V459" i="17" l="1"/>
  <c r="W459" i="17" s="1"/>
  <c r="BG459" i="17" l="1"/>
  <c r="BD460" i="17" s="1"/>
  <c r="BE460" i="17" s="1"/>
  <c r="BF460" i="17" s="1"/>
  <c r="BK459" i="17"/>
  <c r="BH460" i="17" s="1"/>
  <c r="BI460" i="17" s="1"/>
  <c r="AV459" i="17"/>
  <c r="AA459" i="17"/>
  <c r="AB460" i="17" s="1"/>
  <c r="AE459" i="17"/>
  <c r="Y460" i="17" l="1"/>
  <c r="AC459" i="17"/>
  <c r="Q460" i="17" s="1"/>
  <c r="AD459" i="17" l="1"/>
  <c r="AT459" i="17"/>
  <c r="AF459" i="17" l="1"/>
  <c r="AG459" i="17" s="1"/>
  <c r="K460" i="17"/>
  <c r="M460" i="17" s="1"/>
  <c r="N460" i="17" s="1"/>
  <c r="S460" i="17"/>
  <c r="T460" i="17" s="1"/>
  <c r="AU460" i="17" l="1"/>
  <c r="U460" i="17" s="1"/>
  <c r="X460" i="17"/>
  <c r="V460" i="17" l="1"/>
  <c r="W460" i="17" s="1"/>
  <c r="Z460" i="17"/>
  <c r="AV460" i="17" l="1"/>
  <c r="BK460" i="17"/>
  <c r="BH461" i="17" s="1"/>
  <c r="BI461" i="17" s="1"/>
  <c r="AA460" i="17"/>
  <c r="AB461" i="17" s="1"/>
  <c r="BG460" i="17"/>
  <c r="BD461" i="17" s="1"/>
  <c r="BE461" i="17" s="1"/>
  <c r="BF461" i="17" s="1"/>
  <c r="AE460" i="17"/>
  <c r="AC460" i="17" l="1"/>
  <c r="Q461" i="17" s="1"/>
  <c r="Y461" i="17"/>
  <c r="AD460" i="17" l="1"/>
  <c r="AT460" i="17"/>
  <c r="AF460" i="17" l="1"/>
  <c r="K461" i="17"/>
  <c r="M461" i="17" s="1"/>
  <c r="N461" i="17" s="1"/>
  <c r="S461" i="17"/>
  <c r="T461" i="17" s="1"/>
  <c r="AG460" i="17"/>
  <c r="AU461" i="17" l="1"/>
  <c r="U461" i="17" s="1"/>
  <c r="X461" i="17"/>
  <c r="Z461" i="17" s="1"/>
  <c r="V461" i="17"/>
  <c r="W461" i="17" l="1"/>
  <c r="AE461" i="17" s="1"/>
  <c r="BG461" i="17" l="1"/>
  <c r="BD462" i="17" s="1"/>
  <c r="BE462" i="17" s="1"/>
  <c r="BF462" i="17" s="1"/>
  <c r="AV461" i="17"/>
  <c r="AA461" i="17"/>
  <c r="AB462" i="17" s="1"/>
  <c r="BK461" i="17"/>
  <c r="BH462" i="17" s="1"/>
  <c r="BI462" i="17" s="1"/>
  <c r="AC461" i="17" l="1"/>
  <c r="Q462" i="17" s="1"/>
  <c r="Y462" i="17"/>
  <c r="AD461" i="17" l="1"/>
  <c r="K462" i="17" s="1"/>
  <c r="AT461" i="17"/>
  <c r="AF461" i="17"/>
  <c r="AG461" i="17" s="1"/>
  <c r="S462" i="17"/>
  <c r="T462" i="17" s="1"/>
  <c r="M462" i="17"/>
  <c r="N462" i="17" s="1"/>
  <c r="AU462" i="17" l="1"/>
  <c r="U462" i="17" s="1"/>
  <c r="V462" i="17"/>
  <c r="X462" i="17"/>
  <c r="W462" i="17" l="1"/>
  <c r="AV462" i="17" s="1"/>
  <c r="Z462" i="17"/>
  <c r="AE462" i="17" l="1"/>
  <c r="BG462" i="17"/>
  <c r="BD463" i="17" s="1"/>
  <c r="BE463" i="17" s="1"/>
  <c r="BF463" i="17" s="1"/>
  <c r="BK462" i="17"/>
  <c r="BH463" i="17" s="1"/>
  <c r="BI463" i="17" s="1"/>
  <c r="AA462" i="17"/>
  <c r="AB463" i="17" s="1"/>
  <c r="Y463" i="17" l="1"/>
  <c r="AC462" i="17"/>
  <c r="Q463" i="17" s="1"/>
  <c r="AT462" i="17" l="1"/>
  <c r="AD462" i="17"/>
  <c r="AF462" i="17" s="1"/>
  <c r="AG462" i="17" s="1"/>
  <c r="S463" i="17"/>
  <c r="K463" i="17" l="1"/>
  <c r="M463" i="17" s="1"/>
  <c r="N463" i="17" s="1"/>
  <c r="AU463" i="17" s="1"/>
  <c r="T463" i="17"/>
  <c r="X463" i="17" l="1"/>
  <c r="Z463" i="17" s="1"/>
  <c r="U463" i="17"/>
  <c r="V463" i="17"/>
  <c r="W463" i="17" l="1"/>
  <c r="AV463" i="17" s="1"/>
  <c r="AA463" i="17" l="1"/>
  <c r="AB464" i="17" s="1"/>
  <c r="AE463" i="17"/>
  <c r="BK463" i="17"/>
  <c r="BH464" i="17" s="1"/>
  <c r="BI464" i="17" s="1"/>
  <c r="BG463" i="17"/>
  <c r="BD464" i="17" s="1"/>
  <c r="BE464" i="17" s="1"/>
  <c r="BF464" i="17" s="1"/>
  <c r="Y464" i="17"/>
  <c r="AC463" i="17" l="1"/>
  <c r="Q464" i="17" s="1"/>
  <c r="AT463" i="17" l="1"/>
  <c r="AD463" i="17"/>
  <c r="K464" i="17" s="1"/>
  <c r="M464" i="17" s="1"/>
  <c r="N464" i="17" s="1"/>
  <c r="S464" i="17"/>
  <c r="T464" i="17" s="1"/>
  <c r="AF463" i="17"/>
  <c r="AG463" i="17" s="1"/>
  <c r="AU464" i="17" l="1"/>
  <c r="U464" i="17" s="1"/>
  <c r="X464" i="17"/>
  <c r="Z464" i="17" s="1"/>
  <c r="V464" i="17" l="1"/>
  <c r="W464" i="17" s="1"/>
  <c r="AV464" i="17" l="1"/>
  <c r="AA464" i="17"/>
  <c r="AB465" i="17" s="1"/>
  <c r="BG464" i="17"/>
  <c r="BD465" i="17" s="1"/>
  <c r="BE465" i="17" s="1"/>
  <c r="BF465" i="17" s="1"/>
  <c r="BK464" i="17"/>
  <c r="BH465" i="17" s="1"/>
  <c r="BI465" i="17" s="1"/>
  <c r="AE464" i="17"/>
  <c r="Y465" i="17" l="1"/>
  <c r="AC464" i="17"/>
  <c r="Q465" i="17" s="1"/>
  <c r="AD464" i="17" l="1"/>
  <c r="K465" i="17" s="1"/>
  <c r="AT464" i="17"/>
  <c r="S465" i="17" l="1"/>
  <c r="T465" i="17" s="1"/>
  <c r="AF464" i="17"/>
  <c r="AG464" i="17" s="1"/>
  <c r="M465" i="17" l="1"/>
  <c r="N465" i="17" s="1"/>
  <c r="X465" i="17" s="1"/>
  <c r="AU465" i="17" l="1"/>
  <c r="U465" i="17" s="1"/>
  <c r="Z465" i="17"/>
  <c r="V465" i="17" l="1"/>
  <c r="W465" i="17" s="1"/>
  <c r="BG465" i="17" s="1"/>
  <c r="BD466" i="17" s="1"/>
  <c r="BE466" i="17" s="1"/>
  <c r="BF466" i="17" s="1"/>
  <c r="AE465" i="17" l="1"/>
  <c r="BK465" i="17"/>
  <c r="BH466" i="17" s="1"/>
  <c r="BI466" i="17" s="1"/>
  <c r="AA465" i="17"/>
  <c r="AB466" i="17" s="1"/>
  <c r="AV465" i="17"/>
  <c r="Y466" i="17" l="1"/>
  <c r="AC465" i="17"/>
  <c r="Q466" i="17" s="1"/>
  <c r="AT465" i="17" l="1"/>
  <c r="AD465" i="17"/>
  <c r="AF465" i="17" s="1"/>
  <c r="AG465" i="17" s="1"/>
  <c r="S466" i="17"/>
  <c r="T466" i="17" s="1"/>
  <c r="K466" i="17" l="1"/>
  <c r="M466" i="17" s="1"/>
  <c r="N466" i="17" s="1"/>
  <c r="X466" i="17" l="1"/>
  <c r="Z466" i="17" s="1"/>
  <c r="AU466" i="17"/>
  <c r="U466" i="17" s="1"/>
  <c r="V466" i="17"/>
  <c r="W466" i="17" l="1"/>
  <c r="AV466" i="17" s="1"/>
  <c r="AE466" i="17"/>
  <c r="BK466" i="17" l="1"/>
  <c r="BH467" i="17" s="1"/>
  <c r="BI467" i="17" s="1"/>
  <c r="AA466" i="17"/>
  <c r="AB467" i="17" s="1"/>
  <c r="BG466" i="17"/>
  <c r="BD467" i="17" s="1"/>
  <c r="BE467" i="17" s="1"/>
  <c r="BF467" i="17" s="1"/>
  <c r="Y467" i="17"/>
  <c r="AC466" i="17" l="1"/>
  <c r="Q467" i="17" s="1"/>
  <c r="AT466" i="17" l="1"/>
  <c r="AD466" i="17"/>
  <c r="AF466" i="17" s="1"/>
  <c r="AG466" i="17" s="1"/>
  <c r="K467" i="17"/>
  <c r="S467" i="17" l="1"/>
  <c r="T467" i="17" s="1"/>
  <c r="M467" i="17"/>
  <c r="N467" i="17" s="1"/>
  <c r="AU467" i="17" l="1"/>
  <c r="U467" i="17" s="1"/>
  <c r="X467" i="17"/>
  <c r="Z467" i="17" s="1"/>
  <c r="V467" i="17" l="1"/>
  <c r="W467" i="17" s="1"/>
  <c r="AV467" i="17" l="1"/>
  <c r="BG467" i="17"/>
  <c r="BD468" i="17" s="1"/>
  <c r="BE468" i="17" s="1"/>
  <c r="BF468" i="17" s="1"/>
  <c r="BK467" i="17"/>
  <c r="BH468" i="17" s="1"/>
  <c r="BI468" i="17" s="1"/>
  <c r="AA467" i="17"/>
  <c r="AB468" i="17" s="1"/>
  <c r="AE467" i="17"/>
  <c r="AC467" i="17" l="1"/>
  <c r="Q468" i="17" s="1"/>
  <c r="Y468" i="17"/>
  <c r="AD467" i="17" l="1"/>
  <c r="AT467" i="17"/>
  <c r="AF467" i="17" l="1"/>
  <c r="AG467" i="17" s="1"/>
  <c r="K468" i="17"/>
  <c r="S468" i="17"/>
  <c r="T468" i="17" s="1"/>
  <c r="M468" i="17" l="1"/>
  <c r="N468" i="17" s="1"/>
  <c r="X468" i="17" l="1"/>
  <c r="AU468" i="17"/>
  <c r="U468" i="17" s="1"/>
  <c r="Z468" i="17" l="1"/>
  <c r="V468" i="17"/>
  <c r="W468" i="17" s="1"/>
  <c r="AA468" i="17" l="1"/>
  <c r="AB469" i="17" s="1"/>
  <c r="AV468" i="17"/>
  <c r="BK468" i="17"/>
  <c r="BH469" i="17" s="1"/>
  <c r="BI469" i="17" s="1"/>
  <c r="BG468" i="17"/>
  <c r="BD469" i="17" s="1"/>
  <c r="AE468" i="17"/>
  <c r="BE469" i="17" l="1"/>
  <c r="BF469" i="17" s="1"/>
  <c r="Y469" i="17"/>
  <c r="AC468" i="17"/>
  <c r="Q469" i="17" s="1"/>
  <c r="AD468" i="17" l="1"/>
  <c r="AT468" i="17"/>
  <c r="AF468" i="17" l="1"/>
  <c r="AG468" i="17" s="1"/>
  <c r="K469" i="17"/>
  <c r="S469" i="17"/>
  <c r="T469" i="17" s="1"/>
  <c r="M469" i="17" l="1"/>
  <c r="N469" i="17" s="1"/>
  <c r="X469" i="17" s="1"/>
  <c r="Z469" i="17" s="1"/>
  <c r="AU469" i="17" l="1"/>
  <c r="U469" i="17" s="1"/>
  <c r="V469" i="17" l="1"/>
  <c r="W469" i="17" s="1"/>
  <c r="BG469" i="17" s="1"/>
  <c r="BD470" i="17" s="1"/>
  <c r="BE470" i="17" s="1"/>
  <c r="BF470" i="17" s="1"/>
  <c r="AV469" i="17" l="1"/>
  <c r="BK469" i="17"/>
  <c r="BH470" i="17" s="1"/>
  <c r="BI470" i="17" s="1"/>
  <c r="AA469" i="17"/>
  <c r="AB470" i="17" s="1"/>
  <c r="AE469" i="17"/>
  <c r="AC469" i="17" l="1"/>
  <c r="Q470" i="17" s="1"/>
  <c r="Y470" i="17"/>
  <c r="AT469" i="17" l="1"/>
  <c r="AD469" i="17"/>
  <c r="AF469" i="17" s="1"/>
  <c r="AG469" i="17" s="1"/>
  <c r="S470" i="17"/>
  <c r="T470" i="17" s="1"/>
  <c r="K470" i="17" l="1"/>
  <c r="M470" i="17" s="1"/>
  <c r="N470" i="17" s="1"/>
  <c r="X470" i="17" s="1"/>
  <c r="Z470" i="17" s="1"/>
  <c r="V470" i="17"/>
  <c r="AU470" i="17" l="1"/>
  <c r="U470" i="17" s="1"/>
  <c r="W470" i="17" s="1"/>
  <c r="AA470" i="17" s="1"/>
  <c r="AB471" i="17" s="1"/>
  <c r="AE470" i="17" l="1"/>
  <c r="BG470" i="17"/>
  <c r="BD471" i="17" s="1"/>
  <c r="BE471" i="17" s="1"/>
  <c r="BF471" i="17" s="1"/>
  <c r="BK470" i="17"/>
  <c r="BH471" i="17" s="1"/>
  <c r="BI471" i="17" s="1"/>
  <c r="AV470" i="17"/>
  <c r="Y471" i="17"/>
  <c r="AC470" i="17"/>
  <c r="Q471" i="17" s="1"/>
  <c r="AD470" i="17" l="1"/>
  <c r="AT470" i="17"/>
  <c r="AF470" i="17" l="1"/>
  <c r="AG470" i="17" s="1"/>
  <c r="K471" i="17"/>
  <c r="M471" i="17" l="1"/>
  <c r="N471" i="17" s="1"/>
  <c r="S471" i="17"/>
  <c r="T471" i="17" s="1"/>
  <c r="X471" i="17" l="1"/>
  <c r="Z471" i="17" s="1"/>
  <c r="AU471" i="17"/>
  <c r="U471" i="17" s="1"/>
  <c r="V471" i="17"/>
  <c r="W471" i="17" l="1"/>
  <c r="BG471" i="17" s="1"/>
  <c r="BD472" i="17" s="1"/>
  <c r="BE472" i="17" s="1"/>
  <c r="BF472" i="17" s="1"/>
  <c r="AE471" i="17" l="1"/>
  <c r="BK471" i="17"/>
  <c r="BH472" i="17" s="1"/>
  <c r="BI472" i="17" s="1"/>
  <c r="AV471" i="17"/>
  <c r="AA471" i="17"/>
  <c r="AB472" i="17" s="1"/>
  <c r="Y472" i="17" l="1"/>
  <c r="AC471" i="17"/>
  <c r="Q472" i="17" s="1"/>
  <c r="AT471" i="17" l="1"/>
  <c r="AD471" i="17"/>
  <c r="K472" i="17" s="1"/>
  <c r="M472" i="17" s="1"/>
  <c r="N472" i="17" s="1"/>
  <c r="AF471" i="17" l="1"/>
  <c r="AG471" i="17" s="1"/>
  <c r="S472" i="17"/>
  <c r="T472" i="17" s="1"/>
  <c r="AU472" i="17"/>
  <c r="U472" i="17" s="1"/>
  <c r="X472" i="17" l="1"/>
  <c r="V472" i="17"/>
  <c r="W472" i="17" s="1"/>
  <c r="AA472" i="17" l="1"/>
  <c r="AB473" i="17" s="1"/>
  <c r="BK472" i="17"/>
  <c r="BH473" i="17" s="1"/>
  <c r="BI473" i="17" s="1"/>
  <c r="BG472" i="17"/>
  <c r="BD473" i="17" s="1"/>
  <c r="BE473" i="17" s="1"/>
  <c r="BF473" i="17" s="1"/>
  <c r="AV472" i="17"/>
  <c r="AE472" i="17"/>
  <c r="Z472" i="17"/>
  <c r="Y473" i="17" l="1"/>
  <c r="AC472" i="17"/>
  <c r="Q473" i="17" s="1"/>
  <c r="AT472" i="17" l="1"/>
  <c r="AD472" i="17"/>
  <c r="AF472" i="17" l="1"/>
  <c r="AG472" i="17" s="1"/>
  <c r="K473" i="17"/>
  <c r="M473" i="17" l="1"/>
  <c r="N473" i="17" s="1"/>
  <c r="AU473" i="17" s="1"/>
  <c r="U473" i="17" s="1"/>
  <c r="S473" i="17"/>
  <c r="T473" i="17" s="1"/>
  <c r="X473" i="17" l="1"/>
  <c r="Z473" i="17" s="1"/>
  <c r="V473" i="17"/>
  <c r="W473" i="17" s="1"/>
  <c r="BK473" i="17" l="1"/>
  <c r="BH474" i="17" s="1"/>
  <c r="BI474" i="17" s="1"/>
  <c r="AV473" i="17"/>
  <c r="AA473" i="17"/>
  <c r="AB474" i="17" s="1"/>
  <c r="BG473" i="17"/>
  <c r="BD474" i="17" s="1"/>
  <c r="BE474" i="17" s="1"/>
  <c r="BF474" i="17" s="1"/>
  <c r="AE473" i="17"/>
  <c r="AC473" i="17" l="1"/>
  <c r="Q474" i="17" s="1"/>
  <c r="Y474" i="17"/>
  <c r="AD473" i="17" l="1"/>
  <c r="AT473" i="17"/>
  <c r="AF473" i="17" l="1"/>
  <c r="AG473" i="17" s="1"/>
  <c r="K474" i="17"/>
  <c r="S474" i="17"/>
  <c r="T474" i="17" s="1"/>
  <c r="M474" i="17" l="1"/>
  <c r="N474" i="17" s="1"/>
  <c r="X474" i="17" s="1"/>
  <c r="Z474" i="17" l="1"/>
  <c r="AU474" i="17"/>
  <c r="U474" i="17" l="1"/>
  <c r="V474" i="17"/>
  <c r="W474" i="17" l="1"/>
  <c r="BG474" i="17" s="1"/>
  <c r="BD475" i="17" s="1"/>
  <c r="BE475" i="17" s="1"/>
  <c r="BF475" i="17" s="1"/>
  <c r="AE474" i="17" l="1"/>
  <c r="AV474" i="17"/>
  <c r="AA474" i="17"/>
  <c r="AB475" i="17" s="1"/>
  <c r="BK474" i="17"/>
  <c r="BH475" i="17" s="1"/>
  <c r="BI475" i="17" s="1"/>
  <c r="AC474" i="17" l="1"/>
  <c r="Q475" i="17" s="1"/>
  <c r="Y475" i="17"/>
  <c r="AT474" i="17"/>
  <c r="AD474" i="17" l="1"/>
  <c r="AF474" i="17" s="1"/>
  <c r="AG474" i="17" s="1"/>
  <c r="K475" i="17"/>
  <c r="M475" i="17" s="1"/>
  <c r="S475" i="17"/>
  <c r="T475" i="17" s="1"/>
  <c r="N475" i="17" l="1"/>
  <c r="AU475" i="17" s="1"/>
  <c r="X475" i="17" l="1"/>
  <c r="Z475" i="17" s="1"/>
  <c r="U475" i="17"/>
  <c r="V475" i="17"/>
  <c r="W475" i="17" l="1"/>
  <c r="AA475" i="17" s="1"/>
  <c r="AV475" i="17"/>
  <c r="AE475" i="17" l="1"/>
  <c r="BK475" i="17"/>
  <c r="BH476" i="17" s="1"/>
  <c r="BI476" i="17" s="1"/>
  <c r="BG475" i="17"/>
  <c r="BD476" i="17" s="1"/>
  <c r="BE476" i="17" s="1"/>
  <c r="BF476" i="17" s="1"/>
  <c r="AB476" i="17"/>
  <c r="Y476" i="17"/>
  <c r="AC475" i="17"/>
  <c r="Q476" i="17" s="1"/>
  <c r="AD475" i="17" l="1"/>
  <c r="K476" i="17" s="1"/>
  <c r="AT475" i="17"/>
  <c r="M476" i="17"/>
  <c r="N476" i="17" s="1"/>
  <c r="AF475" i="17"/>
  <c r="AG475" i="17" s="1"/>
  <c r="S476" i="17" l="1"/>
  <c r="T476" i="17" s="1"/>
  <c r="AU476" i="17"/>
  <c r="U476" i="17" s="1"/>
  <c r="X476" i="17" l="1"/>
  <c r="V476" i="17"/>
  <c r="W476" i="17" s="1"/>
  <c r="BK476" i="17" l="1"/>
  <c r="BH477" i="17" s="1"/>
  <c r="BI477" i="17" s="1"/>
  <c r="AV476" i="17"/>
  <c r="AA476" i="17"/>
  <c r="AB477" i="17" s="1"/>
  <c r="BG476" i="17"/>
  <c r="BD477" i="17" s="1"/>
  <c r="BE477" i="17" s="1"/>
  <c r="BF477" i="17" s="1"/>
  <c r="AE476" i="17"/>
  <c r="Z476" i="17"/>
  <c r="Y477" i="17" l="1"/>
  <c r="AC476" i="17"/>
  <c r="Q477" i="17" s="1"/>
  <c r="AD476" i="17" l="1"/>
  <c r="AT476" i="17"/>
  <c r="AF476" i="17" l="1"/>
  <c r="AG476" i="17" s="1"/>
  <c r="K477" i="17"/>
  <c r="S477" i="17"/>
  <c r="T477" i="17" s="1"/>
  <c r="M477" i="17" l="1"/>
  <c r="N477" i="17" s="1"/>
  <c r="X477" i="17" s="1"/>
  <c r="Z477" i="17" s="1"/>
  <c r="AU477" i="17" l="1"/>
  <c r="V477" i="17" l="1"/>
  <c r="U477" i="17"/>
  <c r="W477" i="17" l="1"/>
  <c r="AV477" i="17" l="1"/>
  <c r="BG477" i="17"/>
  <c r="BD478" i="17" s="1"/>
  <c r="BE478" i="17" s="1"/>
  <c r="BF478" i="17" s="1"/>
  <c r="BK477" i="17"/>
  <c r="BH478" i="17" s="1"/>
  <c r="BI478" i="17" s="1"/>
  <c r="AA477" i="17"/>
  <c r="AB478" i="17" s="1"/>
  <c r="AE477" i="17"/>
  <c r="Y478" i="17" l="1"/>
  <c r="AC477" i="17"/>
  <c r="Q478" i="17" s="1"/>
  <c r="AD477" i="17" l="1"/>
  <c r="K478" i="17" s="1"/>
  <c r="AT477" i="17"/>
  <c r="S478" i="17" l="1"/>
  <c r="T478" i="17" s="1"/>
  <c r="AF477" i="17"/>
  <c r="AG477" i="17" s="1"/>
  <c r="M478" i="17" l="1"/>
  <c r="N478" i="17" l="1"/>
  <c r="X478" i="17" s="1"/>
  <c r="Z478" i="17" l="1"/>
  <c r="AU478" i="17"/>
  <c r="V478" i="17" s="1"/>
  <c r="U478" i="17" l="1"/>
  <c r="W478" i="17" s="1"/>
  <c r="BK478" i="17" l="1"/>
  <c r="BH479" i="17" s="1"/>
  <c r="BI479" i="17" s="1"/>
  <c r="AA478" i="17"/>
  <c r="AB479" i="17" s="1"/>
  <c r="BG478" i="17"/>
  <c r="BD479" i="17" s="1"/>
  <c r="BE479" i="17" s="1"/>
  <c r="BF479" i="17" s="1"/>
  <c r="AV478" i="17"/>
  <c r="AE478" i="17"/>
  <c r="AC478" i="17" l="1"/>
  <c r="Q479" i="17" s="1"/>
  <c r="Y479" i="17"/>
  <c r="AD478" i="17" l="1"/>
  <c r="AT478" i="17"/>
  <c r="AF478" i="17" l="1"/>
  <c r="AG478" i="17" s="1"/>
  <c r="K479" i="17"/>
  <c r="S479" i="17"/>
  <c r="T479" i="17" s="1"/>
  <c r="M479" i="17" l="1"/>
  <c r="N479" i="17" s="1"/>
  <c r="X479" i="17" s="1"/>
  <c r="Z479" i="17" s="1"/>
  <c r="AU479" i="17" l="1"/>
  <c r="U479" i="17" l="1"/>
  <c r="V479" i="17"/>
  <c r="W479" i="17" l="1"/>
  <c r="AA479" i="17" s="1"/>
  <c r="AB480" i="17" s="1"/>
  <c r="AE479" i="17" l="1"/>
  <c r="BG479" i="17"/>
  <c r="BD480" i="17" s="1"/>
  <c r="BE480" i="17" s="1"/>
  <c r="BF480" i="17" s="1"/>
  <c r="AV479" i="17"/>
  <c r="BK479" i="17"/>
  <c r="BH480" i="17" s="1"/>
  <c r="BI480" i="17" s="1"/>
  <c r="Y480" i="17"/>
  <c r="AC479" i="17"/>
  <c r="Q480" i="17" s="1"/>
  <c r="AD479" i="17" l="1"/>
  <c r="K480" i="17" s="1"/>
  <c r="AT479" i="17"/>
  <c r="M480" i="17" l="1"/>
  <c r="N480" i="17" s="1"/>
  <c r="AF479" i="17"/>
  <c r="AG479" i="17" s="1"/>
  <c r="AU480" i="17" l="1"/>
  <c r="U480" i="17" s="1"/>
  <c r="S480" i="17"/>
  <c r="T480" i="17" l="1"/>
  <c r="X480" i="17" s="1"/>
  <c r="V480" i="17" l="1"/>
  <c r="W480" i="17" s="1"/>
  <c r="BK480" i="17" s="1"/>
  <c r="BH481" i="17" s="1"/>
  <c r="BI481" i="17" s="1"/>
  <c r="Z480" i="17"/>
  <c r="BG480" i="17" l="1"/>
  <c r="BD481" i="17" s="1"/>
  <c r="BE481" i="17" s="1"/>
  <c r="BF481" i="17" s="1"/>
  <c r="AA480" i="17"/>
  <c r="AB481" i="17" s="1"/>
  <c r="AV480" i="17"/>
  <c r="AE480" i="17"/>
  <c r="AC480" i="17" l="1"/>
  <c r="Q481" i="17" s="1"/>
  <c r="Y481" i="17"/>
  <c r="AT480" i="17" l="1"/>
  <c r="AD480" i="17"/>
  <c r="AF480" i="17" s="1"/>
  <c r="S481" i="17"/>
  <c r="T481" i="17" s="1"/>
  <c r="K481" i="17" l="1"/>
  <c r="M481" i="17" s="1"/>
  <c r="N481" i="17" s="1"/>
  <c r="X481" i="17" s="1"/>
  <c r="AG480" i="17"/>
  <c r="Z481" i="17" l="1"/>
  <c r="AU481" i="17"/>
  <c r="U481" i="17" l="1"/>
  <c r="V481" i="17"/>
  <c r="W481" i="17" l="1"/>
  <c r="AA481" i="17" l="1"/>
  <c r="AB482" i="17" s="1"/>
  <c r="AV481" i="17"/>
  <c r="BK481" i="17"/>
  <c r="BH482" i="17" s="1"/>
  <c r="BI482" i="17" s="1"/>
  <c r="BG481" i="17"/>
  <c r="BD482" i="17" s="1"/>
  <c r="BE482" i="17" s="1"/>
  <c r="BF482" i="17" s="1"/>
  <c r="AE481" i="17"/>
  <c r="AC481" i="17" l="1"/>
  <c r="Q482" i="17" s="1"/>
  <c r="Y482" i="17"/>
  <c r="AD481" i="17" l="1"/>
  <c r="AT481" i="17"/>
  <c r="AF481" i="17" l="1"/>
  <c r="K482" i="17"/>
  <c r="S482" i="17"/>
  <c r="T482" i="17" s="1"/>
  <c r="AG481" i="17"/>
  <c r="M482" i="17" l="1"/>
  <c r="N482" i="17" s="1"/>
  <c r="X482" i="17" l="1"/>
  <c r="AU482" i="17"/>
  <c r="U482" i="17" l="1"/>
  <c r="V482" i="17"/>
  <c r="Z482" i="17"/>
  <c r="W482" i="17" l="1"/>
  <c r="AA482" i="17" s="1"/>
  <c r="AB483" i="17" s="1"/>
  <c r="AV482" i="17" l="1"/>
  <c r="AE482" i="17"/>
  <c r="BG482" i="17"/>
  <c r="BD483" i="17" s="1"/>
  <c r="BE483" i="17" s="1"/>
  <c r="BF483" i="17" s="1"/>
  <c r="BK482" i="17"/>
  <c r="BH483" i="17" s="1"/>
  <c r="BI483" i="17" s="1"/>
  <c r="AC482" i="17"/>
  <c r="Q483" i="17" s="1"/>
  <c r="Y483" i="17"/>
  <c r="AD482" i="17" l="1"/>
  <c r="AT482" i="17"/>
  <c r="AF482" i="17" l="1"/>
  <c r="K483" i="17"/>
  <c r="M483" i="17" s="1"/>
  <c r="N483" i="17" s="1"/>
  <c r="S483" i="17"/>
  <c r="T483" i="17" s="1"/>
  <c r="AG482" i="17"/>
  <c r="X483" i="17" l="1"/>
  <c r="Z483" i="17" s="1"/>
  <c r="AU483" i="17"/>
  <c r="U483" i="17" l="1"/>
  <c r="V483" i="17"/>
  <c r="W483" i="17" l="1"/>
  <c r="BK483" i="17" l="1"/>
  <c r="BH484" i="17" s="1"/>
  <c r="BI484" i="17" s="1"/>
  <c r="AA483" i="17"/>
  <c r="AB484" i="17" s="1"/>
  <c r="AV483" i="17"/>
  <c r="BG483" i="17"/>
  <c r="BD484" i="17" s="1"/>
  <c r="BE484" i="17" s="1"/>
  <c r="BF484" i="17" s="1"/>
  <c r="AE483" i="17"/>
  <c r="AC483" i="17" l="1"/>
  <c r="Q484" i="17" s="1"/>
  <c r="Y484" i="17"/>
  <c r="AD483" i="17" l="1"/>
  <c r="K484" i="17" s="1"/>
  <c r="AT483" i="17"/>
  <c r="AF483" i="17" l="1"/>
  <c r="AG483" i="17" s="1"/>
  <c r="M484" i="17"/>
  <c r="N484" i="17" s="1"/>
  <c r="S484" i="17" l="1"/>
  <c r="T484" i="17" s="1"/>
  <c r="AU484" i="17"/>
  <c r="U484" i="17" s="1"/>
  <c r="V484" i="17" l="1"/>
  <c r="W484" i="17" s="1"/>
  <c r="X484" i="17"/>
  <c r="Z484" i="17" l="1"/>
  <c r="AA484" i="17"/>
  <c r="AB485" i="17" s="1"/>
  <c r="BG484" i="17"/>
  <c r="BD485" i="17" s="1"/>
  <c r="BE485" i="17" s="1"/>
  <c r="BF485" i="17" s="1"/>
  <c r="AV484" i="17"/>
  <c r="BK484" i="17"/>
  <c r="BH485" i="17" s="1"/>
  <c r="BI485" i="17" s="1"/>
  <c r="AE484" i="17"/>
  <c r="AC484" i="17" l="1"/>
  <c r="Q485" i="17" s="1"/>
  <c r="Y485" i="17"/>
  <c r="AT484" i="17" l="1"/>
  <c r="AD484" i="17"/>
  <c r="AF484" i="17" l="1"/>
  <c r="AG484" i="17" s="1"/>
  <c r="K485" i="17"/>
  <c r="S485" i="17" l="1"/>
  <c r="T485" i="17" s="1"/>
  <c r="M485" i="17"/>
  <c r="N485" i="17" s="1"/>
  <c r="AU485" i="17" l="1"/>
  <c r="U485" i="17" s="1"/>
  <c r="X485" i="17"/>
  <c r="Z485" i="17" s="1"/>
  <c r="V485" i="17" l="1"/>
  <c r="W485" i="17" s="1"/>
  <c r="BG485" i="17" l="1"/>
  <c r="BD486" i="17" s="1"/>
  <c r="BE486" i="17" s="1"/>
  <c r="BF486" i="17" s="1"/>
  <c r="AV485" i="17"/>
  <c r="BK485" i="17"/>
  <c r="BH486" i="17" s="1"/>
  <c r="BI486" i="17" s="1"/>
  <c r="AA485" i="17"/>
  <c r="AB486" i="17" s="1"/>
  <c r="AE485" i="17"/>
  <c r="AC485" i="17" l="1"/>
  <c r="Q486" i="17" s="1"/>
  <c r="Y486" i="17"/>
  <c r="AD485" i="17" l="1"/>
  <c r="K486" i="17" s="1"/>
  <c r="AT485" i="17"/>
  <c r="AF485" i="17" l="1"/>
  <c r="AG485" i="17" s="1"/>
  <c r="M486" i="17"/>
  <c r="N486" i="17" s="1"/>
  <c r="S486" i="17" l="1"/>
  <c r="T486" i="17" s="1"/>
  <c r="AU486" i="17"/>
  <c r="U486" i="17" s="1"/>
  <c r="X486" i="17" l="1"/>
  <c r="V486" i="17"/>
  <c r="W486" i="17" s="1"/>
  <c r="AV486" i="17" l="1"/>
  <c r="BG486" i="17"/>
  <c r="BD487" i="17" s="1"/>
  <c r="BE487" i="17" s="1"/>
  <c r="BF487" i="17" s="1"/>
  <c r="BK486" i="17"/>
  <c r="BH487" i="17" s="1"/>
  <c r="BI487" i="17" s="1"/>
  <c r="AA486" i="17"/>
  <c r="AB487" i="17" s="1"/>
  <c r="AE486" i="17"/>
  <c r="Z486" i="17"/>
  <c r="AC486" i="17" l="1"/>
  <c r="Q487" i="17" s="1"/>
  <c r="Y487" i="17"/>
  <c r="AD486" i="17" l="1"/>
  <c r="AT486" i="17"/>
  <c r="AF486" i="17" l="1"/>
  <c r="AG486" i="17" s="1"/>
  <c r="K487" i="17"/>
  <c r="S487" i="17"/>
  <c r="T487" i="17" s="1"/>
  <c r="M487" i="17" l="1"/>
  <c r="N487" i="17" s="1"/>
  <c r="X487" i="17" s="1"/>
  <c r="Z487" i="17" s="1"/>
  <c r="AU487" i="17" l="1"/>
  <c r="U487" i="17" l="1"/>
  <c r="V487" i="17"/>
  <c r="W487" i="17" l="1"/>
  <c r="AE487" i="17" s="1"/>
  <c r="AA487" i="17"/>
  <c r="AB488" i="17" s="1"/>
  <c r="AV487" i="17" l="1"/>
  <c r="BG487" i="17"/>
  <c r="BD488" i="17" s="1"/>
  <c r="BE488" i="17" s="1"/>
  <c r="BF488" i="17" s="1"/>
  <c r="BK487" i="17"/>
  <c r="BH488" i="17" s="1"/>
  <c r="BI488" i="17" s="1"/>
  <c r="AC487" i="17"/>
  <c r="Q488" i="17" s="1"/>
  <c r="Y488" i="17"/>
  <c r="AD487" i="17" l="1"/>
  <c r="K488" i="17" s="1"/>
  <c r="AT487" i="17"/>
  <c r="AF487" i="17" l="1"/>
  <c r="AG487" i="17" s="1"/>
  <c r="S488" i="17"/>
  <c r="T488" i="17" s="1"/>
  <c r="M488" i="17" l="1"/>
  <c r="N488" i="17" s="1"/>
  <c r="X488" i="17" s="1"/>
  <c r="Z488" i="17" s="1"/>
  <c r="AU488" i="17" l="1"/>
  <c r="U488" i="17" s="1"/>
  <c r="V488" i="17"/>
  <c r="W488" i="17" l="1"/>
  <c r="BG488" i="17" s="1"/>
  <c r="BD489" i="17" s="1"/>
  <c r="BE489" i="17" s="1"/>
  <c r="BF489" i="17" s="1"/>
  <c r="AE488" i="17" l="1"/>
  <c r="AA488" i="17"/>
  <c r="AB489" i="17" s="1"/>
  <c r="BK488" i="17"/>
  <c r="BH489" i="17" s="1"/>
  <c r="BI489" i="17" s="1"/>
  <c r="AV488" i="17"/>
  <c r="AC488" i="17" l="1"/>
  <c r="Q489" i="17" s="1"/>
  <c r="Y489" i="17"/>
  <c r="AT488" i="17" l="1"/>
  <c r="AD488" i="17"/>
  <c r="AF488" i="17" s="1"/>
  <c r="AG488" i="17" s="1"/>
  <c r="S489" i="17"/>
  <c r="T489" i="17" s="1"/>
  <c r="K489" i="17" l="1"/>
  <c r="M489" i="17" s="1"/>
  <c r="N489" i="17" s="1"/>
  <c r="AU489" i="17" s="1"/>
  <c r="X489" i="17" l="1"/>
  <c r="Z489" i="17" s="1"/>
  <c r="U489" i="17"/>
  <c r="V489" i="17"/>
  <c r="W489" i="17" l="1"/>
  <c r="AE489" i="17" s="1"/>
  <c r="AV489" i="17" l="1"/>
  <c r="AA489" i="17"/>
  <c r="AB490" i="17" s="1"/>
  <c r="BG489" i="17"/>
  <c r="BD490" i="17" s="1"/>
  <c r="BE490" i="17" s="1"/>
  <c r="BF490" i="17" s="1"/>
  <c r="BK489" i="17"/>
  <c r="BH490" i="17" s="1"/>
  <c r="BI490" i="17" s="1"/>
  <c r="Y490" i="17" l="1"/>
  <c r="AC489" i="17"/>
  <c r="AT489" i="17" s="1"/>
  <c r="Q490" i="17" l="1"/>
  <c r="S490" i="17" s="1"/>
  <c r="AD489" i="17"/>
  <c r="K490" i="17" l="1"/>
  <c r="AF489" i="17"/>
  <c r="AG489" i="17" s="1"/>
  <c r="T490" i="17"/>
  <c r="M490" i="17" l="1"/>
  <c r="N490" i="17" s="1"/>
  <c r="X490" i="17" l="1"/>
  <c r="Z490" i="17" s="1"/>
  <c r="AU490" i="17"/>
  <c r="U490" i="17" s="1"/>
  <c r="V490" i="17" l="1"/>
  <c r="W490" i="17" s="1"/>
  <c r="BK490" i="17" l="1"/>
  <c r="BH491" i="17" s="1"/>
  <c r="BI491" i="17" s="1"/>
  <c r="AV490" i="17"/>
  <c r="AA490" i="17"/>
  <c r="AB491" i="17" s="1"/>
  <c r="AE490" i="17"/>
  <c r="BG490" i="17"/>
  <c r="BD491" i="17" s="1"/>
  <c r="BE491" i="17" s="1"/>
  <c r="BF491" i="17" s="1"/>
  <c r="AC490" i="17" l="1"/>
  <c r="AD490" i="17" s="1"/>
  <c r="Y491" i="17"/>
  <c r="Q491" i="17" l="1"/>
  <c r="S491" i="17" s="1"/>
  <c r="T491" i="17" s="1"/>
  <c r="AT490" i="17"/>
  <c r="K491" i="17"/>
  <c r="M491" i="17" s="1"/>
  <c r="N491" i="17" s="1"/>
  <c r="AU491" i="17" s="1"/>
  <c r="AF490" i="17"/>
  <c r="AG490" i="17" s="1"/>
  <c r="X491" i="17" l="1"/>
  <c r="Z491" i="17" s="1"/>
  <c r="U491" i="17"/>
  <c r="V491" i="17"/>
  <c r="W491" i="17" l="1"/>
  <c r="BK491" i="17" s="1"/>
  <c r="BH492" i="17" s="1"/>
  <c r="BI492" i="17" s="1"/>
  <c r="AV491" i="17" l="1"/>
  <c r="AE491" i="17"/>
  <c r="BG491" i="17"/>
  <c r="BD492" i="17" s="1"/>
  <c r="BE492" i="17" s="1"/>
  <c r="BF492" i="17" s="1"/>
  <c r="AA491" i="17"/>
  <c r="AB492" i="17" s="1"/>
  <c r="AC491" i="17" l="1"/>
  <c r="Q492" i="17" s="1"/>
  <c r="Y492" i="17"/>
  <c r="AT491" i="17" l="1"/>
  <c r="AD491" i="17"/>
  <c r="K492" i="17" s="1"/>
  <c r="M492" i="17" s="1"/>
  <c r="N492" i="17" s="1"/>
  <c r="AF491" i="17" l="1"/>
  <c r="AG491" i="17" s="1"/>
  <c r="S492" i="17"/>
  <c r="AU492" i="17"/>
  <c r="U492" i="17" s="1"/>
  <c r="T492" i="17" l="1"/>
  <c r="X492" i="17" s="1"/>
  <c r="V492" i="17"/>
  <c r="W492" i="17" s="1"/>
  <c r="Z492" i="17" l="1"/>
  <c r="BG492" i="17"/>
  <c r="BD493" i="17" s="1"/>
  <c r="BE493" i="17" s="1"/>
  <c r="BF493" i="17" s="1"/>
  <c r="AA492" i="17"/>
  <c r="AB493" i="17" s="1"/>
  <c r="AV492" i="17"/>
  <c r="BK492" i="17"/>
  <c r="BH493" i="17" s="1"/>
  <c r="BI493" i="17" s="1"/>
  <c r="AE492" i="17"/>
  <c r="AC492" i="17" l="1"/>
  <c r="Q493" i="17" s="1"/>
  <c r="Y493" i="17"/>
  <c r="AT492" i="17" l="1"/>
  <c r="AD492" i="17"/>
  <c r="AF492" i="17" l="1"/>
  <c r="AG492" i="17" s="1"/>
  <c r="K493" i="17"/>
  <c r="S493" i="17"/>
  <c r="T493" i="17" s="1"/>
  <c r="M493" i="17" l="1"/>
  <c r="N493" i="17" s="1"/>
  <c r="X493" i="17" s="1"/>
  <c r="Z493" i="17" l="1"/>
  <c r="AU493" i="17"/>
  <c r="U493" i="17" l="1"/>
  <c r="V493" i="17"/>
  <c r="W493" i="17" l="1"/>
  <c r="BK493" i="17" s="1"/>
  <c r="BH494" i="17" s="1"/>
  <c r="BI494" i="17" s="1"/>
  <c r="AE493" i="17" l="1"/>
  <c r="AV493" i="17"/>
  <c r="BG493" i="17"/>
  <c r="BD494" i="17" s="1"/>
  <c r="BE494" i="17" s="1"/>
  <c r="BF494" i="17" s="1"/>
  <c r="AA493" i="17"/>
  <c r="AB494" i="17" s="1"/>
  <c r="Y494" i="17" l="1"/>
  <c r="AC493" i="17"/>
  <c r="Q494" i="17" s="1"/>
  <c r="AT493" i="17" l="1"/>
  <c r="AD493" i="17"/>
  <c r="AF493" i="17" s="1"/>
  <c r="AG493" i="17" s="1"/>
  <c r="S494" i="17"/>
  <c r="T494" i="17" s="1"/>
  <c r="K494" i="17" l="1"/>
  <c r="M494" i="17" s="1"/>
  <c r="N494" i="17" l="1"/>
  <c r="X494" i="17" s="1"/>
  <c r="Z494" i="17" s="1"/>
  <c r="AU494" i="17" l="1"/>
  <c r="U494" i="17" s="1"/>
  <c r="V494" i="17"/>
  <c r="W494" i="17" l="1"/>
  <c r="AV494" i="17" s="1"/>
  <c r="AA494" i="17" l="1"/>
  <c r="AB495" i="17" s="1"/>
  <c r="BG494" i="17"/>
  <c r="BD495" i="17" s="1"/>
  <c r="BE495" i="17" s="1"/>
  <c r="BF495" i="17" s="1"/>
  <c r="BK494" i="17"/>
  <c r="BH495" i="17" s="1"/>
  <c r="BI495" i="17" s="1"/>
  <c r="AE494" i="17"/>
  <c r="AC494" i="17"/>
  <c r="Q495" i="17" s="1"/>
  <c r="Y495" i="17"/>
  <c r="AD494" i="17" l="1"/>
  <c r="K495" i="17" s="1"/>
  <c r="AT494" i="17"/>
  <c r="AF494" i="17" l="1"/>
  <c r="AG494" i="17" s="1"/>
  <c r="M495" i="17"/>
  <c r="N495" i="17" s="1"/>
  <c r="H15" i="17"/>
  <c r="S495" i="17"/>
  <c r="T495" i="17" s="1"/>
  <c r="X495" i="17" l="1"/>
  <c r="Z495" i="17" s="1"/>
  <c r="AU495" i="17"/>
  <c r="U495" i="17" s="1"/>
  <c r="V495" i="17" l="1"/>
  <c r="W495" i="17" s="1"/>
  <c r="AV495" i="17" l="1"/>
  <c r="AA495" i="17"/>
  <c r="AB496" i="17" s="1"/>
  <c r="BG495" i="17"/>
  <c r="BD496" i="17" s="1"/>
  <c r="BE496" i="17" s="1"/>
  <c r="BF496" i="17" s="1"/>
  <c r="BK495" i="17"/>
  <c r="BH496" i="17" s="1"/>
  <c r="BI496" i="17" s="1"/>
  <c r="AE495" i="17"/>
  <c r="Y496" i="17" l="1"/>
  <c r="AC495" i="17"/>
  <c r="Q496" i="17" s="1"/>
  <c r="AD495" i="17" l="1"/>
  <c r="K496" i="17" s="1"/>
  <c r="AT495" i="17"/>
  <c r="M496" i="17" l="1"/>
  <c r="N496" i="17" s="1"/>
  <c r="AF495" i="17"/>
  <c r="AG495" i="17" s="1"/>
  <c r="AU496" i="17" l="1"/>
  <c r="U496" i="17" s="1"/>
  <c r="S496" i="17"/>
  <c r="T496" i="17" s="1"/>
  <c r="V496" i="17" s="1"/>
  <c r="W496" i="17" l="1"/>
  <c r="BG496" i="17" s="1"/>
  <c r="BD497" i="17" s="1"/>
  <c r="BE497" i="17" s="1"/>
  <c r="BF497" i="17" s="1"/>
  <c r="AE496" i="17"/>
  <c r="X496" i="17"/>
  <c r="Z496" i="17" s="1"/>
  <c r="BK496" i="17" l="1"/>
  <c r="BH497" i="17" s="1"/>
  <c r="BI497" i="17" s="1"/>
  <c r="AV496" i="17"/>
  <c r="AA496" i="17"/>
  <c r="AB497" i="17" s="1"/>
  <c r="Y497" i="17" l="1"/>
  <c r="AC496" i="17"/>
  <c r="Q497" i="17" s="1"/>
  <c r="AD496" i="17" l="1"/>
  <c r="AT496" i="17"/>
  <c r="AF496" i="17" l="1"/>
  <c r="AG496" i="17" s="1"/>
  <c r="K497" i="17"/>
  <c r="M497" i="17" s="1"/>
  <c r="N497" i="17" s="1"/>
  <c r="S497" i="17"/>
  <c r="T497" i="17" s="1"/>
  <c r="X497" i="17" l="1"/>
  <c r="Z497" i="17" s="1"/>
  <c r="AU497" i="17"/>
  <c r="U497" i="17" s="1"/>
  <c r="V497" i="17" l="1"/>
  <c r="W497" i="17" s="1"/>
  <c r="BG497" i="17" l="1"/>
  <c r="BD498" i="17" s="1"/>
  <c r="BE498" i="17" s="1"/>
  <c r="BF498" i="17" s="1"/>
  <c r="AA497" i="17"/>
  <c r="AB498" i="17" s="1"/>
  <c r="BK497" i="17"/>
  <c r="BH498" i="17" s="1"/>
  <c r="BI498" i="17" s="1"/>
  <c r="AV497" i="17"/>
  <c r="AE497" i="17"/>
  <c r="Y498" i="17" l="1"/>
  <c r="AC497" i="17"/>
  <c r="Q498" i="17" s="1"/>
  <c r="AD497" i="17" l="1"/>
  <c r="AT497" i="17"/>
  <c r="AF497" i="17" l="1"/>
  <c r="AG497" i="17" s="1"/>
  <c r="K498" i="17"/>
  <c r="S498" i="17"/>
  <c r="T498" i="17" s="1"/>
  <c r="M498" i="17" l="1"/>
  <c r="N498" i="17" s="1"/>
  <c r="X498" i="17" l="1"/>
  <c r="Z498" i="17" s="1"/>
  <c r="AU498" i="17"/>
  <c r="U498" i="17" l="1"/>
  <c r="V498" i="17"/>
  <c r="W498" i="17" l="1"/>
  <c r="AV498" i="17" s="1"/>
  <c r="BK498" i="17" l="1"/>
  <c r="BH499" i="17" s="1"/>
  <c r="BI499" i="17" s="1"/>
  <c r="AA498" i="17"/>
  <c r="AB499" i="17" s="1"/>
  <c r="BG498" i="17"/>
  <c r="BD499" i="17" s="1"/>
  <c r="BE499" i="17" s="1"/>
  <c r="BF499" i="17" s="1"/>
  <c r="AE498" i="17"/>
  <c r="Y499" i="17" l="1"/>
  <c r="AC498" i="17"/>
  <c r="Q499" i="17" s="1"/>
  <c r="AT498" i="17" l="1"/>
  <c r="AD498" i="17"/>
  <c r="K499" i="17" s="1"/>
  <c r="S499" i="17"/>
  <c r="T499" i="17" s="1"/>
  <c r="AF498" i="17"/>
  <c r="AG498" i="17" s="1"/>
  <c r="M499" i="17" l="1"/>
  <c r="N499" i="17" s="1"/>
  <c r="X499" i="17" l="1"/>
  <c r="Z499" i="17" s="1"/>
  <c r="AU499" i="17"/>
  <c r="U499" i="17" l="1"/>
  <c r="V499" i="17"/>
  <c r="W499" i="17" s="1"/>
  <c r="AV499" i="17" l="1"/>
  <c r="BG499" i="17"/>
  <c r="BD500" i="17" s="1"/>
  <c r="BE500" i="17" s="1"/>
  <c r="BF500" i="17" s="1"/>
  <c r="AA499" i="17"/>
  <c r="AB500" i="17" s="1"/>
  <c r="BK499" i="17"/>
  <c r="BH500" i="17" s="1"/>
  <c r="BI500" i="17" s="1"/>
  <c r="AE499" i="17"/>
  <c r="Y500" i="17" l="1"/>
  <c r="AC499" i="17"/>
  <c r="Q500" i="17" s="1"/>
  <c r="AD499" i="17" l="1"/>
  <c r="AT499" i="17"/>
  <c r="AF499" i="17" l="1"/>
  <c r="AG499" i="17" s="1"/>
  <c r="K500" i="17"/>
  <c r="M500" i="17" s="1"/>
  <c r="N500" i="17" s="1"/>
  <c r="S500" i="17"/>
  <c r="T500" i="17" s="1"/>
  <c r="AU500" i="17" l="1"/>
  <c r="U500" i="17" s="1"/>
  <c r="X500" i="17"/>
  <c r="Z500" i="17" s="1"/>
  <c r="V500" i="17" l="1"/>
  <c r="W500" i="17" s="1"/>
  <c r="BK500" i="17" l="1"/>
  <c r="BH501" i="17" s="1"/>
  <c r="BI501" i="17" s="1"/>
  <c r="AV500" i="17"/>
  <c r="AA500" i="17"/>
  <c r="AB501" i="17" s="1"/>
  <c r="BG500" i="17"/>
  <c r="BD501" i="17" s="1"/>
  <c r="BE501" i="17" s="1"/>
  <c r="BF501" i="17" s="1"/>
  <c r="AE500" i="17"/>
  <c r="AC500" i="17" l="1"/>
  <c r="Q501" i="17" s="1"/>
  <c r="Y501" i="17"/>
  <c r="AD500" i="17" l="1"/>
  <c r="AT500" i="17"/>
  <c r="AF500" i="17" l="1"/>
  <c r="AG500" i="17" s="1"/>
  <c r="K501" i="17"/>
  <c r="S501" i="17" l="1"/>
  <c r="T501" i="17" s="1"/>
  <c r="M501" i="17"/>
  <c r="N501" i="17" s="1"/>
  <c r="AU501" i="17" l="1"/>
  <c r="U501" i="17" s="1"/>
  <c r="X501" i="17"/>
  <c r="V501" i="17" l="1"/>
  <c r="W501" i="17" s="1"/>
  <c r="Z501" i="17"/>
  <c r="AA501" i="17" l="1"/>
  <c r="AB502" i="17" s="1"/>
  <c r="BG501" i="17"/>
  <c r="BD502" i="17" s="1"/>
  <c r="BE502" i="17" s="1"/>
  <c r="BF502" i="17" s="1"/>
  <c r="BK501" i="17"/>
  <c r="BH502" i="17" s="1"/>
  <c r="BI502" i="17" s="1"/>
  <c r="AV501" i="17"/>
  <c r="AE501" i="17"/>
  <c r="Y502" i="17" l="1"/>
  <c r="AC501" i="17"/>
  <c r="Q502" i="17" s="1"/>
  <c r="AD501" i="17" l="1"/>
  <c r="AT501" i="17"/>
  <c r="AF501" i="17" l="1"/>
  <c r="AG501" i="17" s="1"/>
  <c r="K502" i="17"/>
  <c r="S502" i="17" l="1"/>
  <c r="T502" i="17" s="1"/>
  <c r="M502" i="17"/>
  <c r="N502" i="17" s="1"/>
  <c r="AU502" i="17" l="1"/>
  <c r="U502" i="17" s="1"/>
  <c r="X502" i="17"/>
  <c r="V502" i="17"/>
  <c r="W502" i="17" l="1"/>
  <c r="AV502" i="17" s="1"/>
  <c r="Z502" i="17"/>
  <c r="BK502" i="17" l="1"/>
  <c r="BH503" i="17" s="1"/>
  <c r="BI503" i="17" s="1"/>
  <c r="AA502" i="17"/>
  <c r="AB503" i="17" s="1"/>
  <c r="BG502" i="17"/>
  <c r="BD503" i="17" s="1"/>
  <c r="BE503" i="17" s="1"/>
  <c r="BF503" i="17" s="1"/>
  <c r="AE502" i="17"/>
  <c r="AC502" i="17" l="1"/>
  <c r="Q503" i="17" s="1"/>
  <c r="Y503" i="17"/>
  <c r="AT502" i="17" l="1"/>
  <c r="AD502" i="17"/>
  <c r="AF502" i="17" s="1"/>
  <c r="AG502" i="17" s="1"/>
  <c r="K503" i="17"/>
  <c r="M503" i="17" l="1"/>
  <c r="N503" i="17" s="1"/>
  <c r="S503" i="17"/>
  <c r="T503" i="17" s="1"/>
  <c r="X503" i="17" l="1"/>
  <c r="Z503" i="17" s="1"/>
  <c r="AU503" i="17"/>
  <c r="U503" i="17" s="1"/>
  <c r="V503" i="17" l="1"/>
  <c r="W503" i="17" s="1"/>
  <c r="AA503" i="17" l="1"/>
  <c r="AB504" i="17" s="1"/>
  <c r="BK503" i="17"/>
  <c r="BH504" i="17" s="1"/>
  <c r="BI504" i="17" s="1"/>
  <c r="AV503" i="17"/>
  <c r="BG503" i="17"/>
  <c r="BD504" i="17" s="1"/>
  <c r="BE504" i="17" s="1"/>
  <c r="BF504" i="17" s="1"/>
  <c r="AE503" i="17"/>
  <c r="Y504" i="17" l="1"/>
  <c r="AC503" i="17"/>
  <c r="Q504" i="17" s="1"/>
  <c r="AD503" i="17" l="1"/>
  <c r="K504" i="17" s="1"/>
  <c r="AT503" i="17"/>
  <c r="S504" i="17" l="1"/>
  <c r="T504" i="17" s="1"/>
  <c r="AF503" i="17"/>
  <c r="AG503" i="17" s="1"/>
  <c r="M504" i="17"/>
  <c r="N504" i="17" s="1"/>
  <c r="X504" i="17" l="1"/>
  <c r="Z504" i="17" s="1"/>
  <c r="AU504" i="17"/>
  <c r="U504" i="17" l="1"/>
  <c r="V504" i="17"/>
  <c r="W504" i="17" l="1"/>
  <c r="BG504" i="17" s="1"/>
  <c r="BD505" i="17" s="1"/>
  <c r="BE505" i="17" s="1"/>
  <c r="BF505" i="17" s="1"/>
  <c r="AE504" i="17" l="1"/>
  <c r="AA504" i="17"/>
  <c r="AB505" i="17" s="1"/>
  <c r="AV504" i="17"/>
  <c r="BK504" i="17"/>
  <c r="BH505" i="17" s="1"/>
  <c r="BI505" i="17" s="1"/>
  <c r="AC504" i="17" l="1"/>
  <c r="Q505" i="17" s="1"/>
  <c r="Y505" i="17"/>
  <c r="AT504" i="17" l="1"/>
  <c r="AD504" i="17"/>
  <c r="K505" i="17" s="1"/>
  <c r="S505" i="17"/>
  <c r="T505" i="17" s="1"/>
  <c r="AF504" i="17" l="1"/>
  <c r="AG504" i="17" s="1"/>
  <c r="M505" i="17"/>
  <c r="N505" i="17" s="1"/>
  <c r="X505" i="17" l="1"/>
  <c r="Z505" i="17" s="1"/>
  <c r="AU505" i="17"/>
  <c r="U505" i="17" l="1"/>
  <c r="V505" i="17"/>
  <c r="W505" i="17" l="1"/>
  <c r="AV505" i="17" s="1"/>
  <c r="BK505" i="17"/>
  <c r="BH506" i="17" s="1"/>
  <c r="BI506" i="17" s="1"/>
  <c r="BG505" i="17" l="1"/>
  <c r="BD506" i="17" s="1"/>
  <c r="BE506" i="17" s="1"/>
  <c r="BF506" i="17" s="1"/>
  <c r="AA505" i="17"/>
  <c r="AB506" i="17" s="1"/>
  <c r="AE505" i="17"/>
  <c r="AC505" i="17"/>
  <c r="Q506" i="17" s="1"/>
  <c r="Y506" i="17" l="1"/>
  <c r="AD505" i="17"/>
  <c r="AT505" i="17"/>
  <c r="AF505" i="17" l="1"/>
  <c r="AG505" i="17" s="1"/>
  <c r="K506" i="17"/>
  <c r="M506" i="17" s="1"/>
  <c r="S506" i="17"/>
  <c r="T506" i="17" s="1"/>
  <c r="N506" i="17" l="1"/>
  <c r="AU506" i="17" l="1"/>
  <c r="U506" i="17" s="1"/>
  <c r="V506" i="17"/>
  <c r="X506" i="17"/>
  <c r="Z506" i="17" s="1"/>
  <c r="W506" i="17" l="1"/>
  <c r="AA506" i="17" l="1"/>
  <c r="AB507" i="17" s="1"/>
  <c r="BG506" i="17"/>
  <c r="BD507" i="17" s="1"/>
  <c r="BE507" i="17" s="1"/>
  <c r="BF507" i="17" s="1"/>
  <c r="BK506" i="17"/>
  <c r="BH507" i="17" s="1"/>
  <c r="BI507" i="17" s="1"/>
  <c r="AV506" i="17"/>
  <c r="AE506" i="17"/>
  <c r="Y507" i="17" l="1"/>
  <c r="AC506" i="17"/>
  <c r="Q507" i="17" s="1"/>
  <c r="AD506" i="17" l="1"/>
  <c r="AT506" i="17"/>
  <c r="S507" i="17" l="1"/>
  <c r="T507" i="17" s="1"/>
  <c r="K507" i="17"/>
  <c r="AF506" i="17"/>
  <c r="AG506" i="17" s="1"/>
  <c r="M507" i="17" l="1"/>
  <c r="N507" i="17" s="1"/>
  <c r="X507" i="17" s="1"/>
  <c r="Z507" i="17" s="1"/>
  <c r="AU507" i="17" l="1"/>
  <c r="U507" i="17" l="1"/>
  <c r="V507" i="17"/>
  <c r="W507" i="17" l="1"/>
  <c r="BK507" i="17" s="1"/>
  <c r="BH508" i="17" s="1"/>
  <c r="BI508" i="17" s="1"/>
  <c r="AV507" i="17"/>
  <c r="AA507" i="17"/>
  <c r="AB508" i="17" s="1"/>
  <c r="AE507" i="17"/>
  <c r="BG507" i="17" l="1"/>
  <c r="BD508" i="17" s="1"/>
  <c r="BE508" i="17" s="1"/>
  <c r="BF508" i="17" s="1"/>
  <c r="AC507" i="17"/>
  <c r="Q508" i="17" s="1"/>
  <c r="Y508" i="17"/>
  <c r="AD507" i="17" l="1"/>
  <c r="K508" i="17" s="1"/>
  <c r="AT507" i="17"/>
  <c r="AF507" i="17" l="1"/>
  <c r="AG507" i="17" s="1"/>
  <c r="M508" i="17"/>
  <c r="N508" i="17" s="1"/>
  <c r="S508" i="17"/>
  <c r="T508" i="17" s="1"/>
  <c r="X508" i="17" l="1"/>
  <c r="Z508" i="17" s="1"/>
  <c r="AU508" i="17"/>
  <c r="U508" i="17" s="1"/>
  <c r="V508" i="17" l="1"/>
  <c r="W508" i="17" s="1"/>
  <c r="BG508" i="17" l="1"/>
  <c r="BD509" i="17" s="1"/>
  <c r="BE509" i="17" s="1"/>
  <c r="BF509" i="17" s="1"/>
  <c r="AA508" i="17"/>
  <c r="AB509" i="17" s="1"/>
  <c r="BK508" i="17"/>
  <c r="BH509" i="17" s="1"/>
  <c r="BI509" i="17" s="1"/>
  <c r="AV508" i="17"/>
  <c r="AE508" i="17"/>
  <c r="AC508" i="17" l="1"/>
  <c r="Q509" i="17" s="1"/>
  <c r="Y509" i="17"/>
  <c r="AD508" i="17" l="1"/>
  <c r="K509" i="17" s="1"/>
  <c r="AT508" i="17"/>
  <c r="AF508" i="17" l="1"/>
  <c r="AG508" i="17" s="1"/>
  <c r="S509" i="17"/>
  <c r="T509" i="17" s="1"/>
  <c r="M509" i="17" l="1"/>
  <c r="N509" i="17" s="1"/>
  <c r="X509" i="17" s="1"/>
  <c r="Z509" i="17" s="1"/>
  <c r="AU509" i="17" l="1"/>
  <c r="U509" i="17" l="1"/>
  <c r="V509" i="17"/>
  <c r="W509" i="17" l="1"/>
  <c r="AE509" i="17" s="1"/>
  <c r="BG509" i="17" l="1"/>
  <c r="BD510" i="17" s="1"/>
  <c r="BE510" i="17" s="1"/>
  <c r="BF510" i="17" s="1"/>
  <c r="AV509" i="17"/>
  <c r="AA509" i="17"/>
  <c r="AB510" i="17" s="1"/>
  <c r="BK509" i="17"/>
  <c r="BH510" i="17" s="1"/>
  <c r="BI510" i="17" s="1"/>
  <c r="AC509" i="17" l="1"/>
  <c r="Q510" i="17" s="1"/>
  <c r="Y510" i="17"/>
  <c r="AT509" i="17"/>
  <c r="AD509" i="17" l="1"/>
  <c r="K510" i="17" s="1"/>
  <c r="S510" i="17"/>
  <c r="T510" i="17" s="1"/>
  <c r="AF509" i="17"/>
  <c r="AG509" i="17" s="1"/>
  <c r="M510" i="17"/>
  <c r="N510" i="17" s="1"/>
  <c r="X510" i="17" s="1"/>
  <c r="Z510" i="17" s="1"/>
  <c r="AU510" i="17" l="1"/>
  <c r="V510" i="17" s="1"/>
  <c r="U510" i="17" l="1"/>
  <c r="W510" i="17" s="1"/>
  <c r="BG510" i="17" l="1"/>
  <c r="BD511" i="17" s="1"/>
  <c r="BE511" i="17" s="1"/>
  <c r="BF511" i="17" s="1"/>
  <c r="AE510" i="17"/>
  <c r="AA510" i="17"/>
  <c r="BK510" i="17"/>
  <c r="BH511" i="17" s="1"/>
  <c r="BI511" i="17" s="1"/>
  <c r="AV510" i="17"/>
  <c r="Y511" i="17" l="1"/>
  <c r="AB511" i="17"/>
  <c r="AC510" i="17"/>
  <c r="Q511" i="17" s="1"/>
  <c r="AD510" i="17" l="1"/>
  <c r="K511" i="17" s="1"/>
  <c r="AT510" i="17"/>
  <c r="S511" i="17"/>
  <c r="T511" i="17" s="1"/>
  <c r="AF510" i="17"/>
  <c r="AG510" i="17" s="1"/>
  <c r="M511" i="17" l="1"/>
  <c r="N511" i="17" s="1"/>
  <c r="X511" i="17" s="1"/>
  <c r="Z511" i="17" s="1"/>
  <c r="AU511" i="17" l="1"/>
  <c r="U511" i="17" l="1"/>
  <c r="V511" i="17"/>
  <c r="W511" i="17" l="1"/>
  <c r="BG511" i="17" l="1"/>
  <c r="BD512" i="17" s="1"/>
  <c r="BE512" i="17" s="1"/>
  <c r="BF512" i="17" s="1"/>
  <c r="BK511" i="17"/>
  <c r="BH512" i="17" s="1"/>
  <c r="BI512" i="17" s="1"/>
  <c r="AV511" i="17"/>
  <c r="AA511" i="17"/>
  <c r="AB512" i="17" s="1"/>
  <c r="AE511" i="17"/>
  <c r="Y512" i="17" l="1"/>
  <c r="AC511" i="17"/>
  <c r="Q512" i="17" s="1"/>
  <c r="AD511" i="17" l="1"/>
  <c r="K512" i="17" s="1"/>
  <c r="AT511" i="17"/>
  <c r="M512" i="17" l="1"/>
  <c r="N512" i="17" s="1"/>
  <c r="AF511" i="17"/>
  <c r="AG511" i="17" s="1"/>
  <c r="AU512" i="17" l="1"/>
  <c r="U512" i="17" s="1"/>
  <c r="S512" i="17"/>
  <c r="T512" i="17" s="1"/>
  <c r="V512" i="17" s="1"/>
  <c r="W512" i="17" l="1"/>
  <c r="AV512" i="17" s="1"/>
  <c r="X512" i="17"/>
  <c r="AE512" i="17" l="1"/>
  <c r="BK512" i="17"/>
  <c r="BH513" i="17" s="1"/>
  <c r="BI513" i="17" s="1"/>
  <c r="BG512" i="17"/>
  <c r="BD513" i="17" s="1"/>
  <c r="BE513" i="17" s="1"/>
  <c r="BF513" i="17" s="1"/>
  <c r="Z512" i="17"/>
  <c r="AA512" i="17"/>
  <c r="AB513" i="17" s="1"/>
  <c r="Y513" i="17" l="1"/>
  <c r="AC512" i="17"/>
  <c r="Q513" i="17" s="1"/>
  <c r="AD512" i="17" l="1"/>
  <c r="AT512" i="17"/>
  <c r="AF512" i="17" l="1"/>
  <c r="AG512" i="17" s="1"/>
  <c r="K513" i="17"/>
  <c r="S513" i="17" l="1"/>
  <c r="T513" i="17" s="1"/>
  <c r="M513" i="17"/>
  <c r="N513" i="17" s="1"/>
  <c r="X513" i="17" l="1"/>
  <c r="Z513" i="17" s="1"/>
  <c r="AU513" i="17"/>
  <c r="U513" i="17" s="1"/>
  <c r="V513" i="17"/>
  <c r="W513" i="17" l="1"/>
  <c r="BK513" i="17" s="1"/>
  <c r="BH514" i="17" s="1"/>
  <c r="BI514" i="17" s="1"/>
  <c r="AE513" i="17" l="1"/>
  <c r="BG513" i="17"/>
  <c r="BD514" i="17" s="1"/>
  <c r="BE514" i="17" s="1"/>
  <c r="BF514" i="17" s="1"/>
  <c r="AA513" i="17"/>
  <c r="AB514" i="17" s="1"/>
  <c r="AV513" i="17"/>
  <c r="AC513" i="17" l="1"/>
  <c r="Q514" i="17" s="1"/>
  <c r="Y514" i="17"/>
  <c r="AT513" i="17" l="1"/>
  <c r="AD513" i="17"/>
  <c r="K514" i="17" s="1"/>
  <c r="S514" i="17"/>
  <c r="AF513" i="17" l="1"/>
  <c r="AG513" i="17" s="1"/>
  <c r="T514" i="17"/>
  <c r="M514" i="17"/>
  <c r="N514" i="17" s="1"/>
  <c r="AU514" i="17" l="1"/>
  <c r="U514" i="17" s="1"/>
  <c r="X514" i="17"/>
  <c r="Z514" i="17" s="1"/>
  <c r="V514" i="17" l="1"/>
  <c r="W514" i="17" s="1"/>
  <c r="AA514" i="17" l="1"/>
  <c r="AB515" i="17" s="1"/>
  <c r="BG514" i="17"/>
  <c r="BD515" i="17" s="1"/>
  <c r="BE515" i="17" s="1"/>
  <c r="BF515" i="17" s="1"/>
  <c r="AV514" i="17"/>
  <c r="BK514" i="17"/>
  <c r="BH515" i="17" s="1"/>
  <c r="BI515" i="17" s="1"/>
  <c r="AE514" i="17"/>
  <c r="Y515" i="17" l="1"/>
  <c r="AC514" i="17"/>
  <c r="Q515" i="17" s="1"/>
  <c r="AD514" i="17" l="1"/>
  <c r="K515" i="17" s="1"/>
  <c r="AT514" i="17"/>
  <c r="M515" i="17" l="1"/>
  <c r="N515" i="17" s="1"/>
  <c r="AF514" i="17"/>
  <c r="AG514" i="17" s="1"/>
  <c r="S515" i="17" l="1"/>
  <c r="AU515" i="17"/>
  <c r="U515" i="17" s="1"/>
  <c r="T515" i="17" l="1"/>
  <c r="X515" i="17" s="1"/>
  <c r="Z515" i="17" s="1"/>
  <c r="V515" i="17"/>
  <c r="W515" i="17" s="1"/>
  <c r="AV515" i="17" l="1"/>
  <c r="BK515" i="17"/>
  <c r="BH516" i="17" s="1"/>
  <c r="BI516" i="17" s="1"/>
  <c r="BG515" i="17"/>
  <c r="BD516" i="17" s="1"/>
  <c r="BE516" i="17" s="1"/>
  <c r="BF516" i="17" s="1"/>
  <c r="AA515" i="17"/>
  <c r="AB516" i="17" s="1"/>
  <c r="AE515" i="17"/>
  <c r="AC515" i="17" l="1"/>
  <c r="Q516" i="17" s="1"/>
  <c r="Y516" i="17"/>
  <c r="AD515" i="17" l="1"/>
  <c r="AT515" i="17"/>
  <c r="AF515" i="17" l="1"/>
  <c r="AG515" i="17" s="1"/>
  <c r="K516" i="17"/>
  <c r="M516" i="17" s="1"/>
  <c r="S516" i="17"/>
  <c r="T516" i="17" s="1"/>
  <c r="N516" i="17" l="1"/>
  <c r="AU516" i="17" s="1"/>
  <c r="X516" i="17" l="1"/>
  <c r="Z516" i="17" s="1"/>
  <c r="U516" i="17"/>
  <c r="V516" i="17"/>
  <c r="W516" i="17" l="1"/>
  <c r="AV516" i="17" s="1"/>
  <c r="AA516" i="17" l="1"/>
  <c r="AE516" i="17"/>
  <c r="BG516" i="17"/>
  <c r="BD517" i="17" s="1"/>
  <c r="BE517" i="17" s="1"/>
  <c r="BF517" i="17" s="1"/>
  <c r="BK516" i="17"/>
  <c r="BH517" i="17" s="1"/>
  <c r="BI517" i="17" s="1"/>
  <c r="Y517" i="17"/>
  <c r="AB517" i="17"/>
  <c r="AC516" i="17"/>
  <c r="Q517" i="17" s="1"/>
  <c r="AT516" i="17" l="1"/>
  <c r="AD516" i="17"/>
  <c r="K517" i="17" s="1"/>
  <c r="S517" i="17"/>
  <c r="T517" i="17" s="1"/>
  <c r="AF516" i="17"/>
  <c r="AG516" i="17" s="1"/>
  <c r="M517" i="17" l="1"/>
  <c r="N517" i="17" s="1"/>
  <c r="X517" i="17" l="1"/>
  <c r="AU517" i="17"/>
  <c r="U517" i="17" s="1"/>
  <c r="Z517" i="17"/>
  <c r="V517" i="17"/>
  <c r="W517" i="17" l="1"/>
  <c r="BK517" i="17" s="1"/>
  <c r="BH518" i="17" s="1"/>
  <c r="BI518" i="17" s="1"/>
  <c r="AE517" i="17" l="1"/>
  <c r="AA517" i="17"/>
  <c r="AB518" i="17" s="1"/>
  <c r="AV517" i="17"/>
  <c r="BG517" i="17"/>
  <c r="BD518" i="17" s="1"/>
  <c r="BE518" i="17" s="1"/>
  <c r="BF518" i="17" s="1"/>
  <c r="AC517" i="17" l="1"/>
  <c r="Q518" i="17" s="1"/>
  <c r="Y518" i="17"/>
  <c r="AT517" i="17"/>
  <c r="AD517" i="17" l="1"/>
  <c r="AF517" i="17"/>
  <c r="AG517" i="17" s="1"/>
  <c r="K518" i="17"/>
  <c r="S518" i="17" l="1"/>
  <c r="T518" i="17" s="1"/>
  <c r="M518" i="17"/>
  <c r="N518" i="17" s="1"/>
  <c r="AU518" i="17" l="1"/>
  <c r="V518" i="17"/>
  <c r="X518" i="17"/>
  <c r="U518" i="17"/>
  <c r="W518" i="17" l="1"/>
  <c r="AE518" i="17" s="1"/>
  <c r="Z518" i="17"/>
  <c r="BG518" i="17" l="1"/>
  <c r="BD519" i="17" s="1"/>
  <c r="BE519" i="17" s="1"/>
  <c r="BF519" i="17" s="1"/>
  <c r="BK518" i="17"/>
  <c r="BH519" i="17" s="1"/>
  <c r="BI519" i="17" s="1"/>
  <c r="AV518" i="17"/>
  <c r="AA518" i="17"/>
  <c r="AB519" i="17" s="1"/>
  <c r="AC518" i="17" l="1"/>
  <c r="Q519" i="17" s="1"/>
  <c r="Y519" i="17"/>
  <c r="AD518" i="17" l="1"/>
  <c r="AF518" i="17" s="1"/>
  <c r="AG518" i="17" s="1"/>
  <c r="AT518" i="17"/>
  <c r="K519" i="17" l="1"/>
  <c r="M519" i="17" s="1"/>
  <c r="N519" i="17" s="1"/>
  <c r="AU519" i="17" s="1"/>
  <c r="U519" i="17" s="1"/>
  <c r="S519" i="17"/>
  <c r="T519" i="17" l="1"/>
  <c r="X519" i="17" s="1"/>
  <c r="Z519" i="17" s="1"/>
  <c r="V519" i="17"/>
  <c r="W519" i="17" s="1"/>
  <c r="AV519" i="17" l="1"/>
  <c r="BG519" i="17"/>
  <c r="BD520" i="17" s="1"/>
  <c r="BE520" i="17" s="1"/>
  <c r="BF520" i="17" s="1"/>
  <c r="BK519" i="17"/>
  <c r="BH520" i="17" s="1"/>
  <c r="BI520" i="17" s="1"/>
  <c r="AA519" i="17"/>
  <c r="AB520" i="17" s="1"/>
  <c r="AE519" i="17"/>
  <c r="AC519" i="17" l="1"/>
  <c r="Q520" i="17" s="1"/>
  <c r="Y520" i="17"/>
  <c r="AT519" i="17" l="1"/>
  <c r="AD519" i="17"/>
  <c r="AF519" i="17" l="1"/>
  <c r="AG519" i="17" s="1"/>
  <c r="K520" i="17"/>
  <c r="M520" i="17" s="1"/>
  <c r="N520" i="17" s="1"/>
  <c r="S520" i="17"/>
  <c r="T520" i="17" s="1"/>
  <c r="AU520" i="17" l="1"/>
  <c r="U520" i="17" s="1"/>
  <c r="X520" i="17"/>
  <c r="Z520" i="17" s="1"/>
  <c r="V520" i="17" l="1"/>
  <c r="W520" i="17" s="1"/>
  <c r="AA520" i="17" l="1"/>
  <c r="AB521" i="17" s="1"/>
  <c r="BG520" i="17"/>
  <c r="BD521" i="17" s="1"/>
  <c r="BE521" i="17" s="1"/>
  <c r="BF521" i="17" s="1"/>
  <c r="BK520" i="17"/>
  <c r="BH521" i="17" s="1"/>
  <c r="BI521" i="17" s="1"/>
  <c r="AV520" i="17"/>
  <c r="AE520" i="17"/>
  <c r="AC520" i="17" l="1"/>
  <c r="Q521" i="17" s="1"/>
  <c r="Y521" i="17"/>
  <c r="AD520" i="17" l="1"/>
  <c r="AT520" i="17"/>
  <c r="AF520" i="17" l="1"/>
  <c r="AG520" i="17" s="1"/>
  <c r="K521" i="17"/>
  <c r="M521" i="17" s="1"/>
  <c r="N521" i="17" s="1"/>
  <c r="S521" i="17"/>
  <c r="T521" i="17" s="1"/>
  <c r="AU521" i="17" l="1"/>
  <c r="U521" i="17" s="1"/>
  <c r="X521" i="17"/>
  <c r="Z521" i="17" s="1"/>
  <c r="V521" i="17"/>
  <c r="W521" i="17" l="1"/>
  <c r="AA521" i="17" s="1"/>
  <c r="AB522" i="17" s="1"/>
  <c r="AE521" i="17" l="1"/>
  <c r="AV521" i="17"/>
  <c r="BG521" i="17"/>
  <c r="BD522" i="17" s="1"/>
  <c r="BE522" i="17" s="1"/>
  <c r="BF522" i="17" s="1"/>
  <c r="BK521" i="17"/>
  <c r="BH522" i="17" s="1"/>
  <c r="BI522" i="17" s="1"/>
  <c r="Y522" i="17"/>
  <c r="AC521" i="17"/>
  <c r="Q522" i="17" s="1"/>
  <c r="AD521" i="17" l="1"/>
  <c r="AT521" i="17"/>
  <c r="AF521" i="17" l="1"/>
  <c r="AG521" i="17" s="1"/>
  <c r="K522" i="17"/>
  <c r="M522" i="17" s="1"/>
  <c r="N522" i="17" s="1"/>
  <c r="S522" i="17"/>
  <c r="T522" i="17" s="1"/>
  <c r="AU522" i="17" l="1"/>
  <c r="U522" i="17" s="1"/>
  <c r="X522" i="17"/>
  <c r="V522" i="17"/>
  <c r="W522" i="17" l="1"/>
  <c r="AE522" i="17" s="1"/>
  <c r="Z522" i="17"/>
  <c r="AV522" i="17"/>
  <c r="BK522" i="17"/>
  <c r="BH523" i="17" s="1"/>
  <c r="BI523" i="17" s="1"/>
  <c r="AA522" i="17"/>
  <c r="AB523" i="17" s="1"/>
  <c r="BG522" i="17" l="1"/>
  <c r="BD523" i="17" s="1"/>
  <c r="BE523" i="17" s="1"/>
  <c r="BF523" i="17" s="1"/>
  <c r="AC522" i="17"/>
  <c r="Q523" i="17" s="1"/>
  <c r="Y523" i="17"/>
  <c r="AD522" i="17" l="1"/>
  <c r="AT522" i="17"/>
  <c r="AF522" i="17" l="1"/>
  <c r="K523" i="17"/>
  <c r="M523" i="17" s="1"/>
  <c r="N523" i="17" s="1"/>
  <c r="S523" i="17"/>
  <c r="T523" i="17" s="1"/>
  <c r="AG522" i="17"/>
  <c r="X523" i="17" l="1"/>
  <c r="Z523" i="17" s="1"/>
  <c r="AU523" i="17"/>
  <c r="U523" i="17" l="1"/>
  <c r="V523" i="17"/>
  <c r="W523" i="17" l="1"/>
  <c r="BK523" i="17" s="1"/>
  <c r="BH524" i="17" s="1"/>
  <c r="BI524" i="17" s="1"/>
  <c r="AE523" i="17" l="1"/>
  <c r="BG523" i="17"/>
  <c r="BD524" i="17" s="1"/>
  <c r="BE524" i="17" s="1"/>
  <c r="BF524" i="17" s="1"/>
  <c r="AV523" i="17"/>
  <c r="AA523" i="17"/>
  <c r="AB524" i="17" s="1"/>
  <c r="AC523" i="17" l="1"/>
  <c r="Q524" i="17" s="1"/>
  <c r="Y524" i="17"/>
  <c r="AT523" i="17" l="1"/>
  <c r="AD523" i="17"/>
  <c r="K524" i="17" s="1"/>
  <c r="S524" i="17"/>
  <c r="T524" i="17" s="1"/>
  <c r="AF523" i="17" l="1"/>
  <c r="AG523" i="17" s="1"/>
  <c r="M524" i="17"/>
  <c r="N524" i="17" s="1"/>
  <c r="X524" i="17" s="1"/>
  <c r="Z524" i="17" l="1"/>
  <c r="AU524" i="17"/>
  <c r="U524" i="17" l="1"/>
  <c r="V524" i="17"/>
  <c r="W524" i="17" l="1"/>
  <c r="AA524" i="17" s="1"/>
  <c r="AB525" i="17" s="1"/>
  <c r="AE524" i="17" l="1"/>
  <c r="BK524" i="17"/>
  <c r="BH525" i="17" s="1"/>
  <c r="BI525" i="17" s="1"/>
  <c r="AV524" i="17"/>
  <c r="BG524" i="17"/>
  <c r="BD525" i="17" s="1"/>
  <c r="BE525" i="17" s="1"/>
  <c r="BF525" i="17" s="1"/>
  <c r="AC524" i="17"/>
  <c r="Q525" i="17" s="1"/>
  <c r="Y525" i="17"/>
  <c r="AD524" i="17" l="1"/>
  <c r="AT524" i="17"/>
  <c r="AF524" i="17" l="1"/>
  <c r="AG524" i="17" s="1"/>
  <c r="K525" i="17"/>
  <c r="M525" i="17" s="1"/>
  <c r="N525" i="17" s="1"/>
  <c r="S525" i="17"/>
  <c r="T525" i="17" s="1"/>
  <c r="X525" i="17" l="1"/>
  <c r="Z525" i="17" s="1"/>
  <c r="AU525" i="17"/>
  <c r="U525" i="17" s="1"/>
  <c r="V525" i="17" l="1"/>
  <c r="W525" i="17" s="1"/>
  <c r="AE525" i="17" l="1"/>
  <c r="AA525" i="17"/>
  <c r="AB526" i="17" s="1"/>
  <c r="BK525" i="17"/>
  <c r="BH526" i="17" s="1"/>
  <c r="BI526" i="17" s="1"/>
  <c r="AV525" i="17"/>
  <c r="BG525" i="17"/>
  <c r="BD526" i="17" s="1"/>
  <c r="BE526" i="17" s="1"/>
  <c r="BF526" i="17" s="1"/>
  <c r="AC525" i="17" l="1"/>
  <c r="Q526" i="17" s="1"/>
  <c r="Y526" i="17"/>
  <c r="AD525" i="17" l="1"/>
  <c r="AT525" i="17"/>
  <c r="AF525" i="17" l="1"/>
  <c r="AG525" i="17" s="1"/>
  <c r="K526" i="17"/>
  <c r="M526" i="17" s="1"/>
  <c r="N526" i="17" s="1"/>
  <c r="S526" i="17" l="1"/>
  <c r="AU526" i="17"/>
  <c r="U526" i="17" s="1"/>
  <c r="T526" i="17" l="1"/>
  <c r="V526" i="17" s="1"/>
  <c r="W526" i="17" s="1"/>
  <c r="AV526" i="17" l="1"/>
  <c r="BK526" i="17"/>
  <c r="BH527" i="17" s="1"/>
  <c r="BI527" i="17" s="1"/>
  <c r="BG526" i="17"/>
  <c r="BD527" i="17" s="1"/>
  <c r="BE527" i="17" s="1"/>
  <c r="BF527" i="17" s="1"/>
  <c r="AE526" i="17"/>
  <c r="X526" i="17"/>
  <c r="AA526" i="17" s="1"/>
  <c r="AB527" i="17" s="1"/>
  <c r="Y527" i="17" l="1"/>
  <c r="AC526" i="17"/>
  <c r="Z526" i="17"/>
  <c r="Q527" i="17" l="1"/>
  <c r="AD526" i="17"/>
  <c r="K527" i="17" s="1"/>
  <c r="AT526" i="17"/>
  <c r="S527" i="17" l="1"/>
  <c r="T527" i="17" s="1"/>
  <c r="AF526" i="17"/>
  <c r="AG526" i="17" s="1"/>
  <c r="M527" i="17" l="1"/>
  <c r="N527" i="17" s="1"/>
  <c r="X527" i="17" l="1"/>
  <c r="Z527" i="17" s="1"/>
  <c r="AU527" i="17"/>
  <c r="U527" i="17" l="1"/>
  <c r="V527" i="17"/>
  <c r="W527" i="17" l="1"/>
  <c r="AV527" i="17" s="1"/>
  <c r="AA527" i="17" l="1"/>
  <c r="AB528" i="17" s="1"/>
  <c r="BK527" i="17"/>
  <c r="BH528" i="17" s="1"/>
  <c r="BI528" i="17" s="1"/>
  <c r="AE527" i="17"/>
  <c r="BG527" i="17"/>
  <c r="BD528" i="17" s="1"/>
  <c r="BE528" i="17" s="1"/>
  <c r="BF528" i="17" s="1"/>
  <c r="AC527" i="17"/>
  <c r="Q528" i="17" s="1"/>
  <c r="Y528" i="17"/>
  <c r="AD527" i="17" l="1"/>
  <c r="AT527" i="17"/>
  <c r="AF527" i="17" l="1"/>
  <c r="AG527" i="17" s="1"/>
  <c r="K528" i="17"/>
  <c r="S528" i="17"/>
  <c r="T528" i="17" s="1"/>
  <c r="M528" i="17" l="1"/>
  <c r="N528" i="17" s="1"/>
  <c r="X528" i="17" s="1"/>
  <c r="Z528" i="17" s="1"/>
  <c r="AU528" i="17" l="1"/>
  <c r="U528" i="17" l="1"/>
  <c r="V528" i="17"/>
  <c r="W528" i="17" l="1"/>
  <c r="BK528" i="17" s="1"/>
  <c r="BH529" i="17" s="1"/>
  <c r="BI529" i="17" s="1"/>
  <c r="AE528" i="17" l="1"/>
  <c r="AV528" i="17"/>
  <c r="BG528" i="17"/>
  <c r="BD529" i="17" s="1"/>
  <c r="BE529" i="17" s="1"/>
  <c r="BF529" i="17" s="1"/>
  <c r="AA528" i="17"/>
  <c r="AB529" i="17" s="1"/>
  <c r="AC528" i="17" l="1"/>
  <c r="Q529" i="17" s="1"/>
  <c r="Y529" i="17"/>
  <c r="AT528" i="17" l="1"/>
  <c r="AD528" i="17"/>
  <c r="K529" i="17" s="1"/>
  <c r="M529" i="17" s="1"/>
  <c r="N529" i="17" s="1"/>
  <c r="S529" i="17"/>
  <c r="T529" i="17" s="1"/>
  <c r="AF528" i="17" l="1"/>
  <c r="AG528" i="17" s="1"/>
  <c r="X529" i="17"/>
  <c r="Z529" i="17" s="1"/>
  <c r="AU529" i="17"/>
  <c r="U529" i="17" l="1"/>
  <c r="V529" i="17"/>
  <c r="W529" i="17" l="1"/>
  <c r="AV529" i="17" l="1"/>
  <c r="BG529" i="17"/>
  <c r="BD530" i="17" s="1"/>
  <c r="BE530" i="17" s="1"/>
  <c r="BF530" i="17" s="1"/>
  <c r="BK529" i="17"/>
  <c r="BH530" i="17" s="1"/>
  <c r="BI530" i="17" s="1"/>
  <c r="AA529" i="17"/>
  <c r="AB530" i="17" s="1"/>
  <c r="AE529" i="17"/>
  <c r="Y530" i="17" l="1"/>
  <c r="AC529" i="17"/>
  <c r="Q530" i="17" s="1"/>
  <c r="AD529" i="17" l="1"/>
  <c r="K530" i="17" s="1"/>
  <c r="AT529" i="17"/>
  <c r="S530" i="17" l="1"/>
  <c r="T530" i="17" s="1"/>
  <c r="AF529" i="17"/>
  <c r="AG529" i="17" s="1"/>
  <c r="M530" i="17" l="1"/>
  <c r="N530" i="17" s="1"/>
  <c r="X530" i="17" l="1"/>
  <c r="Z530" i="17" s="1"/>
  <c r="AU530" i="17"/>
  <c r="U530" i="17" l="1"/>
  <c r="V530" i="17"/>
  <c r="W530" i="17" l="1"/>
  <c r="BK530" i="17" s="1"/>
  <c r="BH531" i="17" s="1"/>
  <c r="BI531" i="17" s="1"/>
  <c r="BG530" i="17" l="1"/>
  <c r="BD531" i="17" s="1"/>
  <c r="BE531" i="17" s="1"/>
  <c r="BF531" i="17" s="1"/>
  <c r="AA530" i="17"/>
  <c r="AB531" i="17" s="1"/>
  <c r="AV530" i="17"/>
  <c r="AE530" i="17"/>
  <c r="AC530" i="17" l="1"/>
  <c r="Q531" i="17" s="1"/>
  <c r="Y531" i="17"/>
  <c r="AT530" i="17" l="1"/>
  <c r="AD530" i="17"/>
  <c r="AF530" i="17" s="1"/>
  <c r="AG530" i="17" s="1"/>
  <c r="S531" i="17"/>
  <c r="T531" i="17" s="1"/>
  <c r="K531" i="17" l="1"/>
  <c r="M531" i="17"/>
  <c r="N531" i="17" s="1"/>
  <c r="X531" i="17" s="1"/>
  <c r="Z531" i="17" s="1"/>
  <c r="AU531" i="17" l="1"/>
  <c r="U531" i="17"/>
  <c r="V531" i="17"/>
  <c r="W531" i="17" l="1"/>
  <c r="AV531" i="17" l="1"/>
  <c r="BK531" i="17"/>
  <c r="BH532" i="17" s="1"/>
  <c r="BI532" i="17" s="1"/>
  <c r="AA531" i="17"/>
  <c r="AB532" i="17" s="1"/>
  <c r="BG531" i="17"/>
  <c r="BD532" i="17" s="1"/>
  <c r="BE532" i="17" s="1"/>
  <c r="BF532" i="17" s="1"/>
  <c r="AE531" i="17"/>
  <c r="Y532" i="17" l="1"/>
  <c r="AC531" i="17"/>
  <c r="Q532" i="17" s="1"/>
  <c r="AD531" i="17" l="1"/>
  <c r="K532" i="17" s="1"/>
  <c r="AT531" i="17"/>
  <c r="S532" i="17" l="1"/>
  <c r="T532" i="17" s="1"/>
  <c r="AF531" i="17"/>
  <c r="AG531" i="17" s="1"/>
  <c r="M532" i="17" l="1"/>
  <c r="N532" i="17" s="1"/>
  <c r="X532" i="17" s="1"/>
  <c r="Z532" i="17" s="1"/>
  <c r="AU532" i="17" l="1"/>
  <c r="U532" i="17" s="1"/>
  <c r="V532" i="17" l="1"/>
  <c r="W532" i="17"/>
  <c r="AA532" i="17" s="1"/>
  <c r="AB533" i="17" s="1"/>
  <c r="AV532" i="17" l="1"/>
  <c r="BG532" i="17"/>
  <c r="BD533" i="17" s="1"/>
  <c r="BE533" i="17" s="1"/>
  <c r="BF533" i="17" s="1"/>
  <c r="AE532" i="17"/>
  <c r="BK532" i="17"/>
  <c r="BH533" i="17" s="1"/>
  <c r="BI533" i="17" s="1"/>
  <c r="Y533" i="17"/>
  <c r="AC532" i="17"/>
  <c r="Q533" i="17" s="1"/>
  <c r="AD532" i="17" l="1"/>
  <c r="AT532" i="17"/>
  <c r="AF532" i="17" l="1"/>
  <c r="AG532" i="17" s="1"/>
  <c r="K533" i="17"/>
  <c r="S533" i="17" l="1"/>
  <c r="T533" i="17" s="1"/>
  <c r="M533" i="17"/>
  <c r="N533" i="17" s="1"/>
  <c r="AU533" i="17" l="1"/>
  <c r="U533" i="17" s="1"/>
  <c r="X533" i="17"/>
  <c r="Z533" i="17" s="1"/>
  <c r="V533" i="17"/>
  <c r="W533" i="17" l="1"/>
  <c r="BK533" i="17" s="1"/>
  <c r="BH534" i="17" s="1"/>
  <c r="BI534" i="17" s="1"/>
  <c r="AE533" i="17" l="1"/>
  <c r="BG533" i="17"/>
  <c r="BD534" i="17" s="1"/>
  <c r="BE534" i="17" s="1"/>
  <c r="BF534" i="17" s="1"/>
  <c r="AA533" i="17"/>
  <c r="AB534" i="17" s="1"/>
  <c r="AV533" i="17"/>
  <c r="Y534" i="17" l="1"/>
  <c r="AC533" i="17"/>
  <c r="Q534" i="17" s="1"/>
  <c r="AT533" i="17" l="1"/>
  <c r="AD533" i="17"/>
  <c r="AF533" i="17" s="1"/>
  <c r="AG533" i="17" s="1"/>
  <c r="S534" i="17"/>
  <c r="T534" i="17" s="1"/>
  <c r="K534" i="17" l="1"/>
  <c r="M534" i="17"/>
  <c r="N534" i="17" s="1"/>
  <c r="X534" i="17" s="1"/>
  <c r="Z534" i="17" s="1"/>
  <c r="AU534" i="17" l="1"/>
  <c r="U534" i="17" l="1"/>
  <c r="V534" i="17"/>
  <c r="W534" i="17" l="1"/>
  <c r="AA534" i="17" s="1"/>
  <c r="AB535" i="17" s="1"/>
  <c r="BK534" i="17"/>
  <c r="BH535" i="17" s="1"/>
  <c r="BI535" i="17" s="1"/>
  <c r="AE534" i="17" l="1"/>
  <c r="BG534" i="17"/>
  <c r="BD535" i="17" s="1"/>
  <c r="BE535" i="17" s="1"/>
  <c r="BF535" i="17" s="1"/>
  <c r="AV534" i="17"/>
  <c r="AC534" i="17"/>
  <c r="Q535" i="17" s="1"/>
  <c r="Y535" i="17"/>
  <c r="AD534" i="17" l="1"/>
  <c r="AT534" i="17"/>
  <c r="AF534" i="17" l="1"/>
  <c r="AG534" i="17" s="1"/>
  <c r="K535" i="17"/>
  <c r="M535" i="17" s="1"/>
  <c r="N535" i="17" s="1"/>
  <c r="S535" i="17"/>
  <c r="T535" i="17" s="1"/>
  <c r="X535" i="17" l="1"/>
  <c r="Z535" i="17" s="1"/>
  <c r="AU535" i="17"/>
  <c r="U535" i="17" s="1"/>
  <c r="V535" i="17" l="1"/>
  <c r="W535" i="17" s="1"/>
  <c r="BK535" i="17" l="1"/>
  <c r="BH536" i="17" s="1"/>
  <c r="BI536" i="17" s="1"/>
  <c r="AV535" i="17"/>
  <c r="AA535" i="17"/>
  <c r="AB536" i="17" s="1"/>
  <c r="BG535" i="17"/>
  <c r="BD536" i="17" s="1"/>
  <c r="BE536" i="17" s="1"/>
  <c r="BF536" i="17" s="1"/>
  <c r="AE535" i="17"/>
  <c r="Y536" i="17" l="1"/>
  <c r="AC535" i="17"/>
  <c r="Q536" i="17" s="1"/>
  <c r="AD535" i="17" l="1"/>
  <c r="K536" i="17" s="1"/>
  <c r="AT535" i="17"/>
  <c r="M536" i="17" l="1"/>
  <c r="N536" i="17" s="1"/>
  <c r="AF535" i="17"/>
  <c r="AG535" i="17" s="1"/>
  <c r="S536" i="17" l="1"/>
  <c r="T536" i="17" s="1"/>
  <c r="AU536" i="17"/>
  <c r="U536" i="17" s="1"/>
  <c r="V536" i="17" l="1"/>
  <c r="W536" i="17" s="1"/>
  <c r="AV536" i="17" s="1"/>
  <c r="X536" i="17"/>
  <c r="Z536" i="17" s="1"/>
  <c r="AE536" i="17" l="1"/>
  <c r="BG536" i="17"/>
  <c r="BD537" i="17" s="1"/>
  <c r="BE537" i="17" s="1"/>
  <c r="BF537" i="17" s="1"/>
  <c r="BK536" i="17"/>
  <c r="BH537" i="17" s="1"/>
  <c r="BI537" i="17" s="1"/>
  <c r="AA536" i="17"/>
  <c r="AB537" i="17" s="1"/>
  <c r="Y537" i="17" l="1"/>
  <c r="AC536" i="17"/>
  <c r="Q537" i="17" s="1"/>
  <c r="AD536" i="17" l="1"/>
  <c r="AT536" i="17"/>
  <c r="AF536" i="17" l="1"/>
  <c r="AG536" i="17" s="1"/>
  <c r="K537" i="17"/>
  <c r="M537" i="17" s="1"/>
  <c r="N537" i="17" s="1"/>
  <c r="S537" i="17"/>
  <c r="T537" i="17" s="1"/>
  <c r="X537" i="17" l="1"/>
  <c r="AU537" i="17"/>
  <c r="U537" i="17" l="1"/>
  <c r="V537" i="17"/>
  <c r="Z537" i="17"/>
  <c r="W537" i="17" l="1"/>
  <c r="BG537" i="17" s="1"/>
  <c r="BD538" i="17" s="1"/>
  <c r="BE538" i="17" s="1"/>
  <c r="BF538" i="17" s="1"/>
  <c r="AE537" i="17"/>
  <c r="AV537" i="17" l="1"/>
  <c r="BK537" i="17"/>
  <c r="BH538" i="17" s="1"/>
  <c r="BI538" i="17" s="1"/>
  <c r="AA537" i="17"/>
  <c r="AB538" i="17" s="1"/>
  <c r="AC537" i="17" l="1"/>
  <c r="Q538" i="17" s="1"/>
  <c r="Y538" i="17"/>
  <c r="AD537" i="17" l="1"/>
  <c r="AT537" i="17"/>
  <c r="AF537" i="17"/>
  <c r="K538" i="17"/>
  <c r="M538" i="17" s="1"/>
  <c r="N538" i="17" s="1"/>
  <c r="S538" i="17"/>
  <c r="T538" i="17" s="1"/>
  <c r="AG537" i="17" l="1"/>
  <c r="AU538" i="17"/>
  <c r="U538" i="17" s="1"/>
  <c r="X538" i="17"/>
  <c r="V538" i="17" l="1"/>
  <c r="W538" i="17" s="1"/>
  <c r="Z538" i="17"/>
  <c r="AA538" i="17" l="1"/>
  <c r="AB539" i="17" s="1"/>
  <c r="BG538" i="17"/>
  <c r="BD539" i="17" s="1"/>
  <c r="BE539" i="17" s="1"/>
  <c r="BF539" i="17" s="1"/>
  <c r="AV538" i="17"/>
  <c r="BK538" i="17"/>
  <c r="BH539" i="17" s="1"/>
  <c r="BI539" i="17" s="1"/>
  <c r="AE538" i="17"/>
  <c r="AC538" i="17" l="1"/>
  <c r="Q539" i="17" s="1"/>
  <c r="Y539" i="17"/>
  <c r="AD538" i="17" l="1"/>
  <c r="AT538" i="17"/>
  <c r="AF538" i="17" l="1"/>
  <c r="AG538" i="17" s="1"/>
  <c r="K539" i="17"/>
  <c r="M539" i="17" s="1"/>
  <c r="S539" i="17"/>
  <c r="T539" i="17" s="1"/>
  <c r="N539" i="17" l="1"/>
  <c r="X539" i="17" l="1"/>
  <c r="Z539" i="17" s="1"/>
  <c r="AU539" i="17"/>
  <c r="U539" i="17" s="1"/>
  <c r="V539" i="17" l="1"/>
  <c r="W539" i="17" s="1"/>
  <c r="BK539" i="17" l="1"/>
  <c r="BH540" i="17" s="1"/>
  <c r="BI540" i="17" s="1"/>
  <c r="AA539" i="17"/>
  <c r="AB540" i="17" s="1"/>
  <c r="BG539" i="17"/>
  <c r="BD540" i="17" s="1"/>
  <c r="BE540" i="17" s="1"/>
  <c r="BF540" i="17" s="1"/>
  <c r="AV539" i="17"/>
  <c r="AE539" i="17"/>
  <c r="Y540" i="17" l="1"/>
  <c r="AC539" i="17"/>
  <c r="Q540" i="17" s="1"/>
  <c r="AD539" i="17" l="1"/>
  <c r="K540" i="17" s="1"/>
  <c r="AT539" i="17"/>
  <c r="S540" i="17" l="1"/>
  <c r="T540" i="17" s="1"/>
  <c r="AF539" i="17"/>
  <c r="AG539" i="17" s="1"/>
  <c r="M540" i="17" l="1"/>
  <c r="N540" i="17" l="1"/>
  <c r="X540" i="17" s="1"/>
  <c r="Z540" i="17" s="1"/>
  <c r="AU540" i="17" l="1"/>
  <c r="U540" i="17" s="1"/>
  <c r="V540" i="17" l="1"/>
  <c r="W540" i="17" s="1"/>
  <c r="AA540" i="17" l="1"/>
  <c r="AB541" i="17" s="1"/>
  <c r="AV540" i="17"/>
  <c r="BG540" i="17"/>
  <c r="BD541" i="17" s="1"/>
  <c r="BE541" i="17" s="1"/>
  <c r="BF541" i="17" s="1"/>
  <c r="BK540" i="17"/>
  <c r="BH541" i="17" s="1"/>
  <c r="BI541" i="17" s="1"/>
  <c r="AE540" i="17"/>
  <c r="AC540" i="17" l="1"/>
  <c r="Q541" i="17" s="1"/>
  <c r="Y541" i="17"/>
  <c r="AD540" i="17" l="1"/>
  <c r="K541" i="17" s="1"/>
  <c r="AT540" i="17"/>
  <c r="S541" i="17" l="1"/>
  <c r="T541" i="17" s="1"/>
  <c r="AF540" i="17"/>
  <c r="AG540" i="17" s="1"/>
  <c r="M541" i="17"/>
  <c r="N541" i="17" s="1"/>
  <c r="X541" i="17" l="1"/>
  <c r="Z541" i="17" s="1"/>
  <c r="AU541" i="17"/>
  <c r="U541" i="17" l="1"/>
  <c r="V541" i="17"/>
  <c r="W541" i="17" l="1"/>
  <c r="AV541" i="17" l="1"/>
  <c r="BG541" i="17"/>
  <c r="BD542" i="17" s="1"/>
  <c r="BE542" i="17" s="1"/>
  <c r="BF542" i="17" s="1"/>
  <c r="AA541" i="17"/>
  <c r="AB542" i="17" s="1"/>
  <c r="BK541" i="17"/>
  <c r="BH542" i="17" s="1"/>
  <c r="BI542" i="17" s="1"/>
  <c r="AE541" i="17"/>
  <c r="Y542" i="17" l="1"/>
  <c r="AC541" i="17"/>
  <c r="Q542" i="17" s="1"/>
  <c r="AD541" i="17" l="1"/>
  <c r="K542" i="17" s="1"/>
  <c r="AT541" i="17"/>
  <c r="S542" i="17" l="1"/>
  <c r="T542" i="17" s="1"/>
  <c r="AF541" i="17"/>
  <c r="AG541" i="17" s="1"/>
  <c r="M542" i="17" l="1"/>
  <c r="N542" i="17" s="1"/>
  <c r="X542" i="17" s="1"/>
  <c r="Z542" i="17" s="1"/>
  <c r="AU542" i="17" l="1"/>
  <c r="U542" i="17" s="1"/>
  <c r="V542" i="17" l="1"/>
  <c r="W542" i="17" s="1"/>
  <c r="AV542" i="17" l="1"/>
  <c r="AA542" i="17"/>
  <c r="AB543" i="17" s="1"/>
  <c r="BG542" i="17"/>
  <c r="BD543" i="17" s="1"/>
  <c r="BE543" i="17" s="1"/>
  <c r="BF543" i="17" s="1"/>
  <c r="BK542" i="17"/>
  <c r="BH543" i="17" s="1"/>
  <c r="BI543" i="17" s="1"/>
  <c r="AE542" i="17"/>
  <c r="Y543" i="17" l="1"/>
  <c r="AC542" i="17"/>
  <c r="Q543" i="17" s="1"/>
  <c r="AD542" i="17" l="1"/>
  <c r="AT542" i="17"/>
  <c r="AF542" i="17" l="1"/>
  <c r="AG542" i="17" s="1"/>
  <c r="K543" i="17"/>
  <c r="S543" i="17"/>
  <c r="T543" i="17" s="1"/>
  <c r="M543" i="17" l="1"/>
  <c r="N543" i="17" s="1"/>
  <c r="AU543" i="17" l="1"/>
  <c r="X543" i="17"/>
  <c r="Z543" i="17" s="1"/>
  <c r="U543" i="17" l="1"/>
  <c r="V543" i="17"/>
  <c r="W543" i="17" l="1"/>
  <c r="BK543" i="17" s="1"/>
  <c r="BH544" i="17" s="1"/>
  <c r="BI544" i="17" s="1"/>
  <c r="AE543" i="17" l="1"/>
  <c r="AV543" i="17"/>
  <c r="AA543" i="17"/>
  <c r="AB544" i="17" s="1"/>
  <c r="BG543" i="17"/>
  <c r="BD544" i="17" s="1"/>
  <c r="BE544" i="17" s="1"/>
  <c r="BF544" i="17" s="1"/>
  <c r="AC543" i="17" l="1"/>
  <c r="Q544" i="17" s="1"/>
  <c r="Y544" i="17"/>
  <c r="AT543" i="17" l="1"/>
  <c r="AD543" i="17"/>
  <c r="K544" i="17" s="1"/>
  <c r="S544" i="17"/>
  <c r="T544" i="17" s="1"/>
  <c r="AF543" i="17" l="1"/>
  <c r="AG543" i="17" s="1"/>
  <c r="M544" i="17"/>
  <c r="N544" i="17" s="1"/>
  <c r="AU544" i="17" s="1"/>
  <c r="U544" i="17" s="1"/>
  <c r="X544" i="17" l="1"/>
  <c r="Z544" i="17" s="1"/>
  <c r="V544" i="17"/>
  <c r="W544" i="17" s="1"/>
  <c r="AV544" i="17" l="1"/>
  <c r="BG544" i="17"/>
  <c r="BD545" i="17" s="1"/>
  <c r="BE545" i="17" s="1"/>
  <c r="BF545" i="17" s="1"/>
  <c r="BK544" i="17"/>
  <c r="BH545" i="17" s="1"/>
  <c r="BI545" i="17" s="1"/>
  <c r="AA544" i="17"/>
  <c r="AB545" i="17" s="1"/>
  <c r="AE544" i="17"/>
  <c r="AC544" i="17" l="1"/>
  <c r="Q545" i="17" s="1"/>
  <c r="Y545" i="17"/>
  <c r="AD544" i="17" l="1"/>
  <c r="AT544" i="17"/>
  <c r="AF544" i="17" l="1"/>
  <c r="AG544" i="17" s="1"/>
  <c r="K545" i="17"/>
  <c r="M545" i="17" s="1"/>
  <c r="N545" i="17" s="1"/>
  <c r="S545" i="17"/>
  <c r="T545" i="17" s="1"/>
  <c r="X545" i="17" l="1"/>
  <c r="Z545" i="17" s="1"/>
  <c r="AU545" i="17"/>
  <c r="U545" i="17" s="1"/>
  <c r="V545" i="17" l="1"/>
  <c r="W545" i="17" s="1"/>
  <c r="AA545" i="17" l="1"/>
  <c r="AB546" i="17" s="1"/>
  <c r="BG545" i="17"/>
  <c r="BD546" i="17" s="1"/>
  <c r="BE546" i="17" s="1"/>
  <c r="BF546" i="17" s="1"/>
  <c r="BK545" i="17"/>
  <c r="BH546" i="17" s="1"/>
  <c r="BI546" i="17" s="1"/>
  <c r="AV545" i="17"/>
  <c r="AE545" i="17"/>
  <c r="Y546" i="17" l="1"/>
  <c r="AC545" i="17"/>
  <c r="Q546" i="17" s="1"/>
  <c r="AD545" i="17" l="1"/>
  <c r="AT545" i="17"/>
  <c r="AF545" i="17" l="1"/>
  <c r="AG545" i="17" s="1"/>
  <c r="K546" i="17"/>
  <c r="M546" i="17" s="1"/>
  <c r="N546" i="17" s="1"/>
  <c r="S546" i="17"/>
  <c r="T546" i="17" s="1"/>
  <c r="AU546" i="17" l="1"/>
  <c r="U546" i="17" s="1"/>
  <c r="V546" i="17"/>
  <c r="X546" i="17"/>
  <c r="Z546" i="17" s="1"/>
  <c r="W546" i="17" l="1"/>
  <c r="AE546" i="17" s="1"/>
  <c r="BK546" i="17" l="1"/>
  <c r="BH547" i="17" s="1"/>
  <c r="BI547" i="17" s="1"/>
  <c r="AA546" i="17"/>
  <c r="AB547" i="17" s="1"/>
  <c r="BG546" i="17"/>
  <c r="BD547" i="17" s="1"/>
  <c r="BE547" i="17" s="1"/>
  <c r="BF547" i="17" s="1"/>
  <c r="AV546" i="17"/>
  <c r="Y547" i="17" l="1"/>
  <c r="AC546" i="17"/>
  <c r="Q547" i="17" s="1"/>
  <c r="AD546" i="17" l="1"/>
  <c r="AT546" i="17"/>
  <c r="AF546" i="17"/>
  <c r="AG546" i="17" s="1"/>
  <c r="K547" i="17"/>
  <c r="M547" i="17" s="1"/>
  <c r="N547" i="17" s="1"/>
  <c r="S547" i="17" l="1"/>
  <c r="AU547" i="17"/>
  <c r="U547" i="17" s="1"/>
  <c r="T547" i="17" l="1"/>
  <c r="X547" i="17" s="1"/>
  <c r="Z547" i="17" s="1"/>
  <c r="V547" i="17"/>
  <c r="W547" i="17" s="1"/>
  <c r="AV547" i="17" l="1"/>
  <c r="AA547" i="17"/>
  <c r="AB548" i="17" s="1"/>
  <c r="BK547" i="17"/>
  <c r="BH548" i="17" s="1"/>
  <c r="BI548" i="17" s="1"/>
  <c r="BG547" i="17"/>
  <c r="BD548" i="17" s="1"/>
  <c r="BE548" i="17" s="1"/>
  <c r="BF548" i="17" s="1"/>
  <c r="AE547" i="17"/>
  <c r="AC547" i="17" l="1"/>
  <c r="Q548" i="17" s="1"/>
  <c r="Y548" i="17"/>
  <c r="AD547" i="17" l="1"/>
  <c r="AT547" i="17"/>
  <c r="AF547" i="17" l="1"/>
  <c r="AG547" i="17" s="1"/>
  <c r="K548" i="17"/>
  <c r="M548" i="17" s="1"/>
  <c r="S548" i="17"/>
  <c r="T548" i="17" s="1"/>
  <c r="N548" i="17" l="1"/>
  <c r="X548" i="17" s="1"/>
  <c r="Z548" i="17" s="1"/>
  <c r="AU548" i="17" l="1"/>
  <c r="U548" i="17" s="1"/>
  <c r="V548" i="17"/>
  <c r="W548" i="17" l="1"/>
  <c r="AV548" i="17" s="1"/>
  <c r="AE548" i="17"/>
  <c r="BG548" i="17"/>
  <c r="BD549" i="17" s="1"/>
  <c r="BE549" i="17" s="1"/>
  <c r="BF549" i="17" s="1"/>
  <c r="BK548" i="17"/>
  <c r="BH549" i="17" s="1"/>
  <c r="BI549" i="17" s="1"/>
  <c r="AA548" i="17"/>
  <c r="AB549" i="17" s="1"/>
  <c r="Y549" i="17" l="1"/>
  <c r="AC548" i="17"/>
  <c r="Q549" i="17" s="1"/>
  <c r="AD548" i="17" l="1"/>
  <c r="K549" i="17" s="1"/>
  <c r="M549" i="17" s="1"/>
  <c r="N549" i="17" s="1"/>
  <c r="AT548" i="17"/>
  <c r="S549" i="17"/>
  <c r="T549" i="17" s="1"/>
  <c r="AF548" i="17" l="1"/>
  <c r="AG548" i="17" s="1"/>
  <c r="X549" i="17"/>
  <c r="AU549" i="17"/>
  <c r="U549" i="17" s="1"/>
  <c r="V549" i="17" l="1"/>
  <c r="W549" i="17" s="1"/>
  <c r="Z549" i="17"/>
  <c r="AE549" i="17" l="1"/>
  <c r="BK549" i="17"/>
  <c r="BH550" i="17" s="1"/>
  <c r="BI550" i="17" s="1"/>
  <c r="AA549" i="17"/>
  <c r="AB550" i="17" s="1"/>
  <c r="AV549" i="17"/>
  <c r="BG549" i="17"/>
  <c r="BD550" i="17" s="1"/>
  <c r="BE550" i="17" s="1"/>
  <c r="BF550" i="17" s="1"/>
  <c r="Y550" i="17" l="1"/>
  <c r="AC549" i="17"/>
  <c r="Q550" i="17" s="1"/>
  <c r="AT549" i="17" l="1"/>
  <c r="AD549" i="17"/>
  <c r="AF549" i="17" l="1"/>
  <c r="AG549" i="17" s="1"/>
  <c r="K550" i="17"/>
  <c r="S550" i="17"/>
  <c r="T550" i="17" s="1"/>
  <c r="M550" i="17" l="1"/>
  <c r="N550" i="17"/>
  <c r="AU550" i="17" l="1"/>
  <c r="U550" i="17" s="1"/>
  <c r="X550" i="17"/>
  <c r="Z550" i="17" s="1"/>
  <c r="V550" i="17"/>
  <c r="W550" i="17" l="1"/>
  <c r="AE550" i="17" s="1"/>
  <c r="BK550" i="17" l="1"/>
  <c r="BH551" i="17" s="1"/>
  <c r="BI551" i="17" s="1"/>
  <c r="AV550" i="17"/>
  <c r="AA550" i="17"/>
  <c r="AB551" i="17" s="1"/>
  <c r="BG550" i="17"/>
  <c r="BD551" i="17" s="1"/>
  <c r="BE551" i="17" s="1"/>
  <c r="BF551" i="17" s="1"/>
  <c r="Y551" i="17" l="1"/>
  <c r="AC550" i="17"/>
  <c r="Q551" i="17" s="1"/>
  <c r="AT550" i="17" l="1"/>
  <c r="AD550" i="17"/>
  <c r="K551" i="17" s="1"/>
  <c r="M551" i="17" s="1"/>
  <c r="S551" i="17"/>
  <c r="T551" i="17" s="1"/>
  <c r="AF550" i="17" l="1"/>
  <c r="AG550" i="17" s="1"/>
  <c r="N551" i="17"/>
  <c r="X551" i="17" s="1"/>
  <c r="Z551" i="17" s="1"/>
  <c r="AU551" i="17" l="1"/>
  <c r="U551" i="17" s="1"/>
  <c r="V551" i="17" l="1"/>
  <c r="W551" i="17" s="1"/>
  <c r="BG551" i="17" l="1"/>
  <c r="BD552" i="17" s="1"/>
  <c r="BE552" i="17" s="1"/>
  <c r="BF552" i="17" s="1"/>
  <c r="AV551" i="17"/>
  <c r="AA551" i="17"/>
  <c r="AB552" i="17" s="1"/>
  <c r="BK551" i="17"/>
  <c r="BH552" i="17" s="1"/>
  <c r="BI552" i="17" s="1"/>
  <c r="AE551" i="17"/>
  <c r="Y552" i="17" l="1"/>
  <c r="AC551" i="17"/>
  <c r="Q552" i="17" s="1"/>
  <c r="AD551" i="17" l="1"/>
  <c r="AT551" i="17"/>
  <c r="S552" i="17" l="1"/>
  <c r="T552" i="17" s="1"/>
  <c r="K552" i="17"/>
  <c r="M552" i="17" s="1"/>
  <c r="AF551" i="17"/>
  <c r="AG551" i="17" s="1"/>
  <c r="N552" i="17" l="1"/>
  <c r="X552" i="17" l="1"/>
  <c r="Z552" i="17" s="1"/>
  <c r="AU552" i="17"/>
  <c r="U552" i="17" s="1"/>
  <c r="V552" i="17" l="1"/>
  <c r="W552" i="17" s="1"/>
  <c r="AA552" i="17" s="1"/>
  <c r="AB553" i="17" s="1"/>
  <c r="AE552" i="17" l="1"/>
  <c r="BG552" i="17"/>
  <c r="BD553" i="17" s="1"/>
  <c r="BE553" i="17" s="1"/>
  <c r="BF553" i="17" s="1"/>
  <c r="BK552" i="17"/>
  <c r="BH553" i="17" s="1"/>
  <c r="BI553" i="17" s="1"/>
  <c r="AV552" i="17"/>
  <c r="Y553" i="17"/>
  <c r="AC552" i="17"/>
  <c r="Q553" i="17" s="1"/>
  <c r="AT552" i="17" l="1"/>
  <c r="S553" i="17"/>
  <c r="T553" i="17" s="1"/>
  <c r="AD552" i="17"/>
  <c r="AF552" i="17" l="1"/>
  <c r="AG552" i="17" s="1"/>
  <c r="K553" i="17"/>
  <c r="M553" i="17" s="1"/>
  <c r="N553" i="17" l="1"/>
  <c r="X553" i="17" s="1"/>
  <c r="Z553" i="17" s="1"/>
  <c r="AU553" i="17" l="1"/>
  <c r="U553" i="17" s="1"/>
  <c r="V553" i="17" l="1"/>
  <c r="W553" i="17" s="1"/>
  <c r="AA553" i="17" l="1"/>
  <c r="AB554" i="17" s="1"/>
  <c r="AV553" i="17"/>
  <c r="BG553" i="17"/>
  <c r="BD554" i="17" s="1"/>
  <c r="BE554" i="17" s="1"/>
  <c r="BF554" i="17" s="1"/>
  <c r="BK553" i="17"/>
  <c r="BH554" i="17" s="1"/>
  <c r="BI554" i="17" s="1"/>
  <c r="AE553" i="17"/>
  <c r="Y554" i="17" l="1"/>
  <c r="AC553" i="17"/>
  <c r="Q554" i="17" s="1"/>
  <c r="AD553" i="17" l="1"/>
  <c r="AT553" i="17"/>
  <c r="AF553" i="17" l="1"/>
  <c r="AG553" i="17" s="1"/>
  <c r="K554" i="17"/>
  <c r="S554" i="17"/>
  <c r="T554" i="17" s="1"/>
  <c r="M554" i="17" l="1"/>
  <c r="N554" i="17" s="1"/>
  <c r="X554" i="17" l="1"/>
  <c r="AU554" i="17"/>
  <c r="U554" i="17" l="1"/>
  <c r="V554" i="17"/>
  <c r="AC554" i="17"/>
  <c r="Z554" i="17"/>
  <c r="Q555" i="17" l="1"/>
  <c r="W554" i="17"/>
  <c r="AA554" i="17" l="1"/>
  <c r="AB555" i="17" s="1"/>
  <c r="AV554" i="17"/>
  <c r="BG554" i="17"/>
  <c r="BD555" i="17" s="1"/>
  <c r="BE555" i="17" s="1"/>
  <c r="BF555" i="17" s="1"/>
  <c r="BK554" i="17"/>
  <c r="BH555" i="17" s="1"/>
  <c r="BI555" i="17" s="1"/>
  <c r="AE554" i="17"/>
  <c r="AT554" i="17"/>
  <c r="AD554" i="17" l="1"/>
  <c r="K555" i="17" s="1"/>
  <c r="S555" i="17"/>
  <c r="T555" i="17" s="1"/>
  <c r="Y555" i="17"/>
  <c r="AF554" i="17" l="1"/>
  <c r="M555" i="17"/>
  <c r="N555" i="17" s="1"/>
  <c r="H16" i="17"/>
  <c r="X555" i="17" l="1"/>
  <c r="Z555" i="17" s="1"/>
  <c r="AU555" i="17"/>
  <c r="U555" i="17" s="1"/>
  <c r="V555" i="17" l="1"/>
  <c r="W555" i="17" s="1"/>
  <c r="BG555" i="17" l="1"/>
  <c r="BD556" i="17" s="1"/>
  <c r="BE556" i="17" s="1"/>
  <c r="BF556" i="17" s="1"/>
  <c r="AA555" i="17"/>
  <c r="AB556" i="17" s="1"/>
  <c r="AV555" i="17"/>
  <c r="BK555" i="17"/>
  <c r="BH556" i="17" s="1"/>
  <c r="BI556" i="17" s="1"/>
  <c r="AE555" i="17"/>
  <c r="AC555" i="17" l="1"/>
  <c r="Q556" i="17" s="1"/>
  <c r="Y556" i="17"/>
  <c r="AD555" i="17" l="1"/>
  <c r="AT555" i="17"/>
  <c r="AF555" i="17" l="1"/>
  <c r="AG555" i="17" s="1"/>
  <c r="K556" i="17"/>
  <c r="S556" i="17"/>
  <c r="T556" i="17" s="1"/>
  <c r="M556" i="17" l="1"/>
  <c r="N556" i="17" l="1"/>
  <c r="AU556" i="17" s="1"/>
  <c r="U556" i="17" s="1"/>
  <c r="X556" i="17" l="1"/>
  <c r="Z556" i="17" s="1"/>
  <c r="V556" i="17"/>
  <c r="W556" i="17" s="1"/>
  <c r="BG556" i="17" l="1"/>
  <c r="BD557" i="17" s="1"/>
  <c r="BE557" i="17" s="1"/>
  <c r="BF557" i="17" s="1"/>
  <c r="BK556" i="17"/>
  <c r="BH557" i="17" s="1"/>
  <c r="BI557" i="17" s="1"/>
  <c r="AA556" i="17"/>
  <c r="AB557" i="17" s="1"/>
  <c r="AV556" i="17"/>
  <c r="AE556" i="17"/>
  <c r="Y557" i="17" l="1"/>
  <c r="AC556" i="17"/>
  <c r="Q557" i="17" s="1"/>
  <c r="AD556" i="17" l="1"/>
  <c r="AT556" i="17"/>
  <c r="AF556" i="17" l="1"/>
  <c r="AG556" i="17" s="1"/>
  <c r="K557" i="17"/>
  <c r="S557" i="17" l="1"/>
  <c r="T557" i="17" s="1"/>
  <c r="M557" i="17"/>
  <c r="N557" i="17" s="1"/>
  <c r="X557" i="17" l="1"/>
  <c r="Z557" i="17" s="1"/>
  <c r="AU557" i="17"/>
  <c r="U557" i="17" s="1"/>
  <c r="V557" i="17" l="1"/>
  <c r="W557" i="17" s="1"/>
  <c r="BG557" i="17" l="1"/>
  <c r="BD558" i="17" s="1"/>
  <c r="BE558" i="17" s="1"/>
  <c r="BF558" i="17" s="1"/>
  <c r="AA557" i="17"/>
  <c r="AB558" i="17" s="1"/>
  <c r="AV557" i="17"/>
  <c r="BK557" i="17"/>
  <c r="BH558" i="17" s="1"/>
  <c r="BI558" i="17" s="1"/>
  <c r="AE557" i="17"/>
  <c r="Y558" i="17" l="1"/>
  <c r="AC557" i="17"/>
  <c r="Q558" i="17" s="1"/>
  <c r="S558" i="17" s="1"/>
  <c r="T558" i="17" s="1"/>
  <c r="AT557" i="17" l="1"/>
  <c r="AD557" i="17"/>
  <c r="K558" i="17" s="1"/>
  <c r="AF557" i="17" l="1"/>
  <c r="AG557" i="17" s="1"/>
  <c r="M558" i="17"/>
  <c r="N558" i="17" s="1"/>
  <c r="AU558" i="17" s="1"/>
  <c r="X558" i="17" l="1"/>
  <c r="Z558" i="17" s="1"/>
  <c r="U558" i="17"/>
  <c r="V558" i="17"/>
  <c r="W558" i="17" l="1"/>
  <c r="AA558" i="17" s="1"/>
  <c r="AB559" i="17" s="1"/>
  <c r="AE558" i="17" l="1"/>
  <c r="AV558" i="17"/>
  <c r="BK558" i="17"/>
  <c r="BH559" i="17" s="1"/>
  <c r="BI559" i="17" s="1"/>
  <c r="BG558" i="17"/>
  <c r="BD559" i="17" s="1"/>
  <c r="BE559" i="17" s="1"/>
  <c r="BF559" i="17" s="1"/>
  <c r="AC558" i="17"/>
  <c r="Q559" i="17" s="1"/>
  <c r="Y559" i="17"/>
  <c r="S559" i="17" l="1"/>
  <c r="T559" i="17" s="1"/>
  <c r="AD558" i="17"/>
  <c r="AT558" i="17"/>
  <c r="AF558" i="17" l="1"/>
  <c r="AG558" i="17" s="1"/>
  <c r="K559" i="17"/>
  <c r="M559" i="17" s="1"/>
  <c r="N559" i="17" l="1"/>
  <c r="X559" i="17" l="1"/>
  <c r="AU559" i="17"/>
  <c r="U559" i="17" s="1"/>
  <c r="Z559" i="17" l="1"/>
  <c r="V559" i="17"/>
  <c r="W559" i="17" s="1"/>
  <c r="BG559" i="17" l="1"/>
  <c r="BD560" i="17" s="1"/>
  <c r="BE560" i="17" s="1"/>
  <c r="BF560" i="17" s="1"/>
  <c r="AV559" i="17"/>
  <c r="AA559" i="17"/>
  <c r="AB560" i="17" s="1"/>
  <c r="BK559" i="17"/>
  <c r="BH560" i="17" s="1"/>
  <c r="BI560" i="17" s="1"/>
  <c r="AE559" i="17"/>
  <c r="AC559" i="17" l="1"/>
  <c r="Q560" i="17" s="1"/>
  <c r="Y560" i="17"/>
  <c r="S560" i="17" l="1"/>
  <c r="T560" i="17" s="1"/>
  <c r="AD559" i="17"/>
  <c r="AT559" i="17"/>
  <c r="AF559" i="17" l="1"/>
  <c r="AG559" i="17" s="1"/>
  <c r="K560" i="17"/>
  <c r="M560" i="17" s="1"/>
  <c r="N560" i="17" s="1"/>
  <c r="AU560" i="17" s="1"/>
  <c r="U560" i="17" s="1"/>
  <c r="X560" i="17" l="1"/>
  <c r="Z560" i="17" s="1"/>
  <c r="V560" i="17"/>
  <c r="W560" i="17" s="1"/>
  <c r="AA560" i="17" s="1"/>
  <c r="AB561" i="17" s="1"/>
  <c r="BG560" i="17" l="1"/>
  <c r="BD561" i="17" s="1"/>
  <c r="BE561" i="17" s="1"/>
  <c r="BF561" i="17" s="1"/>
  <c r="BK560" i="17"/>
  <c r="BH561" i="17" s="1"/>
  <c r="BI561" i="17" s="1"/>
  <c r="AE560" i="17"/>
  <c r="AV560" i="17"/>
  <c r="Y561" i="17"/>
  <c r="AC560" i="17"/>
  <c r="Q561" i="17" s="1"/>
  <c r="AD560" i="17" l="1"/>
  <c r="AT560" i="17"/>
  <c r="AF560" i="17" l="1"/>
  <c r="AG560" i="17" s="1"/>
  <c r="K561" i="17"/>
  <c r="M561" i="17" s="1"/>
  <c r="N561" i="17" s="1"/>
  <c r="S561" i="17"/>
  <c r="AU561" i="17" l="1"/>
  <c r="U561" i="17" s="1"/>
  <c r="T561" i="17"/>
  <c r="V561" i="17" s="1"/>
  <c r="W561" i="17" l="1"/>
  <c r="BK561" i="17" s="1"/>
  <c r="BH562" i="17" s="1"/>
  <c r="BI562" i="17" s="1"/>
  <c r="X561" i="17"/>
  <c r="Z561" i="17" s="1"/>
  <c r="AE561" i="17" l="1"/>
  <c r="AV561" i="17"/>
  <c r="BG561" i="17"/>
  <c r="BD562" i="17" s="1"/>
  <c r="BE562" i="17" s="1"/>
  <c r="BF562" i="17" s="1"/>
  <c r="AA561" i="17"/>
  <c r="AB562" i="17" s="1"/>
  <c r="Y562" i="17" l="1"/>
  <c r="AC561" i="17"/>
  <c r="Q562" i="17" s="1"/>
  <c r="AT561" i="17" l="1"/>
  <c r="AD561" i="17"/>
  <c r="K562" i="17" s="1"/>
  <c r="M562" i="17" s="1"/>
  <c r="S562" i="17"/>
  <c r="T562" i="17" s="1"/>
  <c r="AF561" i="17" l="1"/>
  <c r="AG561" i="17" s="1"/>
  <c r="N562" i="17"/>
  <c r="AU562" i="17" s="1"/>
  <c r="U562" i="17" s="1"/>
  <c r="V562" i="17"/>
  <c r="X562" i="17" l="1"/>
  <c r="Z562" i="17" s="1"/>
  <c r="W562" i="17"/>
  <c r="AE562" i="17" s="1"/>
  <c r="AA562" i="17" l="1"/>
  <c r="AB563" i="17" s="1"/>
  <c r="AV562" i="17"/>
  <c r="BK562" i="17"/>
  <c r="BH563" i="17" s="1"/>
  <c r="BI563" i="17" s="1"/>
  <c r="BG562" i="17"/>
  <c r="BD563" i="17" s="1"/>
  <c r="BE563" i="17" s="1"/>
  <c r="BF563" i="17" s="1"/>
  <c r="Y563" i="17" l="1"/>
  <c r="AC562" i="17"/>
  <c r="Q563" i="17" s="1"/>
  <c r="S563" i="17" s="1"/>
  <c r="T563" i="17" s="1"/>
  <c r="AT562" i="17" l="1"/>
  <c r="AD562" i="17"/>
  <c r="K563" i="17" s="1"/>
  <c r="M563" i="17" s="1"/>
  <c r="N563" i="17" s="1"/>
  <c r="AU563" i="17" s="1"/>
  <c r="U563" i="17" s="1"/>
  <c r="AF562" i="17" l="1"/>
  <c r="AG562" i="17" s="1"/>
  <c r="X563" i="17"/>
  <c r="Z563" i="17" s="1"/>
  <c r="V563" i="17"/>
  <c r="W563" i="17" s="1"/>
  <c r="BK563" i="17" l="1"/>
  <c r="BH564" i="17" s="1"/>
  <c r="BI564" i="17" s="1"/>
  <c r="AV563" i="17"/>
  <c r="BG563" i="17"/>
  <c r="BD564" i="17" s="1"/>
  <c r="BE564" i="17" s="1"/>
  <c r="BF564" i="17" s="1"/>
  <c r="AA563" i="17"/>
  <c r="AB564" i="17" s="1"/>
  <c r="AE563" i="17"/>
  <c r="AC563" i="17" l="1"/>
  <c r="Q564" i="17" s="1"/>
  <c r="Y564" i="17"/>
  <c r="AD563" i="17" l="1"/>
  <c r="K564" i="17" s="1"/>
  <c r="AT563" i="17"/>
  <c r="AF563" i="17" l="1"/>
  <c r="AG563" i="17" s="1"/>
  <c r="M564" i="17"/>
  <c r="N564" i="17" s="1"/>
  <c r="S564" i="17" l="1"/>
  <c r="T564" i="17" s="1"/>
  <c r="AU564" i="17"/>
  <c r="V564" i="17" l="1"/>
  <c r="U564" i="17"/>
  <c r="W564" i="17" s="1"/>
  <c r="X564" i="17"/>
  <c r="Z564" i="17" s="1"/>
  <c r="AV564" i="17" l="1"/>
  <c r="AA564" i="17"/>
  <c r="AB565" i="17" s="1"/>
  <c r="BK564" i="17"/>
  <c r="BH565" i="17" s="1"/>
  <c r="BI565" i="17" s="1"/>
  <c r="BG564" i="17"/>
  <c r="BD565" i="17" s="1"/>
  <c r="BE565" i="17" s="1"/>
  <c r="BF565" i="17" s="1"/>
  <c r="AE564" i="17"/>
  <c r="Y565" i="17" l="1"/>
  <c r="AC564" i="17"/>
  <c r="Q565" i="17" s="1"/>
  <c r="AT564" i="17" l="1"/>
  <c r="AD564" i="17"/>
  <c r="AF564" i="17" l="1"/>
  <c r="AG564" i="17" s="1"/>
  <c r="K565" i="17"/>
  <c r="M565" i="17" s="1"/>
  <c r="N565" i="17" s="1"/>
  <c r="S565" i="17"/>
  <c r="T565" i="17" s="1"/>
  <c r="X565" i="17" l="1"/>
  <c r="Z565" i="17" s="1"/>
  <c r="AU565" i="17"/>
  <c r="U565" i="17"/>
  <c r="V565" i="17"/>
  <c r="W565" i="17" l="1"/>
  <c r="BG565" i="17" l="1"/>
  <c r="BD566" i="17" s="1"/>
  <c r="BE566" i="17" s="1"/>
  <c r="BF566" i="17" s="1"/>
  <c r="AE565" i="17"/>
  <c r="AV565" i="17"/>
  <c r="AA565" i="17"/>
  <c r="AB566" i="17" s="1"/>
  <c r="BK565" i="17"/>
  <c r="BH566" i="17" s="1"/>
  <c r="BI566" i="17" s="1"/>
  <c r="Y566" i="17" l="1"/>
  <c r="AC565" i="17"/>
  <c r="Q566" i="17" s="1"/>
  <c r="AT565" i="17" l="1"/>
  <c r="AD565" i="17"/>
  <c r="K566" i="17" s="1"/>
  <c r="S566" i="17"/>
  <c r="T566" i="17" s="1"/>
  <c r="AF565" i="17" l="1"/>
  <c r="AG565" i="17" s="1"/>
  <c r="M566" i="17"/>
  <c r="N566" i="17" s="1"/>
  <c r="AU566" i="17" s="1"/>
  <c r="U566" i="17" l="1"/>
  <c r="V566" i="17"/>
  <c r="X566" i="17"/>
  <c r="Z566" i="17" s="1"/>
  <c r="W566" i="17" l="1"/>
  <c r="BK566" i="17" s="1"/>
  <c r="BH567" i="17" s="1"/>
  <c r="BI567" i="17" s="1"/>
  <c r="AA566" i="17" l="1"/>
  <c r="AB567" i="17" s="1"/>
  <c r="BG566" i="17"/>
  <c r="BD567" i="17" s="1"/>
  <c r="BE567" i="17" s="1"/>
  <c r="BF567" i="17" s="1"/>
  <c r="AE566" i="17"/>
  <c r="AV566" i="17"/>
  <c r="Y567" i="17"/>
  <c r="AC566" i="17"/>
  <c r="Q567" i="17" s="1"/>
  <c r="AT566" i="17" l="1"/>
  <c r="AD566" i="17"/>
  <c r="S567" i="17"/>
  <c r="T567" i="17" s="1"/>
  <c r="AF566" i="17" l="1"/>
  <c r="AG566" i="17" s="1"/>
  <c r="K567" i="17"/>
  <c r="M567" i="17" s="1"/>
  <c r="N567" i="17" s="1"/>
  <c r="X567" i="17" s="1"/>
  <c r="Z567" i="17" s="1"/>
  <c r="AU567" i="17" l="1"/>
  <c r="U567" i="17" s="1"/>
  <c r="V567" i="17"/>
  <c r="W567" i="17" l="1"/>
  <c r="AA567" i="17" s="1"/>
  <c r="AB568" i="17" s="1"/>
  <c r="AE567" i="17" l="1"/>
  <c r="BK567" i="17"/>
  <c r="BH568" i="17" s="1"/>
  <c r="BI568" i="17" s="1"/>
  <c r="AV567" i="17"/>
  <c r="BG567" i="17"/>
  <c r="BD568" i="17" s="1"/>
  <c r="BE568" i="17" s="1"/>
  <c r="BF568" i="17" s="1"/>
  <c r="Y568" i="17"/>
  <c r="AC567" i="17"/>
  <c r="Q568" i="17" s="1"/>
  <c r="AD567" i="17" l="1"/>
  <c r="AT567" i="17"/>
  <c r="AF567" i="17" l="1"/>
  <c r="AG567" i="17" s="1"/>
  <c r="K568" i="17"/>
  <c r="M568" i="17" s="1"/>
  <c r="N568" i="17" s="1"/>
  <c r="S568" i="17"/>
  <c r="T568" i="17" s="1"/>
  <c r="X568" i="17" l="1"/>
  <c r="Z568" i="17" s="1"/>
  <c r="AU568" i="17"/>
  <c r="U568" i="17" s="1"/>
  <c r="V568" i="17"/>
  <c r="W568" i="17" l="1"/>
  <c r="AV568" i="17" s="1"/>
  <c r="AA568" i="17"/>
  <c r="AB569" i="17" s="1"/>
  <c r="AE568" i="17"/>
  <c r="BK568" i="17" l="1"/>
  <c r="BH569" i="17" s="1"/>
  <c r="BI569" i="17" s="1"/>
  <c r="BG568" i="17"/>
  <c r="BD569" i="17" s="1"/>
  <c r="BE569" i="17" s="1"/>
  <c r="BF569" i="17" s="1"/>
  <c r="AC568" i="17"/>
  <c r="Q569" i="17" s="1"/>
  <c r="Y569" i="17"/>
  <c r="AD568" i="17" l="1"/>
  <c r="AT568" i="17"/>
  <c r="AF568" i="17" l="1"/>
  <c r="AG568" i="17" s="1"/>
  <c r="K569" i="17"/>
  <c r="S569" i="17"/>
  <c r="T569" i="17" s="1"/>
  <c r="M569" i="17" l="1"/>
  <c r="N569" i="17" s="1"/>
  <c r="X569" i="17" s="1"/>
  <c r="Z569" i="17" s="1"/>
  <c r="AU569" i="17" l="1"/>
  <c r="U569" i="17" s="1"/>
  <c r="V569" i="17"/>
  <c r="W569" i="17" l="1"/>
  <c r="AA569" i="17" s="1"/>
  <c r="AB570" i="17" s="1"/>
  <c r="AE569" i="17" l="1"/>
  <c r="BG569" i="17"/>
  <c r="BD570" i="17" s="1"/>
  <c r="BE570" i="17" s="1"/>
  <c r="BF570" i="17" s="1"/>
  <c r="AV569" i="17"/>
  <c r="BK569" i="17"/>
  <c r="BH570" i="17" s="1"/>
  <c r="BI570" i="17" s="1"/>
  <c r="Y570" i="17"/>
  <c r="AC569" i="17"/>
  <c r="Q570" i="17" s="1"/>
  <c r="AD569" i="17" l="1"/>
  <c r="AT569" i="17"/>
  <c r="AF569" i="17" l="1"/>
  <c r="AG569" i="17" s="1"/>
  <c r="K570" i="17"/>
  <c r="M570" i="17" s="1"/>
  <c r="N570" i="17" s="1"/>
  <c r="S570" i="17"/>
  <c r="T570" i="17" s="1"/>
  <c r="AU570" i="17" l="1"/>
  <c r="U570" i="17" s="1"/>
  <c r="X570" i="17"/>
  <c r="Z570" i="17" s="1"/>
  <c r="V570" i="17"/>
  <c r="W570" i="17" l="1"/>
  <c r="AA570" i="17" s="1"/>
  <c r="AB571" i="17" s="1"/>
  <c r="AV570" i="17" l="1"/>
  <c r="BG570" i="17"/>
  <c r="BD571" i="17" s="1"/>
  <c r="BE571" i="17" s="1"/>
  <c r="BF571" i="17" s="1"/>
  <c r="AE570" i="17"/>
  <c r="BK570" i="17"/>
  <c r="BH571" i="17" s="1"/>
  <c r="BI571" i="17" s="1"/>
  <c r="Y571" i="17"/>
  <c r="AC570" i="17"/>
  <c r="Q571" i="17" s="1"/>
  <c r="AD570" i="17" l="1"/>
  <c r="AT570" i="17"/>
  <c r="AF570" i="17" l="1"/>
  <c r="AG570" i="17" s="1"/>
  <c r="K571" i="17"/>
  <c r="M571" i="17" s="1"/>
  <c r="S571" i="17"/>
  <c r="T571" i="17" s="1"/>
  <c r="N571" i="17" l="1"/>
  <c r="X571" i="17" s="1"/>
  <c r="Z571" i="17" s="1"/>
  <c r="AU571" i="17" l="1"/>
  <c r="U571" i="17" s="1"/>
  <c r="V571" i="17" l="1"/>
  <c r="W571" i="17" s="1"/>
  <c r="AA571" i="17" l="1"/>
  <c r="AC571" i="17" s="1"/>
  <c r="Q572" i="17" s="1"/>
  <c r="AV571" i="17"/>
  <c r="BG571" i="17"/>
  <c r="BD572" i="17" s="1"/>
  <c r="BE572" i="17" s="1"/>
  <c r="BF572" i="17" s="1"/>
  <c r="AE571" i="17"/>
  <c r="BK571" i="17"/>
  <c r="BH572" i="17" s="1"/>
  <c r="BI572" i="17" s="1"/>
  <c r="AT571" i="17" l="1"/>
  <c r="AD571" i="17"/>
  <c r="AF571" i="17" s="1"/>
  <c r="AG571" i="17" s="1"/>
  <c r="AB572" i="17"/>
  <c r="Y572" i="17"/>
  <c r="S572" i="17"/>
  <c r="T572" i="17" s="1"/>
  <c r="K572" i="17" l="1"/>
  <c r="M572" i="17" s="1"/>
  <c r="N572" i="17" s="1"/>
  <c r="X572" i="17" s="1"/>
  <c r="Z572" i="17" s="1"/>
  <c r="AU572" i="17" l="1"/>
  <c r="U572" i="17" l="1"/>
  <c r="V572" i="17"/>
  <c r="W572" i="17" l="1"/>
  <c r="BK572" i="17" l="1"/>
  <c r="BH573" i="17" s="1"/>
  <c r="BI573" i="17" s="1"/>
  <c r="BG572" i="17"/>
  <c r="BD573" i="17" s="1"/>
  <c r="BE573" i="17" s="1"/>
  <c r="BF573" i="17" s="1"/>
  <c r="AE572" i="17"/>
  <c r="AV572" i="17"/>
  <c r="AA572" i="17"/>
  <c r="AC572" i="17" s="1"/>
  <c r="Q573" i="17" s="1"/>
  <c r="AT572" i="17" l="1"/>
  <c r="AD572" i="17"/>
  <c r="AF572" i="17" s="1"/>
  <c r="AG572" i="17" s="1"/>
  <c r="AB573" i="17"/>
  <c r="Y573" i="17"/>
  <c r="S573" i="17"/>
  <c r="T573" i="17" s="1"/>
  <c r="K573" i="17" l="1"/>
  <c r="M573" i="17" s="1"/>
  <c r="N573" i="17" l="1"/>
  <c r="AU573" i="17" s="1"/>
  <c r="U573" i="17"/>
  <c r="V573" i="17"/>
  <c r="X573" i="17" l="1"/>
  <c r="Z573" i="17" s="1"/>
  <c r="W573" i="17"/>
  <c r="AE573" i="17" s="1"/>
  <c r="BK573" i="17" l="1"/>
  <c r="BH574" i="17" s="1"/>
  <c r="BI574" i="17" s="1"/>
  <c r="AV573" i="17"/>
  <c r="BG573" i="17"/>
  <c r="BD574" i="17" s="1"/>
  <c r="BE574" i="17" s="1"/>
  <c r="BF574" i="17" s="1"/>
  <c r="AA573" i="17"/>
  <c r="AB574" i="17" l="1"/>
  <c r="Y574" i="17"/>
  <c r="AC573" i="17"/>
  <c r="Q574" i="17" l="1"/>
  <c r="S574" i="17" s="1"/>
  <c r="T574" i="17" s="1"/>
  <c r="AD573" i="17"/>
  <c r="K574" i="17" s="1"/>
  <c r="M574" i="17" s="1"/>
  <c r="N574" i="17" s="1"/>
  <c r="AT573" i="17"/>
  <c r="AU574" i="17" l="1"/>
  <c r="U574" i="17" s="1"/>
  <c r="X574" i="17"/>
  <c r="Z574" i="17" s="1"/>
  <c r="AF573" i="17"/>
  <c r="AG573" i="17" s="1"/>
  <c r="V574" i="17"/>
  <c r="W574" i="17" s="1"/>
  <c r="AV574" i="17" l="1"/>
  <c r="BG574" i="17"/>
  <c r="BD575" i="17" s="1"/>
  <c r="BE575" i="17" s="1"/>
  <c r="BF575" i="17" s="1"/>
  <c r="AA574" i="17"/>
  <c r="AB575" i="17" s="1"/>
  <c r="BK574" i="17"/>
  <c r="BH575" i="17" s="1"/>
  <c r="BI575" i="17" s="1"/>
  <c r="AE574" i="17"/>
  <c r="Y575" i="17" l="1"/>
  <c r="AC574" i="17"/>
  <c r="Q575" i="17" s="1"/>
  <c r="AD574" i="17" l="1"/>
  <c r="AT574" i="17"/>
  <c r="AF574" i="17" l="1"/>
  <c r="AG574" i="17" s="1"/>
  <c r="K575" i="17"/>
  <c r="M575" i="17" s="1"/>
  <c r="S575" i="17"/>
  <c r="T575" i="17" s="1"/>
  <c r="N575" i="17" l="1"/>
  <c r="X575" i="17" s="1"/>
  <c r="Z575" i="17" s="1"/>
  <c r="AU575" i="17" l="1"/>
  <c r="U575" i="17" s="1"/>
  <c r="V575" i="17"/>
  <c r="W575" i="17" l="1"/>
  <c r="AV575" i="17" s="1"/>
  <c r="BK575" i="17" l="1"/>
  <c r="BH576" i="17" s="1"/>
  <c r="BI576" i="17" s="1"/>
  <c r="AA575" i="17"/>
  <c r="AB576" i="17" s="1"/>
  <c r="BG575" i="17"/>
  <c r="BD576" i="17" s="1"/>
  <c r="BE576" i="17" s="1"/>
  <c r="BF576" i="17" s="1"/>
  <c r="AE575" i="17"/>
  <c r="Y576" i="17" l="1"/>
  <c r="AC575" i="17"/>
  <c r="Q576" i="17" s="1"/>
  <c r="AT575" i="17"/>
  <c r="AD575" i="17" l="1"/>
  <c r="K576" i="17" s="1"/>
  <c r="M576" i="17"/>
  <c r="N576" i="17" s="1"/>
  <c r="AF575" i="17"/>
  <c r="AG575" i="17" s="1"/>
  <c r="S576" i="17"/>
  <c r="T576" i="17" s="1"/>
  <c r="X576" i="17" l="1"/>
  <c r="Z576" i="17" s="1"/>
  <c r="AU576" i="17"/>
  <c r="U576" i="17" l="1"/>
  <c r="V576" i="17"/>
  <c r="W576" i="17" l="1"/>
  <c r="BG576" i="17" l="1"/>
  <c r="BD577" i="17" s="1"/>
  <c r="BE577" i="17" s="1"/>
  <c r="BF577" i="17" s="1"/>
  <c r="BK576" i="17"/>
  <c r="BH577" i="17" s="1"/>
  <c r="BI577" i="17" s="1"/>
  <c r="AV576" i="17"/>
  <c r="AA576" i="17"/>
  <c r="AB577" i="17" s="1"/>
  <c r="AE576" i="17"/>
  <c r="AC576" i="17" l="1"/>
  <c r="Q577" i="17" s="1"/>
  <c r="Y577" i="17"/>
  <c r="AD576" i="17" l="1"/>
  <c r="K577" i="17" s="1"/>
  <c r="AT576" i="17"/>
  <c r="AF576" i="17" l="1"/>
  <c r="AG576" i="17" s="1"/>
  <c r="M577" i="17"/>
  <c r="N577" i="17" s="1"/>
  <c r="AU577" i="17" l="1"/>
  <c r="U577" i="17" s="1"/>
  <c r="S577" i="17"/>
  <c r="T577" i="17" s="1"/>
  <c r="X577" i="17" s="1"/>
  <c r="V577" i="17" l="1"/>
  <c r="W577" i="17" s="1"/>
  <c r="BG577" i="17" s="1"/>
  <c r="BD578" i="17" s="1"/>
  <c r="Z577" i="17"/>
  <c r="AV577" i="17" l="1"/>
  <c r="AA577" i="17"/>
  <c r="AB578" i="17" s="1"/>
  <c r="BK577" i="17"/>
  <c r="BH578" i="17" s="1"/>
  <c r="BI578" i="17" s="1"/>
  <c r="AE577" i="17"/>
  <c r="BE578" i="17"/>
  <c r="BF578" i="17" s="1"/>
  <c r="AC577" i="17" l="1"/>
  <c r="Q578" i="17" s="1"/>
  <c r="Y578" i="17"/>
  <c r="AT577" i="17" l="1"/>
  <c r="AD577" i="17"/>
  <c r="AF577" i="17" s="1"/>
  <c r="AG577" i="17" s="1"/>
  <c r="K578" i="17" l="1"/>
  <c r="S578" i="17"/>
  <c r="T578" i="17" s="1"/>
  <c r="M578" i="17"/>
  <c r="N578" i="17" s="1"/>
  <c r="AU578" i="17" l="1"/>
  <c r="U578" i="17" s="1"/>
  <c r="X578" i="17"/>
  <c r="V578" i="17" l="1"/>
  <c r="W578" i="17" s="1"/>
  <c r="Z578" i="17"/>
  <c r="BG578" i="17" l="1"/>
  <c r="BD579" i="17" s="1"/>
  <c r="BE579" i="17" s="1"/>
  <c r="BF579" i="17" s="1"/>
  <c r="BK578" i="17"/>
  <c r="BH579" i="17" s="1"/>
  <c r="BI579" i="17" s="1"/>
  <c r="AA578" i="17"/>
  <c r="AB579" i="17" s="1"/>
  <c r="AV578" i="17"/>
  <c r="AE578" i="17"/>
  <c r="Y579" i="17" l="1"/>
  <c r="AC578" i="17"/>
  <c r="Q579" i="17" s="1"/>
  <c r="AD578" i="17" l="1"/>
  <c r="AT578" i="17"/>
  <c r="AF578" i="17" l="1"/>
  <c r="AG578" i="17" s="1"/>
  <c r="K579" i="17"/>
  <c r="M579" i="17" s="1"/>
  <c r="S579" i="17"/>
  <c r="T579" i="17" s="1"/>
  <c r="N579" i="17" l="1"/>
  <c r="X579" i="17" s="1"/>
  <c r="Z579" i="17" s="1"/>
  <c r="AU579" i="17" l="1"/>
  <c r="U579" i="17"/>
  <c r="V579" i="17"/>
  <c r="W579" i="17" l="1"/>
  <c r="AV579" i="17" s="1"/>
  <c r="AE579" i="17" l="1"/>
  <c r="BK579" i="17"/>
  <c r="BH580" i="17" s="1"/>
  <c r="BI580" i="17" s="1"/>
  <c r="AA579" i="17"/>
  <c r="AB580" i="17" s="1"/>
  <c r="BG579" i="17"/>
  <c r="BD580" i="17" s="1"/>
  <c r="BE580" i="17" s="1"/>
  <c r="BF580" i="17" s="1"/>
  <c r="AC579" i="17" l="1"/>
  <c r="Q580" i="17" s="1"/>
  <c r="Y580" i="17"/>
  <c r="AT579" i="17"/>
  <c r="AD579" i="17" l="1"/>
  <c r="AF579" i="17"/>
  <c r="AG579" i="17" s="1"/>
  <c r="K580" i="17"/>
  <c r="M580" i="17" s="1"/>
  <c r="N580" i="17" s="1"/>
  <c r="S580" i="17"/>
  <c r="T580" i="17" s="1"/>
  <c r="X580" i="17" l="1"/>
  <c r="AU580" i="17"/>
  <c r="U580" i="17" s="1"/>
  <c r="Z580" i="17" l="1"/>
  <c r="V580" i="17"/>
  <c r="W580" i="17" s="1"/>
  <c r="AA580" i="17" l="1"/>
  <c r="AB581" i="17" s="1"/>
  <c r="BK580" i="17"/>
  <c r="BH581" i="17" s="1"/>
  <c r="BI581" i="17" s="1"/>
  <c r="AV580" i="17"/>
  <c r="BG580" i="17"/>
  <c r="BD581" i="17" s="1"/>
  <c r="BE581" i="17" s="1"/>
  <c r="BF581" i="17" s="1"/>
  <c r="AE580" i="17"/>
  <c r="Y581" i="17" l="1"/>
  <c r="AC580" i="17"/>
  <c r="Q581" i="17" s="1"/>
  <c r="AD580" i="17" l="1"/>
  <c r="AT580" i="17"/>
  <c r="AF580" i="17" l="1"/>
  <c r="AG580" i="17" s="1"/>
  <c r="K581" i="17"/>
  <c r="M581" i="17" s="1"/>
  <c r="N581" i="17" s="1"/>
  <c r="S581" i="17"/>
  <c r="T581" i="17" s="1"/>
  <c r="X581" i="17" l="1"/>
  <c r="Z581" i="17" s="1"/>
  <c r="AU581" i="17"/>
  <c r="U581" i="17" s="1"/>
  <c r="V581" i="17" l="1"/>
  <c r="W581" i="17" s="1"/>
  <c r="BG581" i="17" l="1"/>
  <c r="BD582" i="17" s="1"/>
  <c r="BE582" i="17" s="1"/>
  <c r="BF582" i="17" s="1"/>
  <c r="AE581" i="17"/>
  <c r="BK581" i="17"/>
  <c r="BH582" i="17" s="1"/>
  <c r="BI582" i="17" s="1"/>
  <c r="AV581" i="17"/>
  <c r="AA581" i="17"/>
  <c r="AB582" i="17" s="1"/>
  <c r="AC581" i="17" l="1"/>
  <c r="Q582" i="17" s="1"/>
  <c r="Y582" i="17"/>
  <c r="AT581" i="17"/>
  <c r="AD581" i="17" l="1"/>
  <c r="AF581" i="17"/>
  <c r="AG581" i="17" s="1"/>
  <c r="K582" i="17"/>
  <c r="S582" i="17" l="1"/>
  <c r="T582" i="17" s="1"/>
  <c r="M582" i="17"/>
  <c r="N582" i="17" s="1"/>
  <c r="AU582" i="17" l="1"/>
  <c r="U582" i="17" s="1"/>
  <c r="V582" i="17"/>
  <c r="X582" i="17"/>
  <c r="W582" i="17" l="1"/>
  <c r="AV582" i="17" s="1"/>
  <c r="Z582" i="17"/>
  <c r="AE582" i="17" l="1"/>
  <c r="AA582" i="17"/>
  <c r="AB583" i="17" s="1"/>
  <c r="BG582" i="17"/>
  <c r="BD583" i="17" s="1"/>
  <c r="BE583" i="17" s="1"/>
  <c r="BF583" i="17" s="1"/>
  <c r="BK582" i="17"/>
  <c r="BH583" i="17" s="1"/>
  <c r="BI583" i="17" s="1"/>
  <c r="Y583" i="17" l="1"/>
  <c r="AC582" i="17"/>
  <c r="Q583" i="17" s="1"/>
  <c r="AT582" i="17" l="1"/>
  <c r="AD582" i="17"/>
  <c r="AF582" i="17" s="1"/>
  <c r="AG582" i="17" s="1"/>
  <c r="S583" i="17"/>
  <c r="T583" i="17" s="1"/>
  <c r="K583" i="17" l="1"/>
  <c r="M583" i="17"/>
  <c r="N583" i="17" s="1"/>
  <c r="X583" i="17" s="1"/>
  <c r="Z583" i="17" s="1"/>
  <c r="AU583" i="17" l="1"/>
  <c r="U583" i="17" l="1"/>
  <c r="V583" i="17"/>
  <c r="W583" i="17" l="1"/>
  <c r="BK583" i="17" l="1"/>
  <c r="BH584" i="17" s="1"/>
  <c r="BI584" i="17" s="1"/>
  <c r="AA583" i="17"/>
  <c r="AB584" i="17" s="1"/>
  <c r="BG583" i="17"/>
  <c r="BD584" i="17" s="1"/>
  <c r="BE584" i="17" s="1"/>
  <c r="BF584" i="17" s="1"/>
  <c r="AV583" i="17"/>
  <c r="AE583" i="17"/>
  <c r="AC583" i="17" l="1"/>
  <c r="Q584" i="17" s="1"/>
  <c r="Y584" i="17"/>
  <c r="AD583" i="17" l="1"/>
  <c r="AT583" i="17"/>
  <c r="AF583" i="17" l="1"/>
  <c r="AG583" i="17" s="1"/>
  <c r="K584" i="17"/>
  <c r="M584" i="17" s="1"/>
  <c r="N584" i="17" s="1"/>
  <c r="S584" i="17"/>
  <c r="T584" i="17" s="1"/>
  <c r="AU584" i="17" l="1"/>
  <c r="U584" i="17" s="1"/>
  <c r="X584" i="17"/>
  <c r="Z584" i="17" s="1"/>
  <c r="V584" i="17"/>
  <c r="W584" i="17" l="1"/>
  <c r="AA584" i="17" s="1"/>
  <c r="AB585" i="17" s="1"/>
  <c r="AE584" i="17"/>
  <c r="BG584" i="17" l="1"/>
  <c r="BD585" i="17" s="1"/>
  <c r="BE585" i="17" s="1"/>
  <c r="BF585" i="17" s="1"/>
  <c r="AV584" i="17"/>
  <c r="BK584" i="17"/>
  <c r="BH585" i="17" s="1"/>
  <c r="BI585" i="17" s="1"/>
  <c r="Y585" i="17"/>
  <c r="AC584" i="17"/>
  <c r="Q585" i="17" s="1"/>
  <c r="AD584" i="17" l="1"/>
  <c r="AT584" i="17"/>
  <c r="AF584" i="17" l="1"/>
  <c r="AG584" i="17" s="1"/>
  <c r="K585" i="17"/>
  <c r="M585" i="17" s="1"/>
  <c r="S585" i="17"/>
  <c r="T585" i="17" s="1"/>
  <c r="N585" i="17" l="1"/>
  <c r="AU585" i="17" s="1"/>
  <c r="U585" i="17" l="1"/>
  <c r="V585" i="17"/>
  <c r="X585" i="17"/>
  <c r="Z585" i="17" s="1"/>
  <c r="W585" i="17" l="1"/>
  <c r="AE585" i="17" s="1"/>
  <c r="AA585" i="17" l="1"/>
  <c r="AB586" i="17" s="1"/>
  <c r="BK585" i="17"/>
  <c r="BH586" i="17" s="1"/>
  <c r="BI586" i="17" s="1"/>
  <c r="BG585" i="17"/>
  <c r="BD586" i="17" s="1"/>
  <c r="BE586" i="17" s="1"/>
  <c r="BF586" i="17" s="1"/>
  <c r="AV585" i="17"/>
  <c r="AC585" i="17" l="1"/>
  <c r="Q586" i="17" s="1"/>
  <c r="S586" i="17" s="1"/>
  <c r="T586" i="17" s="1"/>
  <c r="Y586" i="17"/>
  <c r="AT585" i="17" l="1"/>
  <c r="AD585" i="17"/>
  <c r="K586" i="17" s="1"/>
  <c r="M586" i="17" s="1"/>
  <c r="N586" i="17" s="1"/>
  <c r="AF585" i="17" l="1"/>
  <c r="AG585" i="17" s="1"/>
  <c r="X586" i="17"/>
  <c r="Z586" i="17" s="1"/>
  <c r="AU586" i="17"/>
  <c r="U586" i="17" s="1"/>
  <c r="V586" i="17"/>
  <c r="W586" i="17" l="1"/>
  <c r="AA586" i="17" s="1"/>
  <c r="AB587" i="17" s="1"/>
  <c r="AE586" i="17" l="1"/>
  <c r="BG586" i="17"/>
  <c r="BD587" i="17" s="1"/>
  <c r="BE587" i="17" s="1"/>
  <c r="BF587" i="17" s="1"/>
  <c r="AV586" i="17"/>
  <c r="BK586" i="17"/>
  <c r="BH587" i="17" s="1"/>
  <c r="BI587" i="17" s="1"/>
  <c r="Y587" i="17"/>
  <c r="AC586" i="17"/>
  <c r="Q587" i="17" s="1"/>
  <c r="AD586" i="17" l="1"/>
  <c r="K587" i="17" s="1"/>
  <c r="AT586" i="17"/>
  <c r="AF586" i="17" l="1"/>
  <c r="AG586" i="17" s="1"/>
  <c r="M587" i="17"/>
  <c r="N587" i="17" s="1"/>
  <c r="S587" i="17" l="1"/>
  <c r="AU587" i="17"/>
  <c r="U587" i="17" s="1"/>
  <c r="T587" i="17" l="1"/>
  <c r="X587" i="17" l="1"/>
  <c r="Z587" i="17" s="1"/>
  <c r="V587" i="17"/>
  <c r="W587" i="17" s="1"/>
  <c r="AV587" i="17" l="1"/>
  <c r="AA587" i="17"/>
  <c r="AB588" i="17" s="1"/>
  <c r="BG587" i="17"/>
  <c r="BD588" i="17" s="1"/>
  <c r="BE588" i="17" s="1"/>
  <c r="BF588" i="17" s="1"/>
  <c r="BK587" i="17"/>
  <c r="BH588" i="17" s="1"/>
  <c r="BI588" i="17" s="1"/>
  <c r="AE587" i="17"/>
  <c r="Y588" i="17" l="1"/>
  <c r="AC587" i="17"/>
  <c r="Q588" i="17" s="1"/>
  <c r="AD587" i="17" l="1"/>
  <c r="K588" i="17" s="1"/>
  <c r="AT587" i="17"/>
  <c r="M588" i="17" l="1"/>
  <c r="N588" i="17" s="1"/>
  <c r="AF587" i="17"/>
  <c r="AG587" i="17" s="1"/>
  <c r="AU588" i="17" l="1"/>
  <c r="U588" i="17" s="1"/>
  <c r="S588" i="17"/>
  <c r="T588" i="17" l="1"/>
  <c r="X588" i="17" s="1"/>
  <c r="V588" i="17" l="1"/>
  <c r="W588" i="17" s="1"/>
  <c r="AA588" i="17" s="1"/>
  <c r="AB589" i="17" s="1"/>
  <c r="Z588" i="17"/>
  <c r="AE588" i="17" l="1"/>
  <c r="BG588" i="17"/>
  <c r="BD589" i="17" s="1"/>
  <c r="BE589" i="17" s="1"/>
  <c r="BF589" i="17" s="1"/>
  <c r="BK588" i="17"/>
  <c r="BH589" i="17" s="1"/>
  <c r="BI589" i="17" s="1"/>
  <c r="AV588" i="17"/>
  <c r="Y589" i="17"/>
  <c r="AC588" i="17"/>
  <c r="Q589" i="17" s="1"/>
  <c r="AT588" i="17" l="1"/>
  <c r="AD588" i="17"/>
  <c r="AF588" i="17" l="1"/>
  <c r="AG588" i="17" s="1"/>
  <c r="K589" i="17"/>
  <c r="M589" i="17" s="1"/>
  <c r="N589" i="17" s="1"/>
  <c r="S589" i="17"/>
  <c r="T589" i="17" s="1"/>
  <c r="X589" i="17" l="1"/>
  <c r="Z589" i="17" s="1"/>
  <c r="AU589" i="17"/>
  <c r="V589" i="17" l="1"/>
  <c r="U589" i="17"/>
  <c r="W589" i="17" l="1"/>
  <c r="BK589" i="17" l="1"/>
  <c r="BH590" i="17" s="1"/>
  <c r="BI590" i="17" s="1"/>
  <c r="BG589" i="17"/>
  <c r="BD590" i="17" s="1"/>
  <c r="BE590" i="17" s="1"/>
  <c r="BF590" i="17" s="1"/>
  <c r="AE589" i="17"/>
  <c r="AV589" i="17"/>
  <c r="AA589" i="17"/>
  <c r="AB590" i="17" s="1"/>
  <c r="Y590" i="17" l="1"/>
  <c r="AC589" i="17"/>
  <c r="Q590" i="17" s="1"/>
  <c r="AT589" i="17" l="1"/>
  <c r="S590" i="17"/>
  <c r="T590" i="17" s="1"/>
  <c r="AD589" i="17"/>
  <c r="AF589" i="17" l="1"/>
  <c r="AG589" i="17" s="1"/>
  <c r="K590" i="17"/>
  <c r="M590" i="17" s="1"/>
  <c r="N590" i="17" l="1"/>
  <c r="X590" i="17" s="1"/>
  <c r="Z590" i="17" s="1"/>
  <c r="AU590" i="17" l="1"/>
  <c r="U590" i="17"/>
  <c r="V590" i="17"/>
  <c r="W590" i="17" l="1"/>
  <c r="BK590" i="17" s="1"/>
  <c r="BH591" i="17" s="1"/>
  <c r="BI591" i="17" s="1"/>
  <c r="AV590" i="17" l="1"/>
  <c r="BG590" i="17"/>
  <c r="BD591" i="17" s="1"/>
  <c r="BE591" i="17" s="1"/>
  <c r="BF591" i="17" s="1"/>
  <c r="AA590" i="17"/>
  <c r="AB591" i="17" s="1"/>
  <c r="AE590" i="17"/>
  <c r="AC590" i="17" l="1"/>
  <c r="Q591" i="17" s="1"/>
  <c r="Y591" i="17"/>
  <c r="AT590" i="17" l="1"/>
  <c r="AD590" i="17"/>
  <c r="AF590" i="17" s="1"/>
  <c r="AG590" i="17" s="1"/>
  <c r="S591" i="17"/>
  <c r="T591" i="17" s="1"/>
  <c r="K591" i="17"/>
  <c r="M591" i="17" l="1"/>
  <c r="N591" i="17" l="1"/>
  <c r="AU591" i="17" l="1"/>
  <c r="U591" i="17" s="1"/>
  <c r="X591" i="17"/>
  <c r="Z591" i="17" s="1"/>
  <c r="V591" i="17"/>
  <c r="W591" i="17" l="1"/>
  <c r="AV591" i="17" s="1"/>
  <c r="BK591" i="17"/>
  <c r="BH592" i="17" s="1"/>
  <c r="BI592" i="17" s="1"/>
  <c r="AA591" i="17"/>
  <c r="AB592" i="17" s="1"/>
  <c r="BG591" i="17"/>
  <c r="BD592" i="17" s="1"/>
  <c r="BE592" i="17" s="1"/>
  <c r="BF592" i="17" s="1"/>
  <c r="AE591" i="17"/>
  <c r="AC591" i="17" l="1"/>
  <c r="Q592" i="17" s="1"/>
  <c r="Y592" i="17"/>
  <c r="AD591" i="17" l="1"/>
  <c r="K592" i="17" s="1"/>
  <c r="AT591" i="17"/>
  <c r="S592" i="17" l="1"/>
  <c r="T592" i="17" s="1"/>
  <c r="AF591" i="17"/>
  <c r="AG591" i="17" s="1"/>
  <c r="M592" i="17" l="1"/>
  <c r="N592" i="17" l="1"/>
  <c r="X592" i="17" s="1"/>
  <c r="Z592" i="17" l="1"/>
  <c r="AU592" i="17"/>
  <c r="U592" i="17" s="1"/>
  <c r="V592" i="17" l="1"/>
  <c r="W592" i="17" s="1"/>
  <c r="BK592" i="17" l="1"/>
  <c r="BH593" i="17" s="1"/>
  <c r="BI593" i="17" s="1"/>
  <c r="AV592" i="17"/>
  <c r="BG592" i="17"/>
  <c r="BD593" i="17" s="1"/>
  <c r="BE593" i="17" s="1"/>
  <c r="BF593" i="17" s="1"/>
  <c r="AA592" i="17"/>
  <c r="AB593" i="17" s="1"/>
  <c r="AE592" i="17"/>
  <c r="AC592" i="17" l="1"/>
  <c r="Q593" i="17" s="1"/>
  <c r="Y593" i="17"/>
  <c r="AD592" i="17" l="1"/>
  <c r="AT592" i="17"/>
  <c r="AF592" i="17" l="1"/>
  <c r="AG592" i="17" s="1"/>
  <c r="K593" i="17"/>
  <c r="S593" i="17"/>
  <c r="T593" i="17" s="1"/>
  <c r="M593" i="17" l="1"/>
  <c r="N593" i="17" s="1"/>
  <c r="X593" i="17" s="1"/>
  <c r="Z593" i="17" s="1"/>
  <c r="AU593" i="17" l="1"/>
  <c r="U593" i="17" l="1"/>
  <c r="V593" i="17"/>
  <c r="W593" i="17" l="1"/>
  <c r="BG593" i="17" l="1"/>
  <c r="BD594" i="17" s="1"/>
  <c r="BE594" i="17" s="1"/>
  <c r="BF594" i="17" s="1"/>
  <c r="AA593" i="17"/>
  <c r="AB594" i="17" s="1"/>
  <c r="AV593" i="17"/>
  <c r="AE593" i="17"/>
  <c r="BK593" i="17"/>
  <c r="BH594" i="17" s="1"/>
  <c r="BI594" i="17" s="1"/>
  <c r="AC593" i="17" l="1"/>
  <c r="Y594" i="17"/>
  <c r="Q594" i="17" l="1"/>
  <c r="AD593" i="17"/>
  <c r="K594" i="17" s="1"/>
  <c r="M594" i="17" s="1"/>
  <c r="N594" i="17" s="1"/>
  <c r="AU594" i="17" s="1"/>
  <c r="U594" i="17" s="1"/>
  <c r="AT593" i="17"/>
  <c r="AF593" i="17" l="1"/>
  <c r="AG593" i="17" s="1"/>
  <c r="S594" i="17"/>
  <c r="T594" i="17" l="1"/>
  <c r="V594" i="17" s="1"/>
  <c r="W594" i="17" s="1"/>
  <c r="BG594" i="17" l="1"/>
  <c r="BD595" i="17" s="1"/>
  <c r="BE595" i="17" s="1"/>
  <c r="BF595" i="17" s="1"/>
  <c r="AE594" i="17"/>
  <c r="BK594" i="17"/>
  <c r="BH595" i="17" s="1"/>
  <c r="BI595" i="17" s="1"/>
  <c r="AV594" i="17"/>
  <c r="X594" i="17"/>
  <c r="Z594" i="17" s="1"/>
  <c r="AA594" i="17" l="1"/>
  <c r="AB595" i="17" s="1"/>
  <c r="Y595" i="17" l="1"/>
  <c r="AC594" i="17"/>
  <c r="Q595" i="17" s="1"/>
  <c r="S595" i="17" s="1"/>
  <c r="T595" i="17" s="1"/>
  <c r="AT594" i="17" l="1"/>
  <c r="AD594" i="17"/>
  <c r="K595" i="17" s="1"/>
  <c r="AF594" i="17" l="1"/>
  <c r="AG594" i="17" s="1"/>
  <c r="M595" i="17"/>
  <c r="N595" i="17" s="1"/>
  <c r="X595" i="17" l="1"/>
  <c r="Z595" i="17" s="1"/>
  <c r="AU595" i="17"/>
  <c r="U595" i="17" l="1"/>
  <c r="V595" i="17"/>
  <c r="W595" i="17" l="1"/>
  <c r="BK595" i="17" s="1"/>
  <c r="BH596" i="17" s="1"/>
  <c r="BI596" i="17" s="1"/>
  <c r="BG595" i="17" l="1"/>
  <c r="BD596" i="17" s="1"/>
  <c r="BE596" i="17" s="1"/>
  <c r="BF596" i="17" s="1"/>
  <c r="AV595" i="17"/>
  <c r="AE595" i="17"/>
  <c r="AA595" i="17"/>
  <c r="AB596" i="17" s="1"/>
  <c r="Y596" i="17" l="1"/>
  <c r="AC595" i="17"/>
  <c r="AT595" i="17" s="1"/>
  <c r="AD595" i="17" l="1"/>
  <c r="K596" i="17" s="1"/>
  <c r="Q596" i="17"/>
  <c r="S596" i="17" s="1"/>
  <c r="T596" i="17" s="1"/>
  <c r="AF595" i="17" l="1"/>
  <c r="AG595" i="17" s="1"/>
  <c r="M596" i="17"/>
  <c r="N596" i="17" l="1"/>
  <c r="AU596" i="17" s="1"/>
  <c r="U596" i="17" s="1"/>
  <c r="V596" i="17" l="1"/>
  <c r="W596" i="17" s="1"/>
  <c r="X596" i="17"/>
  <c r="Z596" i="17" s="1"/>
  <c r="BG596" i="17" l="1"/>
  <c r="BD597" i="17" s="1"/>
  <c r="BE597" i="17" s="1"/>
  <c r="BF597" i="17" s="1"/>
  <c r="BK596" i="17"/>
  <c r="BH597" i="17" s="1"/>
  <c r="BI597" i="17" s="1"/>
  <c r="AA596" i="17"/>
  <c r="AB597" i="17" s="1"/>
  <c r="AV596" i="17"/>
  <c r="AE596" i="17"/>
  <c r="Y597" i="17" l="1"/>
  <c r="AC596" i="17"/>
  <c r="Q597" i="17" l="1"/>
  <c r="S597" i="17" s="1"/>
  <c r="T597" i="17" s="1"/>
  <c r="AD596" i="17"/>
  <c r="K597" i="17" s="1"/>
  <c r="AT596" i="17"/>
  <c r="M597" i="17" l="1"/>
  <c r="N597" i="17" s="1"/>
  <c r="AU597" i="17" s="1"/>
  <c r="U597" i="17" s="1"/>
  <c r="AF596" i="17"/>
  <c r="AG596" i="17" s="1"/>
  <c r="X597" i="17" l="1"/>
  <c r="Z597" i="17" s="1"/>
  <c r="V597" i="17"/>
  <c r="W597" i="17" s="1"/>
  <c r="BG597" i="17" l="1"/>
  <c r="BD598" i="17" s="1"/>
  <c r="BE598" i="17" s="1"/>
  <c r="BF598" i="17" s="1"/>
  <c r="AA597" i="17"/>
  <c r="AB598" i="17" s="1"/>
  <c r="AV597" i="17"/>
  <c r="BK597" i="17"/>
  <c r="BH598" i="17" s="1"/>
  <c r="BI598" i="17" s="1"/>
  <c r="AE597" i="17"/>
  <c r="AC597" i="17" l="1"/>
  <c r="Y598" i="17"/>
  <c r="Q598" i="17" l="1"/>
  <c r="AT597" i="17"/>
  <c r="AD597" i="17"/>
  <c r="K598" i="17" s="1"/>
  <c r="AF597" i="17" l="1"/>
  <c r="AG597" i="17" s="1"/>
  <c r="M598" i="17"/>
  <c r="N598" i="17" s="1"/>
  <c r="AU598" i="17" s="1"/>
  <c r="U598" i="17" s="1"/>
  <c r="S598" i="17"/>
  <c r="T598" i="17" s="1"/>
  <c r="X598" i="17" l="1"/>
  <c r="Z598" i="17" s="1"/>
  <c r="V598" i="17"/>
  <c r="W598" i="17" s="1"/>
  <c r="AV598" i="17" l="1"/>
  <c r="BK598" i="17"/>
  <c r="BH599" i="17" s="1"/>
  <c r="BI599" i="17" s="1"/>
  <c r="BG598" i="17"/>
  <c r="BD599" i="17" s="1"/>
  <c r="BE599" i="17" s="1"/>
  <c r="BF599" i="17" s="1"/>
  <c r="AA598" i="17"/>
  <c r="AB599" i="17" s="1"/>
  <c r="AE598" i="17"/>
  <c r="Y599" i="17" l="1"/>
  <c r="AC598" i="17"/>
  <c r="Q599" i="17" l="1"/>
  <c r="S599" i="17" s="1"/>
  <c r="T599" i="17" s="1"/>
  <c r="AT598" i="17"/>
  <c r="AD598" i="17"/>
  <c r="K599" i="17" s="1"/>
  <c r="M599" i="17" s="1"/>
  <c r="AF598" i="17" l="1"/>
  <c r="AG598" i="17" s="1"/>
  <c r="N599" i="17"/>
  <c r="X599" i="17" l="1"/>
  <c r="Z599" i="17" s="1"/>
  <c r="AU599" i="17"/>
  <c r="U599" i="17" s="1"/>
  <c r="V599" i="17" l="1"/>
  <c r="W599" i="17" s="1"/>
  <c r="AV599" i="17" s="1"/>
  <c r="AE599" i="17" l="1"/>
  <c r="BG599" i="17"/>
  <c r="BD600" i="17" s="1"/>
  <c r="BE600" i="17" s="1"/>
  <c r="BF600" i="17" s="1"/>
  <c r="BK599" i="17"/>
  <c r="BH600" i="17" s="1"/>
  <c r="BI600" i="17" s="1"/>
  <c r="AA599" i="17"/>
  <c r="AC599" i="17" l="1"/>
  <c r="Q600" i="17" s="1"/>
  <c r="S600" i="17" s="1"/>
  <c r="T600" i="17" s="1"/>
  <c r="AB600" i="17"/>
  <c r="Y600" i="17"/>
  <c r="AD599" i="17" l="1"/>
  <c r="AT599" i="17"/>
  <c r="AF599" i="17"/>
  <c r="AG599" i="17" s="1"/>
  <c r="K600" i="17"/>
  <c r="M600" i="17" s="1"/>
  <c r="N600" i="17" l="1"/>
  <c r="X600" i="17" l="1"/>
  <c r="Z600" i="17" s="1"/>
  <c r="AU600" i="17"/>
  <c r="U600" i="17" s="1"/>
  <c r="V600" i="17" l="1"/>
  <c r="W600" i="17" s="1"/>
  <c r="BK600" i="17" l="1"/>
  <c r="BH601" i="17" s="1"/>
  <c r="BI601" i="17" s="1"/>
  <c r="AA600" i="17"/>
  <c r="AB601" i="17" s="1"/>
  <c r="AV600" i="17"/>
  <c r="BG600" i="17"/>
  <c r="BD601" i="17" s="1"/>
  <c r="BE601" i="17" s="1"/>
  <c r="BF601" i="17" s="1"/>
  <c r="AE600" i="17"/>
  <c r="AC600" i="17" l="1"/>
  <c r="Q601" i="17" s="1"/>
  <c r="Y601" i="17"/>
  <c r="AD600" i="17" l="1"/>
  <c r="AT600" i="17"/>
  <c r="AF600" i="17" l="1"/>
  <c r="AG600" i="17" s="1"/>
  <c r="K601" i="17"/>
  <c r="M601" i="17" s="1"/>
  <c r="N601" i="17" s="1"/>
  <c r="AU601" i="17" s="1"/>
  <c r="U601" i="17" s="1"/>
  <c r="S601" i="17"/>
  <c r="T601" i="17" s="1"/>
  <c r="V601" i="17" l="1"/>
  <c r="W601" i="17" s="1"/>
  <c r="AV601" i="17" s="1"/>
  <c r="X601" i="17"/>
  <c r="Z601" i="17" s="1"/>
  <c r="AE601" i="17" l="1"/>
  <c r="BG601" i="17"/>
  <c r="BD602" i="17" s="1"/>
  <c r="BE602" i="17" s="1"/>
  <c r="BF602" i="17" s="1"/>
  <c r="BK601" i="17"/>
  <c r="BH602" i="17" s="1"/>
  <c r="BI602" i="17" s="1"/>
  <c r="AA601" i="17"/>
  <c r="AB602" i="17" s="1"/>
  <c r="AC601" i="17" l="1"/>
  <c r="Q602" i="17" s="1"/>
  <c r="Y602" i="17"/>
  <c r="AT601" i="17" l="1"/>
  <c r="AD601" i="17"/>
  <c r="K602" i="17" s="1"/>
  <c r="M602" i="17" s="1"/>
  <c r="N602" i="17" s="1"/>
  <c r="AU602" i="17" s="1"/>
  <c r="U602" i="17" s="1"/>
  <c r="AF601" i="17" l="1"/>
  <c r="AG601" i="17" s="1"/>
  <c r="S602" i="17"/>
  <c r="T602" i="17" l="1"/>
  <c r="X602" i="17" s="1"/>
  <c r="Z602" i="17" l="1"/>
  <c r="V602" i="17"/>
  <c r="W602" i="17" s="1"/>
  <c r="BK602" i="17" l="1"/>
  <c r="BH603" i="17" s="1"/>
  <c r="BI603" i="17" s="1"/>
  <c r="BG602" i="17"/>
  <c r="BD603" i="17" s="1"/>
  <c r="BE603" i="17" s="1"/>
  <c r="BF603" i="17" s="1"/>
  <c r="AA602" i="17"/>
  <c r="AB603" i="17" s="1"/>
  <c r="AV602" i="17"/>
  <c r="AE602" i="17"/>
  <c r="AC602" i="17" l="1"/>
  <c r="Q603" i="17" s="1"/>
  <c r="Y603" i="17"/>
  <c r="AD602" i="17" l="1"/>
  <c r="AT602" i="17"/>
  <c r="AF602" i="17" l="1"/>
  <c r="AG602" i="17" s="1"/>
  <c r="K603" i="17"/>
  <c r="M603" i="17" s="1"/>
  <c r="S603" i="17"/>
  <c r="T603" i="17" s="1"/>
  <c r="N603" i="17" l="1"/>
  <c r="AU603" i="17" s="1"/>
  <c r="U603" i="17" s="1"/>
  <c r="V603" i="17"/>
  <c r="X603" i="17" l="1"/>
  <c r="Z603" i="17" s="1"/>
  <c r="W603" i="17"/>
  <c r="AE603" i="17" s="1"/>
  <c r="BG603" i="17" l="1"/>
  <c r="BD604" i="17" s="1"/>
  <c r="BE604" i="17" s="1"/>
  <c r="BF604" i="17" s="1"/>
  <c r="AA603" i="17"/>
  <c r="AB604" i="17" s="1"/>
  <c r="BK603" i="17"/>
  <c r="BH604" i="17" s="1"/>
  <c r="BI604" i="17" s="1"/>
  <c r="AV603" i="17"/>
  <c r="AC603" i="17" l="1"/>
  <c r="Q604" i="17" s="1"/>
  <c r="Y604" i="17"/>
  <c r="AT603" i="17" l="1"/>
  <c r="AD603" i="17"/>
  <c r="AF603" i="17" s="1"/>
  <c r="AG603" i="17" s="1"/>
  <c r="S604" i="17"/>
  <c r="T604" i="17" s="1"/>
  <c r="K604" i="17"/>
  <c r="M604" i="17" s="1"/>
  <c r="N604" i="17" l="1"/>
  <c r="X604" i="17" s="1"/>
  <c r="Z604" i="17" s="1"/>
  <c r="AU604" i="17" l="1"/>
  <c r="U604" i="17"/>
  <c r="V604" i="17"/>
  <c r="W604" i="17" l="1"/>
  <c r="AV604" i="17" s="1"/>
  <c r="BK604" i="17" l="1"/>
  <c r="BH605" i="17" s="1"/>
  <c r="BI605" i="17" s="1"/>
  <c r="AA604" i="17"/>
  <c r="AB605" i="17" s="1"/>
  <c r="BG604" i="17"/>
  <c r="BD605" i="17" s="1"/>
  <c r="BE605" i="17" s="1"/>
  <c r="BF605" i="17" s="1"/>
  <c r="AE604" i="17"/>
  <c r="Y605" i="17" l="1"/>
  <c r="AC604" i="17"/>
  <c r="Q605" i="17" s="1"/>
  <c r="AT604" i="17" l="1"/>
  <c r="AD604" i="17"/>
  <c r="AF604" i="17" s="1"/>
  <c r="AG604" i="17" s="1"/>
  <c r="S605" i="17"/>
  <c r="T605" i="17" s="1"/>
  <c r="K605" i="17" l="1"/>
  <c r="M605" i="17" s="1"/>
  <c r="N605" i="17" s="1"/>
  <c r="AU605" i="17" s="1"/>
  <c r="U605" i="17" s="1"/>
  <c r="V605" i="17"/>
  <c r="X605" i="17" l="1"/>
  <c r="Z605" i="17" s="1"/>
  <c r="W605" i="17"/>
  <c r="AV605" i="17" s="1"/>
  <c r="AE605" i="17" l="1"/>
  <c r="BK605" i="17"/>
  <c r="BH606" i="17" s="1"/>
  <c r="BI606" i="17" s="1"/>
  <c r="AA605" i="17"/>
  <c r="AB606" i="17" s="1"/>
  <c r="BG605" i="17"/>
  <c r="BD606" i="17" s="1"/>
  <c r="BE606" i="17" s="1"/>
  <c r="BF606" i="17" s="1"/>
  <c r="AC605" i="17" l="1"/>
  <c r="Q606" i="17" s="1"/>
  <c r="Y606" i="17"/>
  <c r="AT605" i="17" l="1"/>
  <c r="AD605" i="17"/>
  <c r="AF605" i="17" s="1"/>
  <c r="AG605" i="17" s="1"/>
  <c r="S606" i="17"/>
  <c r="T606" i="17" s="1"/>
  <c r="K606" i="17" l="1"/>
  <c r="M606" i="17" s="1"/>
  <c r="N606" i="17" l="1"/>
  <c r="X606" i="17" l="1"/>
  <c r="Z606" i="17" s="1"/>
  <c r="AU606" i="17"/>
  <c r="U606" i="17" s="1"/>
  <c r="V606" i="17" l="1"/>
  <c r="W606" i="17" s="1"/>
  <c r="AA606" i="17" l="1"/>
  <c r="AB607" i="17" s="1"/>
  <c r="AV606" i="17"/>
  <c r="BK606" i="17"/>
  <c r="BH607" i="17" s="1"/>
  <c r="BI607" i="17" s="1"/>
  <c r="BG606" i="17"/>
  <c r="BD607" i="17" s="1"/>
  <c r="BE607" i="17" s="1"/>
  <c r="BF607" i="17" s="1"/>
  <c r="AE606" i="17"/>
  <c r="Y607" i="17" l="1"/>
  <c r="AC606" i="17"/>
  <c r="Q607" i="17" s="1"/>
  <c r="AD606" i="17" l="1"/>
  <c r="AT606" i="17"/>
  <c r="AF606" i="17" l="1"/>
  <c r="AG606" i="17" s="1"/>
  <c r="K607" i="17"/>
  <c r="S607" i="17"/>
  <c r="T607" i="17" s="1"/>
  <c r="M607" i="17" l="1"/>
  <c r="N607" i="17" s="1"/>
  <c r="X607" i="17" s="1"/>
  <c r="Z607" i="17" s="1"/>
  <c r="AU607" i="17" l="1"/>
  <c r="U607" i="17" l="1"/>
  <c r="V607" i="17"/>
  <c r="W607" i="17" l="1"/>
  <c r="BK607" i="17" s="1"/>
  <c r="BH608" i="17" s="1"/>
  <c r="BI608" i="17" s="1"/>
  <c r="AE607" i="17" l="1"/>
  <c r="AA607" i="17"/>
  <c r="AB608" i="17" s="1"/>
  <c r="AV607" i="17"/>
  <c r="BG607" i="17"/>
  <c r="BD608" i="17" s="1"/>
  <c r="BE608" i="17" s="1"/>
  <c r="BF608" i="17" s="1"/>
  <c r="Y608" i="17" l="1"/>
  <c r="AC607" i="17"/>
  <c r="Q608" i="17" s="1"/>
  <c r="AT607" i="17" l="1"/>
  <c r="AD607" i="17"/>
  <c r="AF607" i="17" s="1"/>
  <c r="AG607" i="17" s="1"/>
  <c r="S608" i="17"/>
  <c r="T608" i="17" s="1"/>
  <c r="K608" i="17" l="1"/>
  <c r="M608" i="17" s="1"/>
  <c r="N608" i="17" s="1"/>
  <c r="AU608" i="17" s="1"/>
  <c r="U608" i="17" l="1"/>
  <c r="V608" i="17"/>
  <c r="X608" i="17"/>
  <c r="Z608" i="17" s="1"/>
  <c r="W608" i="17" l="1"/>
  <c r="BK608" i="17" s="1"/>
  <c r="BH609" i="17" s="1"/>
  <c r="BI609" i="17" s="1"/>
  <c r="AA608" i="17" l="1"/>
  <c r="AB609" i="17" s="1"/>
  <c r="AE608" i="17"/>
  <c r="BG608" i="17"/>
  <c r="BD609" i="17" s="1"/>
  <c r="BE609" i="17" s="1"/>
  <c r="BF609" i="17" s="1"/>
  <c r="AV608" i="17"/>
  <c r="Y609" i="17"/>
  <c r="AC608" i="17"/>
  <c r="Q609" i="17" s="1"/>
  <c r="AD608" i="17" l="1"/>
  <c r="AT608" i="17"/>
  <c r="AF608" i="17" l="1"/>
  <c r="AG608" i="17" s="1"/>
  <c r="K609" i="17"/>
  <c r="M609" i="17" s="1"/>
  <c r="N609" i="17" s="1"/>
  <c r="S609" i="17"/>
  <c r="T609" i="17" s="1"/>
  <c r="X609" i="17" l="1"/>
  <c r="Z609" i="17" s="1"/>
  <c r="AU609" i="17"/>
  <c r="U609" i="17" s="1"/>
  <c r="V609" i="17" l="1"/>
  <c r="W609" i="17" s="1"/>
  <c r="AA609" i="17" l="1"/>
  <c r="AB610" i="17" s="1"/>
  <c r="BK609" i="17"/>
  <c r="BH610" i="17" s="1"/>
  <c r="BI610" i="17" s="1"/>
  <c r="BG609" i="17"/>
  <c r="BD610" i="17" s="1"/>
  <c r="BE610" i="17" s="1"/>
  <c r="BF610" i="17" s="1"/>
  <c r="AV609" i="17"/>
  <c r="AE609" i="17"/>
  <c r="AC609" i="17" l="1"/>
  <c r="Q610" i="17" s="1"/>
  <c r="Y610" i="17"/>
  <c r="AD609" i="17" l="1"/>
  <c r="AT609" i="17"/>
  <c r="AF609" i="17" l="1"/>
  <c r="AG609" i="17" s="1"/>
  <c r="K610" i="17"/>
  <c r="S610" i="17"/>
  <c r="T610" i="17" s="1"/>
  <c r="M610" i="17" l="1"/>
  <c r="N610" i="17" s="1"/>
  <c r="X610" i="17" l="1"/>
  <c r="Z610" i="17" s="1"/>
  <c r="AU610" i="17"/>
  <c r="U610" i="17" s="1"/>
  <c r="V610" i="17" l="1"/>
  <c r="W610" i="17" s="1"/>
  <c r="AV610" i="17" l="1"/>
  <c r="BG610" i="17"/>
  <c r="BD611" i="17" s="1"/>
  <c r="BE611" i="17" s="1"/>
  <c r="BF611" i="17" s="1"/>
  <c r="AA610" i="17"/>
  <c r="AB611" i="17" s="1"/>
  <c r="BK610" i="17"/>
  <c r="BH611" i="17" s="1"/>
  <c r="BI611" i="17" s="1"/>
  <c r="AE610" i="17"/>
  <c r="Y611" i="17" l="1"/>
  <c r="AC610" i="17"/>
  <c r="Q611" i="17" s="1"/>
  <c r="AD610" i="17" l="1"/>
  <c r="AT610" i="17"/>
  <c r="AF610" i="17" l="1"/>
  <c r="AG610" i="17" s="1"/>
  <c r="K611" i="17"/>
  <c r="M611" i="17" s="1"/>
  <c r="S611" i="17"/>
  <c r="T611" i="17" s="1"/>
  <c r="N611" i="17" l="1"/>
  <c r="X611" i="17" s="1"/>
  <c r="Z611" i="17" s="1"/>
  <c r="AU611" i="17" l="1"/>
  <c r="U611" i="17" s="1"/>
  <c r="V611" i="17" l="1"/>
  <c r="W611" i="17" s="1"/>
  <c r="BK611" i="17" l="1"/>
  <c r="BH612" i="17" s="1"/>
  <c r="BI612" i="17" s="1"/>
  <c r="BG611" i="17"/>
  <c r="BD612" i="17" s="1"/>
  <c r="BE612" i="17" s="1"/>
  <c r="BF612" i="17" s="1"/>
  <c r="AV611" i="17"/>
  <c r="AA611" i="17"/>
  <c r="AB612" i="17" s="1"/>
  <c r="AE611" i="17"/>
  <c r="Y612" i="17" l="1"/>
  <c r="AC611" i="17"/>
  <c r="Q612" i="17" s="1"/>
  <c r="AD611" i="17" l="1"/>
  <c r="AT611" i="17"/>
  <c r="AF611" i="17" l="1"/>
  <c r="AG611" i="17" s="1"/>
  <c r="K612" i="17"/>
  <c r="M612" i="17" s="1"/>
  <c r="S612" i="17"/>
  <c r="T612" i="17" s="1"/>
  <c r="N612" i="17" l="1"/>
  <c r="X612" i="17" s="1"/>
  <c r="Z612" i="17" l="1"/>
  <c r="AU612" i="17"/>
  <c r="U612" i="17" s="1"/>
  <c r="V612" i="17" l="1"/>
  <c r="W612" i="17" s="1"/>
  <c r="AV612" i="17" l="1"/>
  <c r="AA612" i="17"/>
  <c r="AB613" i="17" s="1"/>
  <c r="BG612" i="17"/>
  <c r="BD613" i="17" s="1"/>
  <c r="BE613" i="17" s="1"/>
  <c r="BF613" i="17" s="1"/>
  <c r="BK612" i="17"/>
  <c r="BH613" i="17" s="1"/>
  <c r="BI613" i="17" s="1"/>
  <c r="AE612" i="17"/>
  <c r="AC612" i="17" l="1"/>
  <c r="Q613" i="17" s="1"/>
  <c r="Y613" i="17"/>
  <c r="AD612" i="17" l="1"/>
  <c r="AT612" i="17"/>
  <c r="AF612" i="17" l="1"/>
  <c r="AG612" i="17" s="1"/>
  <c r="K613" i="17"/>
  <c r="S613" i="17" l="1"/>
  <c r="T613" i="17" s="1"/>
  <c r="M613" i="17"/>
  <c r="N613" i="17" s="1"/>
  <c r="AU613" i="17" l="1"/>
  <c r="U613" i="17" s="1"/>
  <c r="X613" i="17"/>
  <c r="Z613" i="17" l="1"/>
  <c r="V613" i="17"/>
  <c r="W613" i="17" s="1"/>
  <c r="AV613" i="17" l="1"/>
  <c r="BG613" i="17"/>
  <c r="BD614" i="17" s="1"/>
  <c r="BE614" i="17" s="1"/>
  <c r="BF614" i="17" s="1"/>
  <c r="BK613" i="17"/>
  <c r="BH614" i="17" s="1"/>
  <c r="BI614" i="17" s="1"/>
  <c r="AA613" i="17"/>
  <c r="AB614" i="17" s="1"/>
  <c r="AE613" i="17"/>
  <c r="Y614" i="17" l="1"/>
  <c r="AC613" i="17"/>
  <c r="Q614" i="17" s="1"/>
  <c r="AD613" i="17" l="1"/>
  <c r="AT613" i="17"/>
  <c r="AF613" i="17" l="1"/>
  <c r="AG613" i="17" s="1"/>
  <c r="K614" i="17"/>
  <c r="M614" i="17" s="1"/>
  <c r="N614" i="17" s="1"/>
  <c r="AU614" i="17" s="1"/>
  <c r="U614" i="17" s="1"/>
  <c r="S614" i="17"/>
  <c r="T614" i="17" s="1"/>
  <c r="X614" i="17" l="1"/>
  <c r="Z614" i="17" s="1"/>
  <c r="V614" i="17"/>
  <c r="W614" i="17" s="1"/>
  <c r="BG614" i="17" l="1"/>
  <c r="BD615" i="17" s="1"/>
  <c r="BE615" i="17" s="1"/>
  <c r="BF615" i="17" s="1"/>
  <c r="AV614" i="17"/>
  <c r="BK614" i="17"/>
  <c r="BH615" i="17" s="1"/>
  <c r="BI615" i="17" s="1"/>
  <c r="AA614" i="17"/>
  <c r="AB615" i="17" s="1"/>
  <c r="AE614" i="17"/>
  <c r="Y615" i="17" l="1"/>
  <c r="AC614" i="17"/>
  <c r="Q615" i="17" s="1"/>
  <c r="AD614" i="17" l="1"/>
  <c r="K615" i="17" s="1"/>
  <c r="AT614" i="17"/>
  <c r="M615" i="17" l="1"/>
  <c r="N615" i="17" s="1"/>
  <c r="AF614" i="17"/>
  <c r="AG614" i="17" s="1"/>
  <c r="S615" i="17" l="1"/>
  <c r="AU615" i="17"/>
  <c r="U615" i="17" s="1"/>
  <c r="T615" i="17" l="1"/>
  <c r="V615" i="17" s="1"/>
  <c r="W615" i="17" s="1"/>
  <c r="X615" i="17" l="1"/>
  <c r="Z615" i="17" s="1"/>
  <c r="AV615" i="17"/>
  <c r="BG615" i="17"/>
  <c r="BD616" i="17" s="1"/>
  <c r="BE616" i="17" s="1"/>
  <c r="BF616" i="17" s="1"/>
  <c r="BK615" i="17"/>
  <c r="BH616" i="17" s="1"/>
  <c r="BI616" i="17" s="1"/>
  <c r="AE615" i="17"/>
  <c r="AA615" i="17" l="1"/>
  <c r="AB616" i="17" s="1"/>
  <c r="Y616" i="17"/>
  <c r="AC615" i="17" l="1"/>
  <c r="Q616" i="17" s="1"/>
  <c r="AT615" i="17"/>
  <c r="AD615" i="17"/>
  <c r="K616" i="17" s="1"/>
  <c r="AF615" i="17" l="1"/>
  <c r="AG615" i="17" s="1"/>
  <c r="S616" i="17"/>
  <c r="T616" i="17" s="1"/>
  <c r="M616" i="17"/>
  <c r="N616" i="17" s="1"/>
  <c r="X616" i="17" l="1"/>
  <c r="Z616" i="17" s="1"/>
  <c r="AU616" i="17"/>
  <c r="U616" i="17" s="1"/>
  <c r="V616" i="17" l="1"/>
  <c r="W616" i="17" s="1"/>
  <c r="AA616" i="17" s="1"/>
  <c r="AB617" i="17" s="1"/>
  <c r="AE616" i="17" l="1"/>
  <c r="BK616" i="17"/>
  <c r="BH617" i="17" s="1"/>
  <c r="BI617" i="17" s="1"/>
  <c r="AV616" i="17"/>
  <c r="BG616" i="17"/>
  <c r="BD617" i="17" s="1"/>
  <c r="BE617" i="17" s="1"/>
  <c r="BF617" i="17" s="1"/>
  <c r="AC616" i="17"/>
  <c r="Q617" i="17" s="1"/>
  <c r="Y617" i="17"/>
  <c r="AD616" i="17" l="1"/>
  <c r="AT616" i="17"/>
  <c r="AF616" i="17" l="1"/>
  <c r="AG616" i="17" s="1"/>
  <c r="K617" i="17"/>
  <c r="M617" i="17" s="1"/>
  <c r="N617" i="17" s="1"/>
  <c r="AU617" i="17" s="1"/>
  <c r="U617" i="17" s="1"/>
  <c r="S617" i="17"/>
  <c r="T617" i="17" s="1"/>
  <c r="V617" i="17" l="1"/>
  <c r="W617" i="17" s="1"/>
  <c r="X617" i="17"/>
  <c r="Z617" i="17" s="1"/>
  <c r="BK617" i="17" l="1"/>
  <c r="BH618" i="17" s="1"/>
  <c r="BI618" i="17" s="1"/>
  <c r="BG617" i="17"/>
  <c r="BD618" i="17" s="1"/>
  <c r="BE618" i="17" s="1"/>
  <c r="BF618" i="17" s="1"/>
  <c r="AA617" i="17"/>
  <c r="AB618" i="17" s="1"/>
  <c r="AV617" i="17"/>
  <c r="AE617" i="17"/>
  <c r="Y618" i="17" l="1"/>
  <c r="AC617" i="17"/>
  <c r="Q618" i="17" s="1"/>
  <c r="AD617" i="17" l="1"/>
  <c r="AT617" i="17"/>
  <c r="AF617" i="17" l="1"/>
  <c r="AG617" i="17" s="1"/>
  <c r="K618" i="17"/>
  <c r="M618" i="17" s="1"/>
  <c r="N618" i="17" s="1"/>
  <c r="AU618" i="17" s="1"/>
  <c r="S618" i="17"/>
  <c r="T618" i="17" s="1"/>
  <c r="U618" i="17" l="1"/>
  <c r="V618" i="17"/>
  <c r="X618" i="17"/>
  <c r="Z618" i="17" s="1"/>
  <c r="W618" i="17" l="1"/>
  <c r="AA618" i="17" s="1"/>
  <c r="AB619" i="17" s="1"/>
  <c r="AE618" i="17" l="1"/>
  <c r="AV618" i="17"/>
  <c r="BK618" i="17"/>
  <c r="BH619" i="17" s="1"/>
  <c r="BI619" i="17" s="1"/>
  <c r="BG618" i="17"/>
  <c r="BD619" i="17" s="1"/>
  <c r="BE619" i="17" s="1"/>
  <c r="BF619" i="17" s="1"/>
  <c r="Y619" i="17"/>
  <c r="AC618" i="17"/>
  <c r="Q619" i="17" s="1"/>
  <c r="AT618" i="17" l="1"/>
  <c r="AD618" i="17"/>
  <c r="AF618" i="17" l="1"/>
  <c r="AG618" i="17" s="1"/>
  <c r="K619" i="17"/>
  <c r="M619" i="17" s="1"/>
  <c r="N619" i="17" s="1"/>
  <c r="S619" i="17"/>
  <c r="T619" i="17" s="1"/>
  <c r="AU619" i="17" l="1"/>
  <c r="U619" i="17" s="1"/>
  <c r="X619" i="17"/>
  <c r="Z619" i="17" s="1"/>
  <c r="V619" i="17" l="1"/>
  <c r="W619" i="17" s="1"/>
  <c r="AV619" i="17" s="1"/>
  <c r="AA619" i="17" l="1"/>
  <c r="AB620" i="17" s="1"/>
  <c r="BG619" i="17"/>
  <c r="BD620" i="17" s="1"/>
  <c r="BE620" i="17" s="1"/>
  <c r="BF620" i="17" s="1"/>
  <c r="AE619" i="17"/>
  <c r="BK619" i="17"/>
  <c r="BH620" i="17" s="1"/>
  <c r="BI620" i="17" s="1"/>
  <c r="AC619" i="17"/>
  <c r="Q620" i="17" s="1"/>
  <c r="Y620" i="17" l="1"/>
  <c r="AT619" i="17"/>
  <c r="AD619" i="17"/>
  <c r="AF619" i="17" l="1"/>
  <c r="AG619" i="17" s="1"/>
  <c r="K620" i="17"/>
  <c r="M620" i="17" s="1"/>
  <c r="S620" i="17"/>
  <c r="T620" i="17" s="1"/>
  <c r="N620" i="17" l="1"/>
  <c r="X620" i="17" s="1"/>
  <c r="Z620" i="17" s="1"/>
  <c r="AU620" i="17" l="1"/>
  <c r="U620" i="17" l="1"/>
  <c r="V620" i="17"/>
  <c r="W620" i="17" l="1"/>
  <c r="AA620" i="17" s="1"/>
  <c r="AB621" i="17" s="1"/>
  <c r="BK620" i="17" l="1"/>
  <c r="BH621" i="17" s="1"/>
  <c r="BI621" i="17" s="1"/>
  <c r="AE620" i="17"/>
  <c r="AV620" i="17"/>
  <c r="BG620" i="17"/>
  <c r="BD621" i="17" s="1"/>
  <c r="BE621" i="17" s="1"/>
  <c r="BF621" i="17" s="1"/>
  <c r="AC620" i="17"/>
  <c r="Y621" i="17"/>
  <c r="Q621" i="17" l="1"/>
  <c r="S621" i="17" s="1"/>
  <c r="T621" i="17" s="1"/>
  <c r="AT620" i="17"/>
  <c r="AD620" i="17"/>
  <c r="AF620" i="17" l="1"/>
  <c r="AG620" i="17" s="1"/>
  <c r="K621" i="17"/>
  <c r="M621" i="17" s="1"/>
  <c r="N621" i="17" l="1"/>
  <c r="AU621" i="17" l="1"/>
  <c r="X621" i="17"/>
  <c r="Z621" i="17" s="1"/>
  <c r="U621" i="17" l="1"/>
  <c r="V621" i="17"/>
  <c r="W621" i="17" l="1"/>
  <c r="BK621" i="17" s="1"/>
  <c r="BH622" i="17" s="1"/>
  <c r="BI622" i="17" s="1"/>
  <c r="BG621" i="17"/>
  <c r="BD622" i="17" s="1"/>
  <c r="BE622" i="17" s="1"/>
  <c r="BF622" i="17" s="1"/>
  <c r="AA621" i="17"/>
  <c r="AB622" i="17" s="1"/>
  <c r="AE621" i="17"/>
  <c r="AV621" i="17" l="1"/>
  <c r="Y622" i="17"/>
  <c r="AC621" i="17"/>
  <c r="Q622" i="17" l="1"/>
  <c r="AT621" i="17"/>
  <c r="AD621" i="17"/>
  <c r="AF621" i="17" l="1"/>
  <c r="AG621" i="17" s="1"/>
  <c r="K622" i="17"/>
  <c r="M622" i="17" s="1"/>
  <c r="N622" i="17" s="1"/>
  <c r="S622" i="17"/>
  <c r="T622" i="17" s="1"/>
  <c r="AU622" i="17" l="1"/>
  <c r="X622" i="17"/>
  <c r="Z622" i="17" s="1"/>
  <c r="U622" i="17" l="1"/>
  <c r="V622" i="17"/>
  <c r="W622" i="17" l="1"/>
  <c r="BK622" i="17" s="1"/>
  <c r="BH623" i="17" s="1"/>
  <c r="BI623" i="17" s="1"/>
  <c r="AA622" i="17"/>
  <c r="AB623" i="17" s="1"/>
  <c r="AE622" i="17"/>
  <c r="AV622" i="17" l="1"/>
  <c r="BG622" i="17"/>
  <c r="BD623" i="17" s="1"/>
  <c r="BE623" i="17" s="1"/>
  <c r="BF623" i="17" s="1"/>
  <c r="AC622" i="17"/>
  <c r="Y623" i="17"/>
  <c r="Q623" i="17" l="1"/>
  <c r="S623" i="17" s="1"/>
  <c r="T623" i="17" s="1"/>
  <c r="AD622" i="17"/>
  <c r="K623" i="17" s="1"/>
  <c r="AT622" i="17"/>
  <c r="AF622" i="17" l="1"/>
  <c r="AG622" i="17" s="1"/>
  <c r="M623" i="17"/>
  <c r="N623" i="17" l="1"/>
  <c r="X623" i="17" l="1"/>
  <c r="AU623" i="17"/>
  <c r="U623" i="17" s="1"/>
  <c r="V623" i="17" l="1"/>
  <c r="W623" i="17" s="1"/>
  <c r="Z623" i="17"/>
  <c r="AV623" i="17" l="1"/>
  <c r="AA623" i="17"/>
  <c r="AB624" i="17" s="1"/>
  <c r="BK623" i="17"/>
  <c r="BH624" i="17" s="1"/>
  <c r="BI624" i="17" s="1"/>
  <c r="BG623" i="17"/>
  <c r="BD624" i="17" s="1"/>
  <c r="BE624" i="17" s="1"/>
  <c r="BF624" i="17" s="1"/>
  <c r="AE623" i="17"/>
  <c r="Y624" i="17" l="1"/>
  <c r="AC623" i="17"/>
  <c r="Q624" i="17" l="1"/>
  <c r="S624" i="17" s="1"/>
  <c r="T624" i="17" s="1"/>
  <c r="AD623" i="17"/>
  <c r="AT623" i="17"/>
  <c r="AF623" i="17" l="1"/>
  <c r="AG623" i="17" s="1"/>
  <c r="K624" i="17"/>
  <c r="M624" i="17" l="1"/>
  <c r="N624" i="17" s="1"/>
  <c r="AU624" i="17" s="1"/>
  <c r="U624" i="17" s="1"/>
  <c r="X624" i="17" l="1"/>
  <c r="V624" i="17"/>
  <c r="W624" i="17" s="1"/>
  <c r="Z624" i="17"/>
  <c r="BK624" i="17" l="1"/>
  <c r="BH625" i="17" s="1"/>
  <c r="BI625" i="17" s="1"/>
  <c r="BG624" i="17"/>
  <c r="BD625" i="17" s="1"/>
  <c r="BE625" i="17" s="1"/>
  <c r="BF625" i="17" s="1"/>
  <c r="AA624" i="17"/>
  <c r="AB625" i="17" s="1"/>
  <c r="AV624" i="17"/>
  <c r="AE624" i="17"/>
  <c r="AC624" i="17" l="1"/>
  <c r="Y625" i="17"/>
  <c r="Q625" i="17" l="1"/>
  <c r="S625" i="17" s="1"/>
  <c r="T625" i="17" s="1"/>
  <c r="AT624" i="17"/>
  <c r="AD624" i="17"/>
  <c r="AF624" i="17" l="1"/>
  <c r="K625" i="17"/>
  <c r="M625" i="17" s="1"/>
  <c r="N625" i="17" s="1"/>
  <c r="AU625" i="17" s="1"/>
  <c r="U625" i="17" s="1"/>
  <c r="AG624" i="17"/>
  <c r="V625" i="17" l="1"/>
  <c r="W625" i="17" s="1"/>
  <c r="BG625" i="17" s="1"/>
  <c r="BD626" i="17" s="1"/>
  <c r="BE626" i="17" s="1"/>
  <c r="BF626" i="17" s="1"/>
  <c r="X625" i="17"/>
  <c r="Z625" i="17" s="1"/>
  <c r="AE625" i="17" l="1"/>
  <c r="AA625" i="17"/>
  <c r="AV625" i="17"/>
  <c r="BK625" i="17"/>
  <c r="BH626" i="17" s="1"/>
  <c r="BI626" i="17" s="1"/>
  <c r="AC625" i="17" l="1"/>
  <c r="AD625" i="17" s="1"/>
  <c r="K626" i="17" s="1"/>
  <c r="AB626" i="17"/>
  <c r="Y626" i="17"/>
  <c r="AT625" i="17" l="1"/>
  <c r="Q626" i="17"/>
  <c r="S626" i="17" s="1"/>
  <c r="T626" i="17" s="1"/>
  <c r="M626" i="17"/>
  <c r="N626" i="17" s="1"/>
  <c r="AU626" i="17" s="1"/>
  <c r="U626" i="17" s="1"/>
  <c r="AF625" i="17"/>
  <c r="AG625" i="17" s="1"/>
  <c r="X626" i="17" l="1"/>
  <c r="Z626" i="17" s="1"/>
  <c r="V626" i="17"/>
  <c r="W626" i="17" s="1"/>
  <c r="AA626" i="17" l="1"/>
  <c r="AB627" i="17" s="1"/>
  <c r="AV626" i="17"/>
  <c r="BG626" i="17"/>
  <c r="BD627" i="17" s="1"/>
  <c r="BE627" i="17" s="1"/>
  <c r="BF627" i="17" s="1"/>
  <c r="BK626" i="17"/>
  <c r="BH627" i="17" s="1"/>
  <c r="BI627" i="17" s="1"/>
  <c r="AE626" i="17"/>
  <c r="AC626" i="17" l="1"/>
  <c r="Y627" i="17"/>
  <c r="Q627" i="17" l="1"/>
  <c r="S627" i="17" s="1"/>
  <c r="T627" i="17" s="1"/>
  <c r="AD626" i="17"/>
  <c r="AT626" i="17"/>
  <c r="AF626" i="17" l="1"/>
  <c r="AG626" i="17" s="1"/>
  <c r="K627" i="17"/>
  <c r="M627" i="17" s="1"/>
  <c r="N627" i="17" l="1"/>
  <c r="AU627" i="17" l="1"/>
  <c r="U627" i="17" s="1"/>
  <c r="V627" i="17"/>
  <c r="X627" i="17"/>
  <c r="Z627" i="17" s="1"/>
  <c r="W627" i="17" l="1"/>
  <c r="BK627" i="17" s="1"/>
  <c r="BH628" i="17" s="1"/>
  <c r="BI628" i="17" s="1"/>
  <c r="AV627" i="17" l="1"/>
  <c r="BG627" i="17"/>
  <c r="BD628" i="17" s="1"/>
  <c r="BE628" i="17" s="1"/>
  <c r="BF628" i="17" s="1"/>
  <c r="AA627" i="17"/>
  <c r="AB628" i="17" s="1"/>
  <c r="AE627" i="17"/>
  <c r="Y628" i="17" l="1"/>
  <c r="AC627" i="17"/>
  <c r="Q628" i="17" s="1"/>
  <c r="AT627" i="17" l="1"/>
  <c r="AD627" i="17"/>
  <c r="K628" i="17" s="1"/>
  <c r="M628" i="17" s="1"/>
  <c r="N628" i="17" s="1"/>
  <c r="AU628" i="17" s="1"/>
  <c r="U628" i="17" s="1"/>
  <c r="S628" i="17"/>
  <c r="T628" i="17" s="1"/>
  <c r="AF627" i="17" l="1"/>
  <c r="AG627" i="17" s="1"/>
  <c r="X628" i="17"/>
  <c r="Z628" i="17" s="1"/>
  <c r="V628" i="17"/>
  <c r="W628" i="17" s="1"/>
  <c r="AA628" i="17" l="1"/>
  <c r="AB629" i="17" s="1"/>
  <c r="AE628" i="17"/>
  <c r="BK628" i="17"/>
  <c r="BH629" i="17" s="1"/>
  <c r="BI629" i="17" s="1"/>
  <c r="BG628" i="17"/>
  <c r="BD629" i="17" s="1"/>
  <c r="BE629" i="17" s="1"/>
  <c r="BF629" i="17" s="1"/>
  <c r="AV628" i="17"/>
  <c r="Y629" i="17"/>
  <c r="AC628" i="17"/>
  <c r="Q629" i="17" l="1"/>
  <c r="S629" i="17" s="1"/>
  <c r="T629" i="17" s="1"/>
  <c r="AD628" i="17"/>
  <c r="AT628" i="17"/>
  <c r="AF628" i="17" l="1"/>
  <c r="AG628" i="17" s="1"/>
  <c r="K629" i="17"/>
  <c r="M629" i="17" s="1"/>
  <c r="N629" i="17" l="1"/>
  <c r="X629" i="17" s="1"/>
  <c r="Z629" i="17" s="1"/>
  <c r="AU629" i="17" l="1"/>
  <c r="U629" i="17" s="1"/>
  <c r="V629" i="17"/>
  <c r="W629" i="17" l="1"/>
  <c r="BG629" i="17" s="1"/>
  <c r="BD630" i="17" s="1"/>
  <c r="BE630" i="17" s="1"/>
  <c r="BF630" i="17" s="1"/>
  <c r="AE629" i="17" l="1"/>
  <c r="BK629" i="17"/>
  <c r="BH630" i="17" s="1"/>
  <c r="BI630" i="17" s="1"/>
  <c r="AA629" i="17"/>
  <c r="AB630" i="17" s="1"/>
  <c r="AV629" i="17"/>
  <c r="AC629" i="17" l="1"/>
  <c r="AD629" i="17" s="1"/>
  <c r="Y630" i="17"/>
  <c r="AT629" i="17" l="1"/>
  <c r="Q630" i="17"/>
  <c r="S630" i="17" s="1"/>
  <c r="T630" i="17" s="1"/>
  <c r="AF629" i="17"/>
  <c r="AG629" i="17" s="1"/>
  <c r="K630" i="17"/>
  <c r="M630" i="17" s="1"/>
  <c r="N630" i="17" l="1"/>
  <c r="X630" i="17" l="1"/>
  <c r="Z630" i="17" s="1"/>
  <c r="AU630" i="17"/>
  <c r="U630" i="17" s="1"/>
  <c r="V630" i="17" l="1"/>
  <c r="W630" i="17" s="1"/>
  <c r="BG630" i="17" l="1"/>
  <c r="BD631" i="17" s="1"/>
  <c r="BE631" i="17" s="1"/>
  <c r="BF631" i="17" s="1"/>
  <c r="AV630" i="17"/>
  <c r="AA630" i="17"/>
  <c r="AB631" i="17" s="1"/>
  <c r="BK630" i="17"/>
  <c r="BH631" i="17" s="1"/>
  <c r="BI631" i="17" s="1"/>
  <c r="AE630" i="17"/>
  <c r="AC630" i="17" l="1"/>
  <c r="Y631" i="17"/>
  <c r="Q631" i="17" l="1"/>
  <c r="AD630" i="17"/>
  <c r="AT630" i="17"/>
  <c r="AF630" i="17" l="1"/>
  <c r="AG630" i="17" s="1"/>
  <c r="K631" i="17"/>
  <c r="S631" i="17"/>
  <c r="T631" i="17" s="1"/>
  <c r="M631" i="17" l="1"/>
  <c r="N631" i="17" s="1"/>
  <c r="X631" i="17" s="1"/>
  <c r="Z631" i="17" s="1"/>
  <c r="AU631" i="17" l="1"/>
  <c r="U631" i="17" l="1"/>
  <c r="V631" i="17"/>
  <c r="W631" i="17" l="1"/>
  <c r="AV631" i="17" s="1"/>
  <c r="AE631" i="17" l="1"/>
  <c r="AA631" i="17"/>
  <c r="AB632" i="17" s="1"/>
  <c r="BG631" i="17"/>
  <c r="BD632" i="17" s="1"/>
  <c r="BE632" i="17" s="1"/>
  <c r="BF632" i="17" s="1"/>
  <c r="BK631" i="17"/>
  <c r="BH632" i="17" s="1"/>
  <c r="BI632" i="17" s="1"/>
  <c r="Y632" i="17" l="1"/>
  <c r="AC631" i="17"/>
  <c r="Q632" i="17" s="1"/>
  <c r="AD631" i="17" l="1"/>
  <c r="K632" i="17" s="1"/>
  <c r="M632" i="17" s="1"/>
  <c r="N632" i="17" s="1"/>
  <c r="AT631" i="17"/>
  <c r="S632" i="17"/>
  <c r="T632" i="17" s="1"/>
  <c r="AF631" i="17" l="1"/>
  <c r="AG631" i="17" s="1"/>
  <c r="X632" i="17"/>
  <c r="Z632" i="17" s="1"/>
  <c r="AU632" i="17"/>
  <c r="U632" i="17" s="1"/>
  <c r="V632" i="17"/>
  <c r="W632" i="17" l="1"/>
  <c r="AE632" i="17" s="1"/>
  <c r="BG632" i="17" l="1"/>
  <c r="BD633" i="17" s="1"/>
  <c r="AV632" i="17"/>
  <c r="BK632" i="17"/>
  <c r="BH633" i="17" s="1"/>
  <c r="BI633" i="17" s="1"/>
  <c r="AA632" i="17"/>
  <c r="AB633" i="17" s="1"/>
  <c r="BE633" i="17"/>
  <c r="BF633" i="17" s="1"/>
  <c r="AC632" i="17" l="1"/>
  <c r="Q633" i="17" s="1"/>
  <c r="S633" i="17" s="1"/>
  <c r="T633" i="17" s="1"/>
  <c r="Y633" i="17"/>
  <c r="AD632" i="17" l="1"/>
  <c r="AF632" i="17" s="1"/>
  <c r="AG632" i="17" s="1"/>
  <c r="AT632" i="17"/>
  <c r="K633" i="17" l="1"/>
  <c r="M633" i="17" s="1"/>
  <c r="N633" i="17" s="1"/>
  <c r="V633" i="17"/>
  <c r="AU633" i="17" l="1"/>
  <c r="U633" i="17" s="1"/>
  <c r="W633" i="17" s="1"/>
  <c r="AE633" i="17" s="1"/>
  <c r="X633" i="17"/>
  <c r="Z633" i="17" s="1"/>
  <c r="BG633" i="17" l="1"/>
  <c r="BD634" i="17" s="1"/>
  <c r="BE634" i="17" s="1"/>
  <c r="BF634" i="17" s="1"/>
  <c r="BK633" i="17"/>
  <c r="BH634" i="17" s="1"/>
  <c r="BI634" i="17" s="1"/>
  <c r="AA633" i="17"/>
  <c r="AB634" i="17" s="1"/>
  <c r="AV633" i="17"/>
  <c r="Y634" i="17" l="1"/>
  <c r="AC633" i="17"/>
  <c r="Q634" i="17" s="1"/>
  <c r="S634" i="17" s="1"/>
  <c r="T634" i="17" s="1"/>
  <c r="AD633" i="17" l="1"/>
  <c r="K634" i="17" s="1"/>
  <c r="M634" i="17" s="1"/>
  <c r="AT633" i="17"/>
  <c r="AF633" i="17" l="1"/>
  <c r="AG633" i="17" s="1"/>
  <c r="N634" i="17"/>
  <c r="X634" i="17" s="1"/>
  <c r="Z634" i="17" l="1"/>
  <c r="AU634" i="17"/>
  <c r="U634" i="17" s="1"/>
  <c r="V634" i="17" l="1"/>
  <c r="W634" i="17" s="1"/>
  <c r="BK634" i="17" l="1"/>
  <c r="BH635" i="17" s="1"/>
  <c r="BI635" i="17" s="1"/>
  <c r="AV634" i="17"/>
  <c r="BG634" i="17"/>
  <c r="BD635" i="17" s="1"/>
  <c r="BE635" i="17" s="1"/>
  <c r="BF635" i="17" s="1"/>
  <c r="AA634" i="17"/>
  <c r="AB635" i="17" s="1"/>
  <c r="AE634" i="17"/>
  <c r="AC634" i="17" l="1"/>
  <c r="Y635" i="17"/>
  <c r="Q635" i="17" l="1"/>
  <c r="S635" i="17" s="1"/>
  <c r="T635" i="17" s="1"/>
  <c r="AD634" i="17"/>
  <c r="AT634" i="17"/>
  <c r="AF634" i="17" l="1"/>
  <c r="AG634" i="17" s="1"/>
  <c r="K635" i="17"/>
  <c r="M635" i="17" l="1"/>
  <c r="N635" i="17" s="1"/>
  <c r="X635" i="17" s="1"/>
  <c r="Z635" i="17" s="1"/>
  <c r="AU635" i="17" l="1"/>
  <c r="U635" i="17" s="1"/>
  <c r="V635" i="17"/>
  <c r="W635" i="17" l="1"/>
  <c r="BG635" i="17" s="1"/>
  <c r="BD636" i="17" s="1"/>
  <c r="BE636" i="17" s="1"/>
  <c r="BF636" i="17" s="1"/>
  <c r="AA635" i="17"/>
  <c r="AB636" i="17" s="1"/>
  <c r="AV635" i="17"/>
  <c r="BK635" i="17"/>
  <c r="BH636" i="17" s="1"/>
  <c r="BI636" i="17" s="1"/>
  <c r="AE635" i="17"/>
  <c r="AC635" i="17" l="1"/>
  <c r="Y636" i="17"/>
  <c r="Q636" i="17" l="1"/>
  <c r="AD635" i="17"/>
  <c r="K636" i="17" s="1"/>
  <c r="AT635" i="17"/>
  <c r="M636" i="17" l="1"/>
  <c r="N636" i="17" s="1"/>
  <c r="AU636" i="17" s="1"/>
  <c r="U636" i="17" s="1"/>
  <c r="AF635" i="17"/>
  <c r="AG635" i="17" s="1"/>
  <c r="S636" i="17"/>
  <c r="T636" i="17" l="1"/>
  <c r="V636" i="17" s="1"/>
  <c r="W636" i="17" s="1"/>
  <c r="BG636" i="17" l="1"/>
  <c r="BD637" i="17" s="1"/>
  <c r="BE637" i="17" s="1"/>
  <c r="BF637" i="17" s="1"/>
  <c r="AV636" i="17"/>
  <c r="BK636" i="17"/>
  <c r="BH637" i="17" s="1"/>
  <c r="BI637" i="17" s="1"/>
  <c r="AE636" i="17"/>
  <c r="X636" i="17"/>
  <c r="Z636" i="17" s="1"/>
  <c r="AA636" i="17" l="1"/>
  <c r="AB637" i="17" s="1"/>
  <c r="Y637" i="17" l="1"/>
  <c r="AC636" i="17"/>
  <c r="Q637" i="17" l="1"/>
  <c r="AT636" i="17"/>
  <c r="AD636" i="17"/>
  <c r="K637" i="17" s="1"/>
  <c r="AF636" i="17" l="1"/>
  <c r="AG636" i="17" s="1"/>
  <c r="S637" i="17"/>
  <c r="T637" i="17" s="1"/>
  <c r="M637" i="17"/>
  <c r="N637" i="17" s="1"/>
  <c r="AU637" i="17" l="1"/>
  <c r="U637" i="17" s="1"/>
  <c r="X637" i="17"/>
  <c r="V637" i="17"/>
  <c r="W637" i="17" l="1"/>
  <c r="BG637" i="17" s="1"/>
  <c r="BD638" i="17" s="1"/>
  <c r="BE638" i="17" s="1"/>
  <c r="BF638" i="17" s="1"/>
  <c r="Z637" i="17"/>
  <c r="AE637" i="17" l="1"/>
  <c r="AA637" i="17"/>
  <c r="AB638" i="17" s="1"/>
  <c r="BK637" i="17"/>
  <c r="BH638" i="17" s="1"/>
  <c r="BI638" i="17" s="1"/>
  <c r="AV637" i="17"/>
  <c r="Y638" i="17" l="1"/>
  <c r="AC637" i="17"/>
  <c r="AT637" i="17" s="1"/>
  <c r="AD637" i="17" l="1"/>
  <c r="Q638" i="17"/>
  <c r="S638" i="17" s="1"/>
  <c r="T638" i="17" s="1"/>
  <c r="AF637" i="17"/>
  <c r="AG637" i="17" s="1"/>
  <c r="K638" i="17"/>
  <c r="M638" i="17" s="1"/>
  <c r="N638" i="17" s="1"/>
  <c r="AU638" i="17" s="1"/>
  <c r="U638" i="17" s="1"/>
  <c r="X638" i="17" l="1"/>
  <c r="Z638" i="17" s="1"/>
  <c r="V638" i="17"/>
  <c r="W638" i="17" s="1"/>
  <c r="AE638" i="17" s="1"/>
  <c r="BK638" i="17" l="1"/>
  <c r="BH639" i="17" s="1"/>
  <c r="BI639" i="17" s="1"/>
  <c r="BG638" i="17"/>
  <c r="BD639" i="17" s="1"/>
  <c r="BE639" i="17" s="1"/>
  <c r="BF639" i="17" s="1"/>
  <c r="AA638" i="17"/>
  <c r="Y639" i="17" s="1"/>
  <c r="AV638" i="17"/>
  <c r="AC638" i="17" l="1"/>
  <c r="Q639" i="17" s="1"/>
  <c r="S639" i="17" s="1"/>
  <c r="T639" i="17" s="1"/>
  <c r="AB639" i="17"/>
  <c r="AT638" i="17" l="1"/>
  <c r="AD638" i="17"/>
  <c r="AF638" i="17" s="1"/>
  <c r="AG638" i="17" s="1"/>
  <c r="K639" i="17" l="1"/>
  <c r="M639" i="17" s="1"/>
  <c r="N639" i="17"/>
  <c r="AU639" i="17" l="1"/>
  <c r="U639" i="17" s="1"/>
  <c r="X639" i="17"/>
  <c r="Z639" i="17" s="1"/>
  <c r="V639" i="17" l="1"/>
  <c r="W639" i="17" s="1"/>
  <c r="BG639" i="17" l="1"/>
  <c r="BD640" i="17" s="1"/>
  <c r="BE640" i="17" s="1"/>
  <c r="BF640" i="17" s="1"/>
  <c r="BK639" i="17"/>
  <c r="BH640" i="17" s="1"/>
  <c r="BI640" i="17" s="1"/>
  <c r="AV639" i="17"/>
  <c r="AA639" i="17"/>
  <c r="AB640" i="17" s="1"/>
  <c r="AE639" i="17"/>
  <c r="Y640" i="17" l="1"/>
  <c r="AC639" i="17"/>
  <c r="Q640" i="17" l="1"/>
  <c r="S640" i="17" s="1"/>
  <c r="T640" i="17" s="1"/>
  <c r="AD639" i="17"/>
  <c r="AT639" i="17"/>
  <c r="AF639" i="17" l="1"/>
  <c r="AG639" i="17" s="1"/>
  <c r="K640" i="17"/>
  <c r="M640" i="17" s="1"/>
  <c r="N640" i="17" l="1"/>
  <c r="X640" i="17" s="1"/>
  <c r="AU640" i="17" l="1"/>
  <c r="U640" i="17" s="1"/>
  <c r="Z640" i="17"/>
  <c r="V640" i="17" l="1"/>
  <c r="W640" i="17" s="1"/>
  <c r="BK640" i="17" l="1"/>
  <c r="BH641" i="17" s="1"/>
  <c r="BI641" i="17" s="1"/>
  <c r="AA640" i="17"/>
  <c r="AB641" i="17" s="1"/>
  <c r="AV640" i="17"/>
  <c r="BG640" i="17"/>
  <c r="BD641" i="17" s="1"/>
  <c r="BE641" i="17" s="1"/>
  <c r="BF641" i="17" s="1"/>
  <c r="AE640" i="17"/>
  <c r="Y641" i="17" l="1"/>
  <c r="AC640" i="17"/>
  <c r="Q641" i="17" l="1"/>
  <c r="S641" i="17" s="1"/>
  <c r="T641" i="17" s="1"/>
  <c r="AD640" i="17"/>
  <c r="AT640" i="17"/>
  <c r="AF640" i="17" l="1"/>
  <c r="AG640" i="17" s="1"/>
  <c r="K641" i="17"/>
  <c r="M641" i="17" l="1"/>
  <c r="N641" i="17" l="1"/>
  <c r="X641" i="17" s="1"/>
  <c r="Z641" i="17" s="1"/>
  <c r="AU641" i="17" l="1"/>
  <c r="U641" i="17" s="1"/>
  <c r="V641" i="17"/>
  <c r="W641" i="17" l="1"/>
  <c r="AA641" i="17" l="1"/>
  <c r="AB642" i="17" s="1"/>
  <c r="AV641" i="17"/>
  <c r="BG641" i="17"/>
  <c r="BD642" i="17" s="1"/>
  <c r="BE642" i="17" s="1"/>
  <c r="BF642" i="17" s="1"/>
  <c r="BK641" i="17"/>
  <c r="BH642" i="17" s="1"/>
  <c r="BI642" i="17" s="1"/>
  <c r="AE641" i="17"/>
  <c r="Y642" i="17" l="1"/>
  <c r="AC641" i="17"/>
  <c r="Q642" i="17" l="1"/>
  <c r="AD641" i="17"/>
  <c r="K642" i="17" s="1"/>
  <c r="AT641" i="17"/>
  <c r="M642" i="17" l="1"/>
  <c r="N642" i="17" s="1"/>
  <c r="AU642" i="17" s="1"/>
  <c r="U642" i="17" s="1"/>
  <c r="AF641" i="17"/>
  <c r="AG641" i="17" s="1"/>
  <c r="S642" i="17"/>
  <c r="T642" i="17" s="1"/>
  <c r="V642" i="17" l="1"/>
  <c r="W642" i="17" s="1"/>
  <c r="BG642" i="17" s="1"/>
  <c r="BD643" i="17" s="1"/>
  <c r="BE643" i="17" s="1"/>
  <c r="BF643" i="17" s="1"/>
  <c r="X642" i="17"/>
  <c r="AE642" i="17" l="1"/>
  <c r="AV642" i="17"/>
  <c r="BK642" i="17"/>
  <c r="BH643" i="17" s="1"/>
  <c r="BI643" i="17" s="1"/>
  <c r="AA642" i="17"/>
  <c r="AB643" i="17" s="1"/>
  <c r="Z642" i="17"/>
  <c r="Y643" i="17" l="1"/>
  <c r="AC642" i="17"/>
  <c r="Q643" i="17" s="1"/>
  <c r="S643" i="17" s="1"/>
  <c r="T643" i="17" s="1"/>
  <c r="AT642" i="17" l="1"/>
  <c r="AD642" i="17"/>
  <c r="K643" i="17" s="1"/>
  <c r="M643" i="17" s="1"/>
  <c r="N643" i="17" s="1"/>
  <c r="X643" i="17" s="1"/>
  <c r="Z643" i="17" s="1"/>
  <c r="AF642" i="17" l="1"/>
  <c r="AG642" i="17" s="1"/>
  <c r="AU643" i="17"/>
  <c r="U643" i="17" s="1"/>
  <c r="V643" i="17" l="1"/>
  <c r="W643" i="17" s="1"/>
  <c r="BG643" i="17" l="1"/>
  <c r="BD644" i="17" s="1"/>
  <c r="BE644" i="17" s="1"/>
  <c r="BF644" i="17" s="1"/>
  <c r="BK643" i="17"/>
  <c r="BH644" i="17" s="1"/>
  <c r="BI644" i="17" s="1"/>
  <c r="AV643" i="17"/>
  <c r="AA643" i="17"/>
  <c r="AB644" i="17" s="1"/>
  <c r="AE643" i="17"/>
  <c r="Y644" i="17" l="1"/>
  <c r="AC643" i="17"/>
  <c r="Q644" i="17" l="1"/>
  <c r="S644" i="17" s="1"/>
  <c r="T644" i="17" s="1"/>
  <c r="AD643" i="17"/>
  <c r="K644" i="17" s="1"/>
  <c r="AT643" i="17"/>
  <c r="M644" i="17" l="1"/>
  <c r="N644" i="17" s="1"/>
  <c r="X644" i="17" s="1"/>
  <c r="Z644" i="17" s="1"/>
  <c r="AF643" i="17"/>
  <c r="AG643" i="17" s="1"/>
  <c r="AU644" i="17" l="1"/>
  <c r="U644" i="17" s="1"/>
  <c r="V644" i="17"/>
  <c r="W644" i="17" l="1"/>
  <c r="BK644" i="17" s="1"/>
  <c r="BH645" i="17" s="1"/>
  <c r="BI645" i="17" s="1"/>
  <c r="AE644" i="17" l="1"/>
  <c r="AV644" i="17"/>
  <c r="BG644" i="17"/>
  <c r="BD645" i="17" s="1"/>
  <c r="BE645" i="17" s="1"/>
  <c r="BF645" i="17" s="1"/>
  <c r="AA644" i="17"/>
  <c r="AB645" i="17" s="1"/>
  <c r="Y645" i="17" l="1"/>
  <c r="AC644" i="17"/>
  <c r="AD644" i="17" s="1"/>
  <c r="K645" i="17" s="1"/>
  <c r="AT644" i="17" l="1"/>
  <c r="Q645" i="17"/>
  <c r="S645" i="17" s="1"/>
  <c r="T645" i="17" s="1"/>
  <c r="AF644" i="17"/>
  <c r="AG644" i="17" s="1"/>
  <c r="M645" i="17"/>
  <c r="N645" i="17" s="1"/>
  <c r="AU645" i="17" s="1"/>
  <c r="X645" i="17" l="1"/>
  <c r="U645" i="17"/>
  <c r="V645" i="17"/>
  <c r="Z645" i="17"/>
  <c r="W645" i="17" l="1"/>
  <c r="AV645" i="17" s="1"/>
  <c r="BG645" i="17" l="1"/>
  <c r="BD646" i="17" s="1"/>
  <c r="BE646" i="17" s="1"/>
  <c r="BF646" i="17" s="1"/>
  <c r="BK645" i="17"/>
  <c r="BH646" i="17" s="1"/>
  <c r="BI646" i="17" s="1"/>
  <c r="AE645" i="17"/>
  <c r="AA645" i="17"/>
  <c r="AB646" i="17" s="1"/>
  <c r="AC645" i="17" l="1"/>
  <c r="AD645" i="17" s="1"/>
  <c r="K646" i="17" s="1"/>
  <c r="Y646" i="17"/>
  <c r="AF645" i="17" l="1"/>
  <c r="AG645" i="17" s="1"/>
  <c r="AT645" i="17"/>
  <c r="Q646" i="17"/>
  <c r="S646" i="17" s="1"/>
  <c r="T646" i="17" s="1"/>
  <c r="M646" i="17"/>
  <c r="N646" i="17" l="1"/>
  <c r="X646" i="17" l="1"/>
  <c r="AU646" i="17"/>
  <c r="U646" i="17" s="1"/>
  <c r="V646" i="17" l="1"/>
  <c r="W646" i="17" s="1"/>
  <c r="Z646" i="17"/>
  <c r="BG646" i="17" l="1"/>
  <c r="BD647" i="17" s="1"/>
  <c r="BE647" i="17" s="1"/>
  <c r="BF647" i="17" s="1"/>
  <c r="AV646" i="17"/>
  <c r="BK646" i="17"/>
  <c r="BH647" i="17" s="1"/>
  <c r="BI647" i="17" s="1"/>
  <c r="AA646" i="17"/>
  <c r="AB647" i="17" s="1"/>
  <c r="AE646" i="17"/>
  <c r="Y647" i="17" l="1"/>
  <c r="AC646" i="17"/>
  <c r="Q647" i="17" l="1"/>
  <c r="AD646" i="17"/>
  <c r="AT646" i="17"/>
  <c r="AF646" i="17" l="1"/>
  <c r="AG646" i="17" s="1"/>
  <c r="K647" i="17"/>
  <c r="S647" i="17"/>
  <c r="T647" i="17" s="1"/>
  <c r="M647" i="17" l="1"/>
  <c r="N647" i="17" s="1"/>
  <c r="X647" i="17" l="1"/>
  <c r="Z647" i="17" s="1"/>
  <c r="AU647" i="17"/>
  <c r="U647" i="17" s="1"/>
  <c r="V647" i="17"/>
  <c r="W647" i="17" l="1"/>
  <c r="AV647" i="17" s="1"/>
  <c r="AE647" i="17" l="1"/>
  <c r="BK647" i="17"/>
  <c r="BH648" i="17" s="1"/>
  <c r="BI648" i="17" s="1"/>
  <c r="AA647" i="17"/>
  <c r="AB648" i="17" s="1"/>
  <c r="BG647" i="17"/>
  <c r="BD648" i="17" s="1"/>
  <c r="BE648" i="17" s="1"/>
  <c r="BF648" i="17" s="1"/>
  <c r="AC647" i="17" l="1"/>
  <c r="Q648" i="17" s="1"/>
  <c r="S648" i="17" s="1"/>
  <c r="T648" i="17" s="1"/>
  <c r="Y648" i="17"/>
  <c r="AT647" i="17" l="1"/>
  <c r="AD647" i="17"/>
  <c r="AF647" i="17" s="1"/>
  <c r="AG647" i="17" s="1"/>
  <c r="K648" i="17"/>
  <c r="M648" i="17" s="1"/>
  <c r="N648" i="17" s="1"/>
  <c r="X648" i="17" s="1"/>
  <c r="Z648" i="17" s="1"/>
  <c r="AU648" i="17" l="1"/>
  <c r="U648" i="17" s="1"/>
  <c r="V648" i="17" l="1"/>
  <c r="W648" i="17" s="1"/>
  <c r="AA648" i="17" s="1"/>
  <c r="AB649" i="17" s="1"/>
  <c r="AC648" i="17" l="1"/>
  <c r="Q649" i="17" s="1"/>
  <c r="AE648" i="17"/>
  <c r="BG648" i="17"/>
  <c r="BD649" i="17" s="1"/>
  <c r="BE649" i="17" s="1"/>
  <c r="BF649" i="17" s="1"/>
  <c r="Y649" i="17"/>
  <c r="BK648" i="17"/>
  <c r="BH649" i="17" s="1"/>
  <c r="BI649" i="17" s="1"/>
  <c r="AV648" i="17"/>
  <c r="AT648" i="17" l="1"/>
  <c r="AD648" i="17"/>
  <c r="AF648" i="17" s="1"/>
  <c r="AG648" i="17" s="1"/>
  <c r="S649" i="17"/>
  <c r="T649" i="17" s="1"/>
  <c r="K649" i="17" l="1"/>
  <c r="M649" i="17" s="1"/>
  <c r="N649" i="17" s="1"/>
  <c r="AU649" i="17" s="1"/>
  <c r="U649" i="17" s="1"/>
  <c r="X649" i="17" l="1"/>
  <c r="Z649" i="17" s="1"/>
  <c r="V649" i="17"/>
  <c r="W649" i="17" s="1"/>
  <c r="BK649" i="17" s="1"/>
  <c r="BH650" i="17" s="1"/>
  <c r="BI650" i="17" s="1"/>
  <c r="AV649" i="17" l="1"/>
  <c r="AA649" i="17"/>
  <c r="AB650" i="17" s="1"/>
  <c r="AE649" i="17"/>
  <c r="BG649" i="17"/>
  <c r="BD650" i="17" s="1"/>
  <c r="BE650" i="17" s="1"/>
  <c r="BF650" i="17" s="1"/>
  <c r="AC649" i="17" l="1"/>
  <c r="Q650" i="17" s="1"/>
  <c r="S650" i="17" s="1"/>
  <c r="T650" i="17" s="1"/>
  <c r="Y650" i="17"/>
  <c r="AD649" i="17" l="1"/>
  <c r="AT649" i="17"/>
  <c r="AF649" i="17"/>
  <c r="AG649" i="17" s="1"/>
  <c r="K650" i="17"/>
  <c r="M650" i="17" s="1"/>
  <c r="N650" i="17" l="1"/>
  <c r="X650" i="17" l="1"/>
  <c r="AC650" i="17" s="1"/>
  <c r="AU650" i="17"/>
  <c r="U650" i="17" s="1"/>
  <c r="V650" i="17" l="1"/>
  <c r="W650" i="17" s="1"/>
  <c r="Z650" i="17"/>
  <c r="Q651" i="17" s="1"/>
  <c r="AA650" i="17" l="1"/>
  <c r="AB651" i="17" s="1"/>
  <c r="BK650" i="17"/>
  <c r="BH651" i="17" s="1"/>
  <c r="BI651" i="17" s="1"/>
  <c r="BG650" i="17"/>
  <c r="BD651" i="17" s="1"/>
  <c r="BE651" i="17" s="1"/>
  <c r="BF651" i="17" s="1"/>
  <c r="AV650" i="17"/>
  <c r="AE650" i="17"/>
  <c r="AT650" i="17"/>
  <c r="S651" i="17"/>
  <c r="T651" i="17" s="1"/>
  <c r="AD650" i="17" l="1"/>
  <c r="K651" i="17" s="1"/>
  <c r="Y651" i="17"/>
  <c r="AF650" i="17" l="1"/>
  <c r="M651" i="17"/>
  <c r="N651" i="17" s="1"/>
  <c r="AU651" i="17" s="1"/>
  <c r="X651" i="17" l="1"/>
  <c r="Z651" i="17" s="1"/>
  <c r="U651" i="17"/>
  <c r="V651" i="17"/>
  <c r="W651" i="17" l="1"/>
  <c r="BK651" i="17" s="1"/>
  <c r="BH652" i="17" s="1"/>
  <c r="BI652" i="17" s="1"/>
  <c r="AE651" i="17" l="1"/>
  <c r="AA651" i="17"/>
  <c r="Y652" i="17" s="1"/>
  <c r="BG651" i="17"/>
  <c r="BD652" i="17" s="1"/>
  <c r="BE652" i="17" s="1"/>
  <c r="BF652" i="17" s="1"/>
  <c r="AV651" i="17"/>
  <c r="AC651" i="17" l="1"/>
  <c r="AD651" i="17" s="1"/>
  <c r="K652" i="17" s="1"/>
  <c r="M652" i="17" s="1"/>
  <c r="N652" i="17" s="1"/>
  <c r="AB652" i="17"/>
  <c r="AT651" i="17"/>
  <c r="AF651" i="17" l="1"/>
  <c r="AG651" i="17" s="1"/>
  <c r="Q652" i="17"/>
  <c r="S652" i="17" s="1"/>
  <c r="T652" i="17" s="1"/>
  <c r="X652" i="17" s="1"/>
  <c r="Z652" i="17" s="1"/>
  <c r="AU652" i="17"/>
  <c r="U652" i="17" s="1"/>
  <c r="V652" i="17"/>
  <c r="W652" i="17" l="1"/>
  <c r="AV652" i="17" s="1"/>
  <c r="BK652" i="17" l="1"/>
  <c r="BH653" i="17" s="1"/>
  <c r="BI653" i="17" s="1"/>
  <c r="BG652" i="17"/>
  <c r="BD653" i="17" s="1"/>
  <c r="BE653" i="17" s="1"/>
  <c r="BF653" i="17" s="1"/>
  <c r="AA652" i="17"/>
  <c r="AB653" i="17" s="1"/>
  <c r="AE652" i="17"/>
  <c r="Y653" i="17" l="1"/>
  <c r="AC652" i="17"/>
  <c r="Q653" i="17" s="1"/>
  <c r="AT652" i="17" l="1"/>
  <c r="AD652" i="17"/>
  <c r="AF652" i="17" s="1"/>
  <c r="S653" i="17"/>
  <c r="T653" i="17" s="1"/>
  <c r="K653" i="17" l="1"/>
  <c r="AG652" i="17"/>
  <c r="M653" i="17"/>
  <c r="N653" i="17" s="1"/>
  <c r="X653" i="17" l="1"/>
  <c r="Z653" i="17" s="1"/>
  <c r="AU653" i="17"/>
  <c r="L15" i="13"/>
  <c r="L9" i="13"/>
  <c r="L13" i="13"/>
  <c r="U653" i="17" l="1"/>
  <c r="V653" i="17"/>
  <c r="W653" i="17" l="1"/>
  <c r="M5" i="17"/>
  <c r="M6" i="17"/>
  <c r="M7" i="17"/>
  <c r="N40" i="13" s="1"/>
  <c r="M8" i="17"/>
  <c r="N41" i="13" s="1"/>
  <c r="M9" i="17"/>
  <c r="N42" i="13" s="1"/>
  <c r="M10" i="17"/>
  <c r="N43" i="13" s="1"/>
  <c r="M11" i="17"/>
  <c r="N44" i="13" s="1"/>
  <c r="M12" i="17"/>
  <c r="N45" i="13" s="1"/>
  <c r="M13" i="17"/>
  <c r="N46" i="13" s="1"/>
  <c r="M14" i="17"/>
  <c r="N47" i="13" s="1"/>
  <c r="M15" i="17"/>
  <c r="N48" i="13" s="1"/>
  <c r="M16" i="17"/>
  <c r="N49" i="13" s="1"/>
  <c r="AV653" i="17" l="1"/>
  <c r="BK653" i="17"/>
  <c r="BH654" i="17" s="1"/>
  <c r="BI654" i="17" s="1"/>
  <c r="AA653" i="17"/>
  <c r="AB654" i="17" s="1"/>
  <c r="BG653" i="17"/>
  <c r="BD654" i="17" s="1"/>
  <c r="BE654" i="17" s="1"/>
  <c r="BF654" i="17" s="1"/>
  <c r="AE653" i="17"/>
  <c r="N38" i="13"/>
  <c r="N5" i="17"/>
  <c r="N6" i="17"/>
  <c r="N39" i="13"/>
  <c r="N7" i="17"/>
  <c r="N8" i="17"/>
  <c r="N9" i="17"/>
  <c r="N10" i="17"/>
  <c r="N11" i="17"/>
  <c r="N12" i="17"/>
  <c r="N13" i="17"/>
  <c r="N14" i="17"/>
  <c r="N15" i="17"/>
  <c r="N16" i="17"/>
  <c r="AC653" i="17" l="1"/>
  <c r="Q654" i="17" s="1"/>
  <c r="Y654" i="17"/>
  <c r="AD653" i="17" l="1"/>
  <c r="K654" i="17" s="1"/>
  <c r="AT653" i="17"/>
  <c r="AF653" i="17" l="1"/>
  <c r="AG653" i="17" s="1"/>
  <c r="S654" i="17"/>
  <c r="T654" i="17" s="1"/>
  <c r="M654" i="17" l="1"/>
  <c r="N654" i="17" s="1"/>
  <c r="X654" i="17" s="1"/>
  <c r="Z654" i="17" l="1"/>
  <c r="AU654" i="17"/>
  <c r="U654" i="17" l="1"/>
  <c r="V654" i="17"/>
  <c r="W654" i="17" l="1"/>
  <c r="BK654" i="17" s="1"/>
  <c r="BH655" i="17" s="1"/>
  <c r="BI655" i="17" s="1"/>
  <c r="AE654" i="17"/>
  <c r="L16" i="13"/>
  <c r="L7" i="13"/>
  <c r="AV654" i="17" l="1"/>
  <c r="BG654" i="17"/>
  <c r="BD655" i="17" s="1"/>
  <c r="BE655" i="17" s="1"/>
  <c r="BF655" i="17" s="1"/>
  <c r="AA654" i="17"/>
  <c r="AB655" i="17" s="1"/>
  <c r="AC654" i="17" l="1"/>
  <c r="Q655" i="17" s="1"/>
  <c r="Y655" i="17"/>
  <c r="AT654" i="17"/>
  <c r="AD654" i="17" l="1"/>
  <c r="AF654" i="17"/>
  <c r="AG654" i="17" s="1"/>
  <c r="K655" i="17"/>
  <c r="S655" i="17" l="1"/>
  <c r="T655" i="17" s="1"/>
  <c r="M655" i="17"/>
  <c r="N655" i="17" s="1"/>
  <c r="AU655" i="17" l="1"/>
  <c r="U655" i="17" s="1"/>
  <c r="V655" i="17"/>
  <c r="X655" i="17"/>
  <c r="Z655" i="17" s="1"/>
  <c r="W655" i="17" l="1"/>
  <c r="AE655" i="17" s="1"/>
  <c r="AV655" i="17" l="1"/>
  <c r="BG655" i="17"/>
  <c r="BD656" i="17" s="1"/>
  <c r="BE656" i="17" s="1"/>
  <c r="BF656" i="17" s="1"/>
  <c r="AA655" i="17"/>
  <c r="AB656" i="17" s="1"/>
  <c r="BK655" i="17"/>
  <c r="BH656" i="17" s="1"/>
  <c r="BI656" i="17" s="1"/>
  <c r="AC655" i="17" l="1"/>
  <c r="Q656" i="17" s="1"/>
  <c r="Y656" i="17"/>
  <c r="AD655" i="17" l="1"/>
  <c r="AT655" i="17"/>
  <c r="AF655" i="17"/>
  <c r="AG655" i="17" s="1"/>
  <c r="K656" i="17"/>
  <c r="M656" i="17" s="1"/>
  <c r="N656" i="17" s="1"/>
  <c r="S656" i="17"/>
  <c r="T656" i="17" s="1"/>
  <c r="AU656" i="17" l="1"/>
  <c r="U656" i="17" s="1"/>
  <c r="X656" i="17"/>
  <c r="Z656" i="17" s="1"/>
  <c r="V656" i="17"/>
  <c r="W656" i="17" l="1"/>
  <c r="AV656" i="17" s="1"/>
  <c r="AE656" i="17" l="1"/>
  <c r="BK656" i="17"/>
  <c r="BH657" i="17" s="1"/>
  <c r="BI657" i="17" s="1"/>
  <c r="BG656" i="17"/>
  <c r="BD657" i="17" s="1"/>
  <c r="BE657" i="17" s="1"/>
  <c r="BF657" i="17" s="1"/>
  <c r="AA656" i="17"/>
  <c r="AB657" i="17" s="1"/>
  <c r="Y657" i="17" l="1"/>
  <c r="AC656" i="17"/>
  <c r="Q657" i="17" s="1"/>
  <c r="AT656" i="17" l="1"/>
  <c r="AD656" i="17"/>
  <c r="AF656" i="17" s="1"/>
  <c r="AG656" i="17" s="1"/>
  <c r="S657" i="17"/>
  <c r="T657" i="17" s="1"/>
  <c r="K657" i="17" l="1"/>
  <c r="M657" i="17" s="1"/>
  <c r="N657" i="17" l="1"/>
  <c r="X657" i="17" s="1"/>
  <c r="Z657" i="17" s="1"/>
  <c r="U657" i="17"/>
  <c r="V657" i="17"/>
  <c r="AU657" i="17" l="1"/>
  <c r="W657" i="17"/>
  <c r="BG657" i="17" l="1"/>
  <c r="BD658" i="17" s="1"/>
  <c r="BE658" i="17" s="1"/>
  <c r="BF658" i="17" s="1"/>
  <c r="AV657" i="17"/>
  <c r="AA657" i="17"/>
  <c r="AB658" i="17" s="1"/>
  <c r="BK657" i="17"/>
  <c r="BH658" i="17" s="1"/>
  <c r="BI658" i="17" s="1"/>
  <c r="AE657" i="17"/>
  <c r="Y658" i="17" l="1"/>
  <c r="AC657" i="17"/>
  <c r="Q658" i="17" s="1"/>
  <c r="AD657" i="17" l="1"/>
  <c r="K658" i="17" s="1"/>
  <c r="AT657" i="17"/>
  <c r="M658" i="17" l="1"/>
  <c r="N658" i="17" s="1"/>
  <c r="AF657" i="17"/>
  <c r="AG657" i="17" s="1"/>
  <c r="S658" i="17" l="1"/>
  <c r="AU658" i="17"/>
  <c r="U658" i="17" s="1"/>
  <c r="T658" i="17" l="1"/>
  <c r="X658" i="17" l="1"/>
  <c r="Z658" i="17" s="1"/>
  <c r="V658" i="17"/>
  <c r="W658" i="17" s="1"/>
  <c r="BK658" i="17" l="1"/>
  <c r="BH659" i="17" s="1"/>
  <c r="BI659" i="17" s="1"/>
  <c r="AA658" i="17"/>
  <c r="AB659" i="17" s="1"/>
  <c r="BG658" i="17"/>
  <c r="BD659" i="17" s="1"/>
  <c r="BE659" i="17" s="1"/>
  <c r="BF659" i="17" s="1"/>
  <c r="AV658" i="17"/>
  <c r="AE658" i="17"/>
  <c r="Y659" i="17" l="1"/>
  <c r="AC658" i="17"/>
  <c r="Q659" i="17" s="1"/>
  <c r="AD658" i="17" l="1"/>
  <c r="K659" i="17" s="1"/>
  <c r="AT658" i="17"/>
  <c r="M659" i="17" l="1"/>
  <c r="N659" i="17" s="1"/>
  <c r="AF658" i="17"/>
  <c r="AG658" i="17" s="1"/>
  <c r="S659" i="17" l="1"/>
  <c r="T659" i="17" s="1"/>
  <c r="X659" i="17" s="1"/>
  <c r="Z659" i="17" s="1"/>
  <c r="AU659" i="17"/>
  <c r="U659" i="17" s="1"/>
  <c r="V659" i="17" l="1"/>
  <c r="W659" i="17" s="1"/>
  <c r="AV659" i="17" l="1"/>
  <c r="AA659" i="17"/>
  <c r="AB660" i="17" s="1"/>
  <c r="BK659" i="17"/>
  <c r="BH660" i="17" s="1"/>
  <c r="BI660" i="17" s="1"/>
  <c r="BG659" i="17"/>
  <c r="BD660" i="17" s="1"/>
  <c r="BE660" i="17" s="1"/>
  <c r="BF660" i="17" s="1"/>
  <c r="AE659" i="17"/>
  <c r="Y660" i="17" l="1"/>
  <c r="AC659" i="17"/>
  <c r="Q660" i="17" s="1"/>
  <c r="AD659" i="17" l="1"/>
  <c r="AT659" i="17"/>
  <c r="AF659" i="17" l="1"/>
  <c r="AG659" i="17" s="1"/>
  <c r="K660" i="17"/>
  <c r="S660" i="17"/>
  <c r="T660" i="17" s="1"/>
  <c r="M660" i="17" l="1"/>
  <c r="N660" i="17" s="1"/>
  <c r="X660" i="17" s="1"/>
  <c r="Z660" i="17" l="1"/>
  <c r="AU660" i="17"/>
  <c r="U660" i="17" s="1"/>
  <c r="V660" i="17"/>
  <c r="W660" i="17" l="1"/>
  <c r="BK660" i="17" s="1"/>
  <c r="BH661" i="17" s="1"/>
  <c r="BI661" i="17" s="1"/>
  <c r="AE660" i="17"/>
  <c r="BG660" i="17" l="1"/>
  <c r="BD661" i="17" s="1"/>
  <c r="BE661" i="17" s="1"/>
  <c r="BF661" i="17" s="1"/>
  <c r="AA660" i="17"/>
  <c r="AB661" i="17" s="1"/>
  <c r="AV660" i="17"/>
  <c r="AC660" i="17" l="1"/>
  <c r="Q661" i="17" s="1"/>
  <c r="Y661" i="17"/>
  <c r="AT660" i="17" l="1"/>
  <c r="AD660" i="17"/>
  <c r="K661" i="17" s="1"/>
  <c r="M661" i="17" s="1"/>
  <c r="N661" i="17" s="1"/>
  <c r="AF660" i="17"/>
  <c r="AG660" i="17" s="1"/>
  <c r="S661" i="17"/>
  <c r="T661" i="17" s="1"/>
  <c r="AU661" i="17" l="1"/>
  <c r="U661" i="17" s="1"/>
  <c r="V661" i="17"/>
  <c r="X661" i="17"/>
  <c r="Z661" i="17" s="1"/>
  <c r="W661" i="17" l="1"/>
  <c r="BG661" i="17" s="1"/>
  <c r="BD662" i="17" s="1"/>
  <c r="BE662" i="17" s="1"/>
  <c r="BF662" i="17" s="1"/>
  <c r="BK661" i="17" l="1"/>
  <c r="BH662" i="17" s="1"/>
  <c r="BI662" i="17" s="1"/>
  <c r="AV661" i="17"/>
  <c r="AE661" i="17"/>
  <c r="AA661" i="17"/>
  <c r="AB662" i="17" l="1"/>
  <c r="AC661" i="17"/>
  <c r="AT661" i="17" s="1"/>
  <c r="Y662" i="17"/>
  <c r="Q662" i="17" l="1"/>
  <c r="S662" i="17" s="1"/>
  <c r="T662" i="17" s="1"/>
  <c r="AD661" i="17"/>
  <c r="K662" i="17" s="1"/>
  <c r="M662" i="17" s="1"/>
  <c r="N662" i="17" s="1"/>
  <c r="AU662" i="17" l="1"/>
  <c r="U662" i="17" s="1"/>
  <c r="AF661" i="17"/>
  <c r="AG661" i="17" s="1"/>
  <c r="X662" i="17"/>
  <c r="Z662" i="17" s="1"/>
  <c r="V662" i="17" l="1"/>
  <c r="W662" i="17" s="1"/>
  <c r="AV662" i="17" s="1"/>
  <c r="AA662" i="17" l="1"/>
  <c r="AB663" i="17" s="1"/>
  <c r="AE662" i="17"/>
  <c r="BG662" i="17"/>
  <c r="BD663" i="17" s="1"/>
  <c r="BE663" i="17" s="1"/>
  <c r="BF663" i="17" s="1"/>
  <c r="BK662" i="17"/>
  <c r="BH663" i="17" s="1"/>
  <c r="BI663" i="17" s="1"/>
  <c r="AC662" i="17"/>
  <c r="Q663" i="17" s="1"/>
  <c r="Y663" i="17"/>
  <c r="AT662" i="17" l="1"/>
  <c r="AD662" i="17"/>
  <c r="AF662" i="17" s="1"/>
  <c r="AG662" i="17" s="1"/>
  <c r="S663" i="17"/>
  <c r="T663" i="17" s="1"/>
  <c r="K663" i="17" l="1"/>
  <c r="M663" i="17" s="1"/>
  <c r="N663" i="17" s="1"/>
  <c r="X663" i="17" s="1"/>
  <c r="Z663" i="17" s="1"/>
  <c r="AU663" i="17" l="1"/>
  <c r="U663" i="17" s="1"/>
  <c r="V663" i="17"/>
  <c r="W663" i="17" l="1"/>
  <c r="AV663" i="17" s="1"/>
  <c r="BK663" i="17"/>
  <c r="BH664" i="17" s="1"/>
  <c r="BI664" i="17" s="1"/>
  <c r="BG663" i="17"/>
  <c r="BD664" i="17" s="1"/>
  <c r="BE664" i="17" s="1"/>
  <c r="BF664" i="17" s="1"/>
  <c r="AA663" i="17"/>
  <c r="AB664" i="17" s="1"/>
  <c r="AE663" i="17"/>
  <c r="AC663" i="17" l="1"/>
  <c r="Q664" i="17" s="1"/>
  <c r="Y664" i="17"/>
  <c r="AT663" i="17" l="1"/>
  <c r="AD663" i="17"/>
  <c r="AF663" i="17" s="1"/>
  <c r="AG663" i="17" s="1"/>
  <c r="S664" i="17"/>
  <c r="T664" i="17" s="1"/>
  <c r="K664" i="17" l="1"/>
  <c r="M664" i="17" s="1"/>
  <c r="N664" i="17" s="1"/>
  <c r="AU664" i="17" s="1"/>
  <c r="U664" i="17" s="1"/>
  <c r="X664" i="17" l="1"/>
  <c r="Z664" i="17" s="1"/>
  <c r="V664" i="17"/>
  <c r="W664" i="17" s="1"/>
  <c r="BG664" i="17" s="1"/>
  <c r="BD665" i="17" s="1"/>
  <c r="BE665" i="17" s="1"/>
  <c r="BF665" i="17" s="1"/>
  <c r="AE664" i="17" l="1"/>
  <c r="BK664" i="17"/>
  <c r="BH665" i="17" s="1"/>
  <c r="BI665" i="17" s="1"/>
  <c r="AV664" i="17"/>
  <c r="AA664" i="17"/>
  <c r="AB665" i="17" s="1"/>
  <c r="AC664" i="17" l="1"/>
  <c r="Q665" i="17" s="1"/>
  <c r="Y665" i="17"/>
  <c r="AT664" i="17" l="1"/>
  <c r="AD664" i="17"/>
  <c r="AF664" i="17" s="1"/>
  <c r="AG664" i="17" s="1"/>
  <c r="S665" i="17"/>
  <c r="T665" i="17" s="1"/>
  <c r="K665" i="17" l="1"/>
  <c r="M665" i="17" s="1"/>
  <c r="N665" i="17" s="1"/>
  <c r="AU665" i="17" s="1"/>
  <c r="U665" i="17" s="1"/>
  <c r="X665" i="17" l="1"/>
  <c r="V665" i="17"/>
  <c r="W665" i="17" s="1"/>
  <c r="Z665" i="17"/>
  <c r="BK665" i="17" l="1"/>
  <c r="BH666" i="17" s="1"/>
  <c r="BI666" i="17" s="1"/>
  <c r="BG665" i="17"/>
  <c r="BD666" i="17" s="1"/>
  <c r="BE666" i="17" s="1"/>
  <c r="BF666" i="17" s="1"/>
  <c r="AV665" i="17"/>
  <c r="AA665" i="17"/>
  <c r="AB666" i="17" s="1"/>
  <c r="AE665" i="17"/>
  <c r="Y666" i="17" l="1"/>
  <c r="AC665" i="17"/>
  <c r="Q666" i="17" s="1"/>
  <c r="AD665" i="17" l="1"/>
  <c r="AT665" i="17"/>
  <c r="AF665" i="17" l="1"/>
  <c r="AG665" i="17" s="1"/>
  <c r="K666" i="17"/>
  <c r="M666" i="17" s="1"/>
  <c r="N666" i="17" s="1"/>
  <c r="S666" i="17"/>
  <c r="T666" i="17" s="1"/>
  <c r="X666" i="17" l="1"/>
  <c r="Z666" i="17" s="1"/>
  <c r="AU666" i="17"/>
  <c r="U666" i="17" s="1"/>
  <c r="V666" i="17" l="1"/>
  <c r="W666" i="17" s="1"/>
  <c r="AA666" i="17" l="1"/>
  <c r="AB667" i="17" s="1"/>
  <c r="BG666" i="17"/>
  <c r="BD667" i="17" s="1"/>
  <c r="BE667" i="17" s="1"/>
  <c r="BF667" i="17" s="1"/>
  <c r="BK666" i="17"/>
  <c r="BH667" i="17" s="1"/>
  <c r="BI667" i="17" s="1"/>
  <c r="AV666" i="17"/>
  <c r="AE666" i="17"/>
  <c r="Y667" i="17" l="1"/>
  <c r="AC666" i="17"/>
  <c r="Q667" i="17" s="1"/>
  <c r="AD666" i="17" l="1"/>
  <c r="AT666" i="17"/>
  <c r="AF666" i="17" l="1"/>
  <c r="AG666" i="17" s="1"/>
  <c r="K667" i="17"/>
  <c r="M667" i="17" s="1"/>
  <c r="S667" i="17"/>
  <c r="T667" i="17" s="1"/>
  <c r="N667" i="17" l="1"/>
  <c r="X667" i="17" s="1"/>
  <c r="Z667" i="17" s="1"/>
  <c r="AU667" i="17" l="1"/>
  <c r="U667" i="17" l="1"/>
  <c r="V667" i="17"/>
  <c r="W667" i="17" l="1"/>
  <c r="BK667" i="17" s="1"/>
  <c r="BH668" i="17" s="1"/>
  <c r="BI668" i="17" s="1"/>
  <c r="AA667" i="17"/>
  <c r="AB668" i="17" s="1"/>
  <c r="AV667" i="17" l="1"/>
  <c r="BG667" i="17"/>
  <c r="BD668" i="17" s="1"/>
  <c r="BE668" i="17" s="1"/>
  <c r="BF668" i="17" s="1"/>
  <c r="AE667" i="17"/>
  <c r="AC667" i="17"/>
  <c r="Q668" i="17" s="1"/>
  <c r="Y668" i="17"/>
  <c r="AD667" i="17" l="1"/>
  <c r="AT667" i="17"/>
  <c r="AF667" i="17" l="1"/>
  <c r="AG667" i="17" s="1"/>
  <c r="K668" i="17"/>
  <c r="S668" i="17"/>
  <c r="T668" i="17" s="1"/>
  <c r="M668" i="17" l="1"/>
  <c r="N668" i="17" s="1"/>
  <c r="X668" i="17" s="1"/>
  <c r="Z668" i="17" s="1"/>
  <c r="AU668" i="17" l="1"/>
  <c r="U668" i="17" s="1"/>
  <c r="V668" i="17"/>
  <c r="W668" i="17" l="1"/>
  <c r="AA668" i="17" s="1"/>
  <c r="AB669" i="17" s="1"/>
  <c r="AE668" i="17" l="1"/>
  <c r="AV668" i="17"/>
  <c r="BG668" i="17"/>
  <c r="BD669" i="17" s="1"/>
  <c r="BE669" i="17" s="1"/>
  <c r="BF669" i="17" s="1"/>
  <c r="BK668" i="17"/>
  <c r="BH669" i="17" s="1"/>
  <c r="BI669" i="17" s="1"/>
  <c r="Y669" i="17"/>
  <c r="AC668" i="17"/>
  <c r="Q669" i="17" s="1"/>
  <c r="AD668" i="17" l="1"/>
  <c r="AT668" i="17"/>
  <c r="AF668" i="17" l="1"/>
  <c r="AG668" i="17" s="1"/>
  <c r="K669" i="17"/>
  <c r="M669" i="17" s="1"/>
  <c r="N669" i="17" s="1"/>
  <c r="S669" i="17"/>
  <c r="T669" i="17" s="1"/>
  <c r="AU669" i="17" l="1"/>
  <c r="U669" i="17" s="1"/>
  <c r="X669" i="17"/>
  <c r="V669" i="17" l="1"/>
  <c r="W669" i="17" s="1"/>
  <c r="Z669" i="17"/>
  <c r="BK669" i="17" l="1"/>
  <c r="BH670" i="17" s="1"/>
  <c r="BI670" i="17" s="1"/>
  <c r="AV669" i="17"/>
  <c r="BG669" i="17"/>
  <c r="BD670" i="17" s="1"/>
  <c r="AA669" i="17"/>
  <c r="AB670" i="17" s="1"/>
  <c r="AE669" i="17"/>
  <c r="AC669" i="17" l="1"/>
  <c r="Q670" i="17" s="1"/>
  <c r="Y670" i="17"/>
  <c r="BE670" i="17"/>
  <c r="BF670" i="17" s="1"/>
  <c r="AD669" i="17" l="1"/>
  <c r="K670" i="17" s="1"/>
  <c r="AT669" i="17"/>
  <c r="AF669" i="17" l="1"/>
  <c r="AG669" i="17" s="1"/>
  <c r="M670" i="17"/>
  <c r="N670" i="17" s="1"/>
  <c r="AU670" i="17" l="1"/>
  <c r="U670" i="17" s="1"/>
  <c r="S670" i="17"/>
  <c r="T670" i="17" s="1"/>
  <c r="X670" i="17" l="1"/>
  <c r="Z670" i="17" s="1"/>
  <c r="V670" i="17"/>
  <c r="W670" i="17" s="1"/>
  <c r="BK670" i="17" l="1"/>
  <c r="BH671" i="17" s="1"/>
  <c r="BI671" i="17" s="1"/>
  <c r="AV670" i="17"/>
  <c r="AA670" i="17"/>
  <c r="AB671" i="17" s="1"/>
  <c r="BG670" i="17"/>
  <c r="BD671" i="17" s="1"/>
  <c r="BE671" i="17" s="1"/>
  <c r="BF671" i="17" s="1"/>
  <c r="AE670" i="17"/>
  <c r="Y671" i="17" l="1"/>
  <c r="AC670" i="17"/>
  <c r="Q671" i="17" s="1"/>
  <c r="AD670" i="17" l="1"/>
  <c r="AT670" i="17"/>
  <c r="AF670" i="17" l="1"/>
  <c r="AG670" i="17" s="1"/>
  <c r="K671" i="17"/>
  <c r="S671" i="17"/>
  <c r="T671" i="17" s="1"/>
  <c r="M671" i="17" l="1"/>
  <c r="N671" i="17" s="1"/>
  <c r="AU671" i="17" l="1"/>
  <c r="U671" i="17" s="1"/>
  <c r="X671" i="17"/>
  <c r="Z671" i="17" s="1"/>
  <c r="V671" i="17"/>
  <c r="W671" i="17" l="1"/>
  <c r="AA671" i="17" s="1"/>
  <c r="AB672" i="17" s="1"/>
  <c r="BK671" i="17" l="1"/>
  <c r="BH672" i="17" s="1"/>
  <c r="BI672" i="17" s="1"/>
  <c r="BG671" i="17"/>
  <c r="BD672" i="17" s="1"/>
  <c r="BE672" i="17" s="1"/>
  <c r="BF672" i="17" s="1"/>
  <c r="AV671" i="17"/>
  <c r="AE671" i="17"/>
  <c r="Y672" i="17"/>
  <c r="AC671" i="17"/>
  <c r="Q672" i="17" s="1"/>
  <c r="AD671" i="17" l="1"/>
  <c r="K672" i="17" s="1"/>
  <c r="AT671" i="17"/>
  <c r="AF671" i="17" l="1"/>
  <c r="AG671" i="17" s="1"/>
  <c r="M672" i="17" l="1"/>
  <c r="N672" i="17" s="1"/>
  <c r="S672" i="17"/>
  <c r="T672" i="17" s="1"/>
  <c r="X672" i="17" l="1"/>
  <c r="Z672" i="17" s="1"/>
  <c r="AU672" i="17"/>
  <c r="V672" i="17" s="1"/>
  <c r="U672" i="17" l="1"/>
  <c r="W672" i="17" s="1"/>
  <c r="BG672" i="17" l="1"/>
  <c r="BD673" i="17" s="1"/>
  <c r="BE673" i="17" s="1"/>
  <c r="BF673" i="17" s="1"/>
  <c r="AA672" i="17"/>
  <c r="AB673" i="17" s="1"/>
  <c r="BK672" i="17"/>
  <c r="BH673" i="17" s="1"/>
  <c r="BI673" i="17" s="1"/>
  <c r="AV672" i="17"/>
  <c r="AE672" i="17"/>
  <c r="AC672" i="17" l="1"/>
  <c r="Q673" i="17" s="1"/>
  <c r="Y673" i="17"/>
  <c r="AD672" i="17" l="1"/>
  <c r="K673" i="17" s="1"/>
  <c r="AT672" i="17"/>
  <c r="M673" i="17" l="1"/>
  <c r="N673" i="17" s="1"/>
  <c r="S673" i="17"/>
  <c r="T673" i="17" s="1"/>
  <c r="AF672" i="17"/>
  <c r="AG672" i="17" s="1"/>
  <c r="X673" i="17" l="1"/>
  <c r="Z673" i="17" s="1"/>
  <c r="AU673" i="17"/>
  <c r="U673" i="17" s="1"/>
  <c r="V673" i="17" l="1"/>
  <c r="W673" i="17" s="1"/>
  <c r="BK673" i="17" l="1"/>
  <c r="BH674" i="17" s="1"/>
  <c r="BI674" i="17" s="1"/>
  <c r="AV673" i="17"/>
  <c r="BG673" i="17"/>
  <c r="BD674" i="17" s="1"/>
  <c r="BE674" i="17" s="1"/>
  <c r="BF674" i="17" s="1"/>
  <c r="AA673" i="17"/>
  <c r="AB674" i="17" s="1"/>
  <c r="AE673" i="17"/>
  <c r="AC673" i="17" l="1"/>
  <c r="Q674" i="17" s="1"/>
  <c r="Y674" i="17"/>
  <c r="AD673" i="17" l="1"/>
  <c r="K674" i="17" s="1"/>
  <c r="AT673" i="17"/>
  <c r="S674" i="17" l="1"/>
  <c r="T674" i="17" s="1"/>
  <c r="AF673" i="17"/>
  <c r="AG673" i="17" s="1"/>
  <c r="M674" i="17" l="1"/>
  <c r="L22" i="13"/>
  <c r="L14" i="13" l="1"/>
  <c r="L11" i="13"/>
  <c r="D13" i="17"/>
  <c r="D16" i="17"/>
  <c r="D9" i="17"/>
  <c r="N26" i="13" s="1"/>
  <c r="D8" i="17"/>
  <c r="N25" i="13" s="1"/>
  <c r="D12" i="17"/>
  <c r="N29" i="13" s="1"/>
  <c r="D11" i="17"/>
  <c r="N28" i="13" s="1"/>
  <c r="D6" i="17"/>
  <c r="N23" i="13" s="1"/>
  <c r="D5" i="17"/>
  <c r="N22" i="13" s="1"/>
  <c r="D10" i="17"/>
  <c r="N27" i="13" s="1"/>
  <c r="D15" i="17"/>
  <c r="D14" i="17"/>
  <c r="D7" i="17"/>
  <c r="N24" i="13" s="1"/>
  <c r="N674" i="17"/>
  <c r="AU674" i="17" s="1"/>
  <c r="U674" i="17" s="1"/>
  <c r="V674" i="17" l="1"/>
  <c r="W674" i="17" s="1"/>
  <c r="AE674" i="17" s="1"/>
  <c r="E15" i="17"/>
  <c r="E13" i="17"/>
  <c r="E8" i="17"/>
  <c r="O25" i="13" s="1"/>
  <c r="E16" i="17"/>
  <c r="E10" i="17"/>
  <c r="O27" i="13" s="1"/>
  <c r="E9" i="17"/>
  <c r="O26" i="13" s="1"/>
  <c r="E6" i="17"/>
  <c r="O23" i="13" s="1"/>
  <c r="E12" i="17"/>
  <c r="O29" i="13" s="1"/>
  <c r="E14" i="17"/>
  <c r="E5" i="17"/>
  <c r="O22" i="13" s="1"/>
  <c r="E7" i="17"/>
  <c r="O24" i="13" s="1"/>
  <c r="E11" i="17"/>
  <c r="O28" i="13" s="1"/>
  <c r="X674" i="17"/>
  <c r="N13" i="13"/>
  <c r="N11" i="13"/>
  <c r="M13" i="13"/>
  <c r="M15" i="13"/>
  <c r="N6" i="13"/>
  <c r="M11" i="13"/>
  <c r="O7" i="13"/>
  <c r="N8" i="13"/>
  <c r="M10" i="13"/>
  <c r="N7" i="13"/>
  <c r="M16" i="13"/>
  <c r="R16" i="13"/>
  <c r="R7" i="13"/>
  <c r="R12" i="13"/>
  <c r="M8" i="13"/>
  <c r="O15" i="13"/>
  <c r="O14" i="13"/>
  <c r="N5" i="13"/>
  <c r="N12" i="13"/>
  <c r="R6" i="13"/>
  <c r="M9" i="13"/>
  <c r="R15" i="13"/>
  <c r="O8" i="13"/>
  <c r="N14" i="13"/>
  <c r="O16" i="13"/>
  <c r="R10" i="13"/>
  <c r="M14" i="13"/>
  <c r="R9" i="13"/>
  <c r="M7" i="13"/>
  <c r="M6" i="13"/>
  <c r="N15" i="13"/>
  <c r="M5" i="13"/>
  <c r="R11" i="13"/>
  <c r="O6" i="13"/>
  <c r="N9" i="13"/>
  <c r="O9" i="13"/>
  <c r="O13" i="13"/>
  <c r="R8" i="13"/>
  <c r="M12" i="13"/>
  <c r="O5" i="13"/>
  <c r="R13" i="13"/>
  <c r="R14" i="13"/>
  <c r="N16" i="13"/>
  <c r="R5" i="13"/>
  <c r="N10" i="13"/>
  <c r="Z674" i="17" l="1"/>
  <c r="C52" i="17"/>
  <c r="O10" i="13"/>
  <c r="O12" i="13"/>
  <c r="O11" i="13"/>
  <c r="AA674" i="17"/>
  <c r="AC674" i="17" s="1"/>
  <c r="BG674" i="17"/>
  <c r="BK674" i="17"/>
  <c r="AV674" i="17"/>
  <c r="C53" i="17" l="1"/>
  <c r="AZ578" i="17" s="1"/>
  <c r="AZ408" i="17"/>
  <c r="AZ543" i="17"/>
  <c r="AZ576" i="17"/>
  <c r="AX211" i="17"/>
  <c r="AX571" i="17"/>
  <c r="AZ464" i="17"/>
  <c r="AX621" i="17"/>
  <c r="AZ650" i="17"/>
  <c r="AX393" i="17"/>
  <c r="AZ223" i="17"/>
  <c r="AZ132" i="17"/>
  <c r="AZ272" i="17"/>
  <c r="AX478" i="17"/>
  <c r="AZ672" i="17"/>
  <c r="AX517" i="17"/>
  <c r="AY127" i="17"/>
  <c r="AX116" i="17"/>
  <c r="AY256" i="17"/>
  <c r="AZ573" i="17"/>
  <c r="AY506" i="17"/>
  <c r="AY141" i="17"/>
  <c r="AZ521" i="17"/>
  <c r="AX301" i="17"/>
  <c r="AZ497" i="17"/>
  <c r="AY262" i="17"/>
  <c r="AX141" i="17"/>
  <c r="AY454" i="17"/>
  <c r="AY568" i="17"/>
  <c r="AZ571" i="17"/>
  <c r="AY409" i="17"/>
  <c r="AZ460" i="17"/>
  <c r="AX319" i="17"/>
  <c r="AY180" i="17"/>
  <c r="AZ370" i="17"/>
  <c r="AX643" i="17"/>
  <c r="AX183" i="17"/>
  <c r="AZ260" i="17"/>
  <c r="AZ637" i="17"/>
  <c r="AX226" i="17"/>
  <c r="AZ228" i="17"/>
  <c r="AX199" i="17"/>
  <c r="AX566" i="17"/>
  <c r="AX504" i="17"/>
  <c r="AZ528" i="17"/>
  <c r="AZ279" i="17"/>
  <c r="AZ392" i="17"/>
  <c r="AX168" i="17"/>
  <c r="AX174" i="17"/>
  <c r="AX494" i="17"/>
  <c r="AZ621" i="17"/>
  <c r="AX129" i="17"/>
  <c r="AZ429" i="17"/>
  <c r="AZ171" i="17"/>
  <c r="AZ230" i="17"/>
  <c r="AX133" i="17"/>
  <c r="AX98" i="17"/>
  <c r="AZ531" i="17"/>
  <c r="AX114" i="17"/>
  <c r="AZ649" i="17"/>
  <c r="AZ249" i="17"/>
  <c r="AX350" i="17"/>
  <c r="AX100" i="17"/>
  <c r="AX565" i="17"/>
  <c r="D17" i="13"/>
  <c r="AZ455" i="17"/>
  <c r="AY195" i="17"/>
  <c r="AY94" i="17"/>
  <c r="AY504" i="17"/>
  <c r="AZ641" i="17"/>
  <c r="AZ385" i="17"/>
  <c r="AZ374" i="17"/>
  <c r="AX276" i="17"/>
  <c r="AX125" i="17"/>
  <c r="AX368" i="17"/>
  <c r="AZ416" i="17"/>
  <c r="AX225" i="17"/>
  <c r="AX658" i="17"/>
  <c r="AZ380" i="17"/>
  <c r="AZ639" i="17"/>
  <c r="AZ557" i="17"/>
  <c r="AX541" i="17"/>
  <c r="AZ120" i="17"/>
  <c r="AZ184" i="17"/>
  <c r="AX311" i="17"/>
  <c r="AX246" i="17"/>
  <c r="AZ292" i="17"/>
  <c r="AX167" i="17"/>
  <c r="AX629" i="17"/>
  <c r="AX118" i="17"/>
  <c r="AX153" i="17"/>
  <c r="AZ248" i="17"/>
  <c r="AZ671" i="17"/>
  <c r="AX356" i="17"/>
  <c r="AX106" i="17"/>
  <c r="AZ607" i="17"/>
  <c r="AZ331" i="17"/>
  <c r="AZ216" i="17"/>
  <c r="AX206" i="17"/>
  <c r="AZ617" i="17"/>
  <c r="AX121" i="17"/>
  <c r="AZ441" i="17"/>
  <c r="AZ281" i="17"/>
  <c r="AZ640" i="17"/>
  <c r="AX176" i="17"/>
  <c r="AZ616" i="17"/>
  <c r="AZ219" i="17"/>
  <c r="AX88" i="17"/>
  <c r="AZ513" i="17"/>
  <c r="AY296" i="17"/>
  <c r="AZ550" i="17"/>
  <c r="AZ153" i="17"/>
  <c r="AZ394" i="17"/>
  <c r="AX160" i="17"/>
  <c r="AZ337" i="17"/>
  <c r="AX610" i="17"/>
  <c r="AZ160" i="17"/>
  <c r="AZ154" i="17"/>
  <c r="AX285" i="17"/>
  <c r="AZ149" i="17"/>
  <c r="AX547" i="17"/>
  <c r="AX84" i="17"/>
  <c r="AZ495" i="17"/>
  <c r="AZ584" i="17"/>
  <c r="AX331" i="17"/>
  <c r="AZ96" i="17"/>
  <c r="AX613" i="17"/>
  <c r="AX352" i="17"/>
  <c r="AX628" i="17"/>
  <c r="AX482" i="17"/>
  <c r="AZ77" i="17"/>
  <c r="AZ540" i="17"/>
  <c r="AZ220" i="17"/>
  <c r="AZ87" i="17"/>
  <c r="AY447" i="17"/>
  <c r="AZ558" i="17"/>
  <c r="AZ94" i="17"/>
  <c r="AZ609" i="17"/>
  <c r="AX425" i="17"/>
  <c r="AZ116" i="17"/>
  <c r="BB116" i="17" s="1"/>
  <c r="AZ644" i="17"/>
  <c r="AZ218" i="17"/>
  <c r="AZ377" i="17"/>
  <c r="AX161" i="17"/>
  <c r="AZ339" i="17"/>
  <c r="AZ128" i="17"/>
  <c r="AZ656" i="17"/>
  <c r="AZ595" i="17"/>
  <c r="AZ319" i="17"/>
  <c r="BB319" i="17" s="1"/>
  <c r="AY255" i="17"/>
  <c r="AZ669" i="17"/>
  <c r="AY475" i="17"/>
  <c r="AZ314" i="17"/>
  <c r="AY558" i="17"/>
  <c r="AX187" i="17"/>
  <c r="AY260" i="17"/>
  <c r="AZ342" i="17"/>
  <c r="AY435" i="17"/>
  <c r="AZ196" i="17"/>
  <c r="AX83" i="17"/>
  <c r="AZ280" i="17"/>
  <c r="AY192" i="17"/>
  <c r="AZ144" i="17"/>
  <c r="AY531" i="17"/>
  <c r="AX76" i="17"/>
  <c r="AY193" i="17"/>
  <c r="AZ620" i="17"/>
  <c r="AY621" i="17"/>
  <c r="BA621" i="17" s="1"/>
  <c r="AX589" i="17"/>
  <c r="AX386" i="17"/>
  <c r="AX269" i="17"/>
  <c r="AX560" i="17"/>
  <c r="AZ167" i="17"/>
  <c r="AX274" i="17"/>
  <c r="AZ151" i="17"/>
  <c r="AX416" i="17"/>
  <c r="AX341" i="17"/>
  <c r="AX663" i="17"/>
  <c r="AX130" i="17"/>
  <c r="AX112" i="17"/>
  <c r="AX536" i="17"/>
  <c r="AX573" i="17"/>
  <c r="AX196" i="17"/>
  <c r="AX376" i="17"/>
  <c r="AZ82" i="17"/>
  <c r="AX255" i="17"/>
  <c r="AX135" i="17"/>
  <c r="AX575" i="17"/>
  <c r="AX614" i="17"/>
  <c r="AX358" i="17"/>
  <c r="AX117" i="17"/>
  <c r="AX549" i="17"/>
  <c r="AX500" i="17"/>
  <c r="AX146" i="17"/>
  <c r="AX279" i="17"/>
  <c r="AX402" i="17"/>
  <c r="AZ393" i="17"/>
  <c r="BB393" i="17" s="1"/>
  <c r="AX471" i="17"/>
  <c r="AX366" i="17"/>
  <c r="AX90" i="17"/>
  <c r="AX647" i="17"/>
  <c r="AX440" i="17"/>
  <c r="AX192" i="17"/>
  <c r="AX281" i="17"/>
  <c r="AX156" i="17"/>
  <c r="AX461" i="17"/>
  <c r="AX213" i="17"/>
  <c r="AX580" i="17"/>
  <c r="AX520" i="17"/>
  <c r="AZ186" i="17"/>
  <c r="AX394" i="17"/>
  <c r="AX484" i="17"/>
  <c r="AX264" i="17"/>
  <c r="AX460" i="17"/>
  <c r="AX616" i="17"/>
  <c r="AX185" i="17"/>
  <c r="AX138" i="17"/>
  <c r="AX642" i="17"/>
  <c r="AX407" i="17"/>
  <c r="AZ619" i="17"/>
  <c r="AX227" i="17"/>
  <c r="AX550" i="17"/>
  <c r="AX652" i="17"/>
  <c r="AX655" i="17"/>
  <c r="AX415" i="17"/>
  <c r="AX556" i="17"/>
  <c r="AX514" i="17"/>
  <c r="AX444" i="17"/>
  <c r="AX674" i="17"/>
  <c r="AX252" i="17"/>
  <c r="AX372" i="17"/>
  <c r="AX190" i="17"/>
  <c r="AX563" i="17"/>
  <c r="AX620" i="17"/>
  <c r="AX619" i="17"/>
  <c r="AZ110" i="17"/>
  <c r="AX450" i="17"/>
  <c r="AX162" i="17"/>
  <c r="AZ522" i="17"/>
  <c r="AZ577" i="17"/>
  <c r="AX363" i="17"/>
  <c r="AZ490" i="17"/>
  <c r="AX95" i="17"/>
  <c r="AZ250" i="17"/>
  <c r="AX624" i="17"/>
  <c r="AX508" i="17"/>
  <c r="AX601" i="17"/>
  <c r="AZ453" i="17"/>
  <c r="AX648" i="17"/>
  <c r="AX347" i="17"/>
  <c r="AX107" i="17"/>
  <c r="AZ608" i="17"/>
  <c r="AX298" i="17"/>
  <c r="AX543" i="17"/>
  <c r="AZ123" i="17"/>
  <c r="AX236" i="17"/>
  <c r="AX673" i="17"/>
  <c r="AX251" i="17"/>
  <c r="AZ112" i="17"/>
  <c r="AX671" i="17"/>
  <c r="AX392" i="17"/>
  <c r="AX623" i="17"/>
  <c r="AX208" i="17"/>
  <c r="AX455" i="17"/>
  <c r="AX123" i="17"/>
  <c r="AZ253" i="17"/>
  <c r="AX299" i="17"/>
  <c r="AX300" i="17"/>
  <c r="AX591" i="17"/>
  <c r="AX242" i="17"/>
  <c r="AX578" i="17"/>
  <c r="AX272" i="17"/>
  <c r="AX244" i="17"/>
  <c r="AZ560" i="17"/>
  <c r="AX427" i="17"/>
  <c r="AX259" i="17"/>
  <c r="AX165" i="17"/>
  <c r="AX239" i="17"/>
  <c r="AX260" i="17"/>
  <c r="AX247" i="17"/>
  <c r="AX267" i="17"/>
  <c r="AX555" i="17"/>
  <c r="AX283" i="17"/>
  <c r="AX546" i="17"/>
  <c r="AX371" i="17"/>
  <c r="AX222" i="17"/>
  <c r="AX395" i="17"/>
  <c r="AX596" i="17"/>
  <c r="AX82" i="17"/>
  <c r="AX143" i="17"/>
  <c r="AZ304" i="17"/>
  <c r="AX668" i="17"/>
  <c r="AX159" i="17"/>
  <c r="AX414" i="17"/>
  <c r="AX280" i="17"/>
  <c r="AX447" i="17"/>
  <c r="AX488" i="17"/>
  <c r="AZ182" i="17"/>
  <c r="AX531" i="17"/>
  <c r="AX537" i="17"/>
  <c r="AX505" i="17"/>
  <c r="AX403" i="17"/>
  <c r="AX271" i="17"/>
  <c r="AX510" i="17"/>
  <c r="AX519" i="17"/>
  <c r="AZ176" i="17"/>
  <c r="BB176" i="17" s="1"/>
  <c r="AX585" i="17"/>
  <c r="AX438" i="17"/>
  <c r="AY140" i="17"/>
  <c r="AX342" i="17"/>
  <c r="AX631" i="17"/>
  <c r="AX381" i="17"/>
  <c r="AX636" i="17"/>
  <c r="AY331" i="17"/>
  <c r="BA331" i="17" s="1"/>
  <c r="AX558" i="17"/>
  <c r="AX564" i="17"/>
  <c r="AX145" i="17"/>
  <c r="AX511" i="17"/>
  <c r="AX669" i="17"/>
  <c r="AZ296" i="17"/>
  <c r="AZ583" i="17"/>
  <c r="AZ165" i="17"/>
  <c r="AX200" i="17"/>
  <c r="AZ267" i="17"/>
  <c r="AX412" i="17"/>
  <c r="AZ351" i="17"/>
  <c r="AX615" i="17"/>
  <c r="AZ358" i="17"/>
  <c r="BB358" i="17" s="1"/>
  <c r="AX124" i="17"/>
  <c r="AX421" i="17"/>
  <c r="AZ306" i="17"/>
  <c r="AZ666" i="17"/>
  <c r="AX94" i="17"/>
  <c r="AZ270" i="17"/>
  <c r="AX369" i="17"/>
  <c r="AX92" i="17"/>
  <c r="AZ507" i="17"/>
  <c r="AZ84" i="17"/>
  <c r="BB84" i="17" s="1"/>
  <c r="AZ428" i="17"/>
  <c r="AX586" i="17"/>
  <c r="AX312" i="17"/>
  <c r="AZ344" i="17"/>
  <c r="AX445" i="17"/>
  <c r="AX318" i="17"/>
  <c r="AX457" i="17"/>
  <c r="AX364" i="17"/>
  <c r="AX665" i="17"/>
  <c r="AX660" i="17"/>
  <c r="AZ585" i="17"/>
  <c r="BB585" i="17" s="1"/>
  <c r="AX551" i="17"/>
  <c r="AX670" i="17"/>
  <c r="AX79" i="17"/>
  <c r="AX577" i="17"/>
  <c r="AX451" i="17"/>
  <c r="AX465" i="17"/>
  <c r="AX404" i="17"/>
  <c r="AX618" i="17"/>
  <c r="AX489" i="17"/>
  <c r="AX443" i="17"/>
  <c r="AX149" i="17"/>
  <c r="AX462" i="17"/>
  <c r="AX646" i="17"/>
  <c r="AX605" i="17"/>
  <c r="AX360" i="17"/>
  <c r="AY370" i="17"/>
  <c r="AX308" i="17"/>
  <c r="AZ544" i="17"/>
  <c r="AX557" i="17"/>
  <c r="AX164" i="17"/>
  <c r="AX568" i="17"/>
  <c r="AX554" i="17"/>
  <c r="AX294" i="17"/>
  <c r="AZ177" i="17"/>
  <c r="AZ103" i="17"/>
  <c r="AX576" i="17"/>
  <c r="AX435" i="17"/>
  <c r="AX593" i="17"/>
  <c r="AX650" i="17"/>
  <c r="AX137" i="17"/>
  <c r="AX496" i="17"/>
  <c r="AZ315" i="17"/>
  <c r="AX513" i="17"/>
  <c r="AX654" i="17"/>
  <c r="AY103" i="17"/>
  <c r="AZ173" i="17"/>
  <c r="AX345" i="17"/>
  <c r="AX574" i="17"/>
  <c r="AX632" i="17"/>
  <c r="AX423" i="17"/>
  <c r="AX493" i="17"/>
  <c r="AX339" i="17"/>
  <c r="AX180" i="17"/>
  <c r="AZ588" i="17"/>
  <c r="AX406" i="17"/>
  <c r="AX607" i="17"/>
  <c r="AZ217" i="17"/>
  <c r="AX397" i="17"/>
  <c r="AZ509" i="17"/>
  <c r="AX466" i="17"/>
  <c r="AX197" i="17"/>
  <c r="AX506" i="17"/>
  <c r="AX399" i="17"/>
  <c r="AX387" i="17"/>
  <c r="AX81" i="17"/>
  <c r="AX469" i="17"/>
  <c r="AX154" i="17"/>
  <c r="AY207" i="17"/>
  <c r="AZ180" i="17"/>
  <c r="BB180" i="17" s="1"/>
  <c r="AZ494" i="17"/>
  <c r="BB494" i="17" s="1"/>
  <c r="AZ145" i="17"/>
  <c r="BB145" i="17" s="1"/>
  <c r="AZ538" i="17"/>
  <c r="AZ368" i="17"/>
  <c r="BB368" i="17" s="1"/>
  <c r="AZ443" i="17"/>
  <c r="BB443" i="17" s="1"/>
  <c r="AZ506" i="17"/>
  <c r="AZ659" i="17"/>
  <c r="AZ470" i="17"/>
  <c r="AY350" i="17"/>
  <c r="BA350" i="17" s="1"/>
  <c r="AX150" i="17"/>
  <c r="AZ307" i="17"/>
  <c r="AZ256" i="17"/>
  <c r="AZ232" i="17"/>
  <c r="AZ197" i="17"/>
  <c r="AZ309" i="17"/>
  <c r="AZ200" i="17"/>
  <c r="BB200" i="17" s="1"/>
  <c r="AZ164" i="17"/>
  <c r="BB164" i="17" s="1"/>
  <c r="AX430" i="17"/>
  <c r="AX216" i="17"/>
  <c r="AX327" i="17"/>
  <c r="AX637" i="17"/>
  <c r="AX209" i="17"/>
  <c r="AX238" i="17"/>
  <c r="AX223" i="17"/>
  <c r="AX221" i="17"/>
  <c r="AX295" i="17"/>
  <c r="AX177" i="17"/>
  <c r="AX325" i="17"/>
  <c r="AX262" i="17"/>
  <c r="AX119" i="17"/>
  <c r="AX218" i="17"/>
  <c r="AY95" i="17"/>
  <c r="BA95" i="17" s="1"/>
  <c r="AX467" i="17"/>
  <c r="AX528" i="17"/>
  <c r="AX302" i="17"/>
  <c r="AX335" i="17"/>
  <c r="AX651" i="17"/>
  <c r="AX359" i="17"/>
  <c r="AX338" i="17"/>
  <c r="AZ126" i="17"/>
  <c r="AZ417" i="17"/>
  <c r="AX78" i="17"/>
  <c r="AX232" i="17"/>
  <c r="AX501" i="17"/>
  <c r="AX343" i="17"/>
  <c r="AX439" i="17"/>
  <c r="AX131" i="17"/>
  <c r="AX297" i="17"/>
  <c r="AX326" i="17"/>
  <c r="AX569" i="17"/>
  <c r="AX584" i="17"/>
  <c r="AX458" i="17"/>
  <c r="AX562" i="17"/>
  <c r="AX320" i="17"/>
  <c r="AX429" i="17"/>
  <c r="AX361" i="17"/>
  <c r="AX661" i="17"/>
  <c r="AX257" i="17"/>
  <c r="AX136" i="17"/>
  <c r="AZ502" i="17"/>
  <c r="AX390" i="17"/>
  <c r="AX627" i="17"/>
  <c r="AX191" i="17"/>
  <c r="AX204" i="17"/>
  <c r="AX515" i="17"/>
  <c r="AX587" i="17"/>
  <c r="AX492" i="17"/>
  <c r="AX322" i="17"/>
  <c r="AX240" i="17"/>
  <c r="AX597" i="17"/>
  <c r="AX351" i="17"/>
  <c r="AX633" i="17"/>
  <c r="AZ444" i="17"/>
  <c r="AX468" i="17"/>
  <c r="AX254" i="17"/>
  <c r="AX108" i="17"/>
  <c r="AX524" i="17"/>
  <c r="AX645" i="17"/>
  <c r="AX296" i="17"/>
  <c r="AX217" i="17"/>
  <c r="AX475" i="17"/>
  <c r="AX103" i="17"/>
  <c r="AX542" i="17"/>
  <c r="AX115" i="17"/>
  <c r="AX548" i="17"/>
  <c r="AX599" i="17"/>
  <c r="AX625" i="17"/>
  <c r="AX396" i="17"/>
  <c r="AX284" i="17"/>
  <c r="AX612" i="17"/>
  <c r="AX152" i="17"/>
  <c r="AX424" i="17"/>
  <c r="AY330" i="17"/>
  <c r="AX567" i="17"/>
  <c r="AX147" i="17"/>
  <c r="AX220" i="17"/>
  <c r="AZ293" i="17"/>
  <c r="AX181" i="17"/>
  <c r="AX436" i="17"/>
  <c r="AX529" i="17"/>
  <c r="AX306" i="17"/>
  <c r="AX408" i="17"/>
  <c r="AX657" i="17"/>
  <c r="AX349" i="17"/>
  <c r="AZ210" i="17"/>
  <c r="AX224" i="17"/>
  <c r="AX128" i="17"/>
  <c r="AX382" i="17"/>
  <c r="AX370" i="17"/>
  <c r="AX491" i="17"/>
  <c r="AX595" i="17"/>
  <c r="AX233" i="17"/>
  <c r="AX258" i="17"/>
  <c r="AX432" i="17"/>
  <c r="AX477" i="17"/>
  <c r="AX498" i="17"/>
  <c r="AX463" i="17"/>
  <c r="AX205" i="17"/>
  <c r="AX535" i="17"/>
  <c r="AX600" i="17"/>
  <c r="AX275" i="17"/>
  <c r="AX230" i="17"/>
  <c r="AX525" i="17"/>
  <c r="AX305" i="17"/>
  <c r="AX490" i="17"/>
  <c r="AX263" i="17"/>
  <c r="AX265" i="17"/>
  <c r="AZ187" i="17"/>
  <c r="BB187" i="17" s="1"/>
  <c r="AY253" i="17"/>
  <c r="AY246" i="17"/>
  <c r="BA246" i="17" s="1"/>
  <c r="AY317" i="17"/>
  <c r="AY191" i="17"/>
  <c r="BA191" i="17" s="1"/>
  <c r="AY382" i="17"/>
  <c r="AZ238" i="17"/>
  <c r="BB238" i="17" s="1"/>
  <c r="AY551" i="17"/>
  <c r="AY280" i="17"/>
  <c r="BA280" i="17" s="1"/>
  <c r="AY247" i="17"/>
  <c r="AY176" i="17"/>
  <c r="BA176" i="17" s="1"/>
  <c r="AY122" i="17"/>
  <c r="AX317" i="17"/>
  <c r="AX441" i="17"/>
  <c r="AX188" i="17"/>
  <c r="AX594" i="17"/>
  <c r="AX422" i="17"/>
  <c r="AX151" i="17"/>
  <c r="AX398" i="17"/>
  <c r="AZ206" i="17"/>
  <c r="BB206" i="17" s="1"/>
  <c r="AZ480" i="17"/>
  <c r="AX157" i="17"/>
  <c r="AX324" i="17"/>
  <c r="AZ472" i="17"/>
  <c r="AX608" i="17"/>
  <c r="AX186" i="17"/>
  <c r="AX411" i="17"/>
  <c r="AX459" i="17"/>
  <c r="AX539" i="17"/>
  <c r="AZ579" i="17"/>
  <c r="AX512" i="17"/>
  <c r="AX87" i="17"/>
  <c r="AX303" i="17"/>
  <c r="AX649" i="17"/>
  <c r="AX385" i="17"/>
  <c r="AX401" i="17"/>
  <c r="AX480" i="17"/>
  <c r="AX434" i="17"/>
  <c r="AX132" i="17"/>
  <c r="AY550" i="17"/>
  <c r="AX419" i="17"/>
  <c r="AX330" i="17"/>
  <c r="AX472" i="17"/>
  <c r="AX286" i="17"/>
  <c r="AX291" i="17"/>
  <c r="AX388" i="17"/>
  <c r="AX127" i="17"/>
  <c r="AX389" i="17"/>
  <c r="AX384" i="17"/>
  <c r="AX323" i="17"/>
  <c r="AX606" i="17"/>
  <c r="AX639" i="17"/>
  <c r="AX598" i="17"/>
  <c r="AX449" i="17"/>
  <c r="AX104" i="17"/>
  <c r="AX148" i="17"/>
  <c r="AX526" i="17"/>
  <c r="AY206" i="17"/>
  <c r="BA206" i="17" s="1"/>
  <c r="AY164" i="17"/>
  <c r="BA164" i="17" s="1"/>
  <c r="AY358" i="17"/>
  <c r="AY461" i="17"/>
  <c r="BA461" i="17" s="1"/>
  <c r="AZ564" i="17"/>
  <c r="AY334" i="17"/>
  <c r="AY265" i="17"/>
  <c r="BA265" i="17" s="1"/>
  <c r="AY411" i="17"/>
  <c r="BA411" i="17" s="1"/>
  <c r="AY632" i="17"/>
  <c r="AY351" i="17"/>
  <c r="BA351" i="17" s="1"/>
  <c r="AY369" i="17"/>
  <c r="BA369" i="17" s="1"/>
  <c r="AX229" i="17"/>
  <c r="AX653" i="17"/>
  <c r="AX431" i="17"/>
  <c r="AX134" i="17"/>
  <c r="AX235" i="17"/>
  <c r="AX666" i="17"/>
  <c r="AX452" i="17"/>
  <c r="AX261" i="17"/>
  <c r="AX354" i="17"/>
  <c r="AZ536" i="17"/>
  <c r="BB536" i="17" s="1"/>
  <c r="AX533" i="17"/>
  <c r="AX644" i="17"/>
  <c r="AX486" i="17"/>
  <c r="AX538" i="17"/>
  <c r="AX516" i="17"/>
  <c r="AX355" i="17"/>
  <c r="AX380" i="17"/>
  <c r="AX640" i="17"/>
  <c r="AZ458" i="17"/>
  <c r="AX487" i="17"/>
  <c r="AX277" i="17"/>
  <c r="AX417" i="17"/>
  <c r="AX362" i="17"/>
  <c r="AX337" i="17"/>
  <c r="AX214" i="17"/>
  <c r="AX572" i="17"/>
  <c r="AZ426" i="17"/>
  <c r="AX379" i="17"/>
  <c r="AX456" i="17"/>
  <c r="AZ122" i="17"/>
  <c r="AX332" i="17"/>
  <c r="AX383" i="17"/>
  <c r="AX173" i="17"/>
  <c r="AX464" i="17"/>
  <c r="AX659" i="17"/>
  <c r="AX249" i="17"/>
  <c r="AX590" i="17"/>
  <c r="AX426" i="17"/>
  <c r="AX662" i="17"/>
  <c r="AX270" i="17"/>
  <c r="AZ419" i="17"/>
  <c r="BB419" i="17" s="1"/>
  <c r="AX405" i="17"/>
  <c r="AX545" i="17"/>
  <c r="AX373" i="17"/>
  <c r="AZ343" i="17"/>
  <c r="BB343" i="17" s="1"/>
  <c r="AX656" i="17"/>
  <c r="AY427" i="17"/>
  <c r="BA427" i="17" s="1"/>
  <c r="AY567" i="17"/>
  <c r="AZ539" i="17"/>
  <c r="BB539" i="17" s="1"/>
  <c r="AY139" i="17"/>
  <c r="AY199" i="17"/>
  <c r="BA199" i="17" s="1"/>
  <c r="AY502" i="17"/>
  <c r="AY582" i="17"/>
  <c r="AY623" i="17"/>
  <c r="AY161" i="17"/>
  <c r="AY174" i="17"/>
  <c r="BA174" i="17" s="1"/>
  <c r="AY459" i="17"/>
  <c r="BA459" i="17" s="1"/>
  <c r="AX559" i="17"/>
  <c r="AZ600" i="17"/>
  <c r="AX287" i="17"/>
  <c r="AX353" i="17"/>
  <c r="AX410" i="17"/>
  <c r="AX437" i="17"/>
  <c r="AX583" i="17"/>
  <c r="AX581" i="17"/>
  <c r="AX502" i="17"/>
  <c r="AX316" i="17"/>
  <c r="AX534" i="17"/>
  <c r="AX304" i="17"/>
  <c r="AX344" i="17"/>
  <c r="AX420" i="17"/>
  <c r="AX553" i="17"/>
  <c r="AX105" i="17"/>
  <c r="AX483" i="17"/>
  <c r="AX635" i="17"/>
  <c r="AX231" i="17"/>
  <c r="AZ133" i="17"/>
  <c r="BB133" i="17" s="1"/>
  <c r="AX523" i="17"/>
  <c r="AX503" i="17"/>
  <c r="AX290" i="17"/>
  <c r="AX530" i="17"/>
  <c r="AZ440" i="17"/>
  <c r="AX602" i="17"/>
  <c r="AZ371" i="17"/>
  <c r="BB371" i="17" s="1"/>
  <c r="AX377" i="17"/>
  <c r="AX522" i="17"/>
  <c r="AX442" i="17"/>
  <c r="AZ463" i="17"/>
  <c r="BB463" i="17" s="1"/>
  <c r="AX409" i="17"/>
  <c r="AX664" i="17"/>
  <c r="AX182" i="17"/>
  <c r="AX348" i="17"/>
  <c r="AX622" i="17"/>
  <c r="AX248" i="17"/>
  <c r="AZ295" i="17"/>
  <c r="BB295" i="17" s="1"/>
  <c r="AX374" i="17"/>
  <c r="AX518" i="17"/>
  <c r="AY183" i="17"/>
  <c r="BA183" i="17" s="1"/>
  <c r="AX667" i="17"/>
  <c r="AX268" i="17"/>
  <c r="AX481" i="17"/>
  <c r="AX189" i="17"/>
  <c r="AX582" i="17"/>
  <c r="AY487" i="17"/>
  <c r="BA487" i="17" s="1"/>
  <c r="AY110" i="17"/>
  <c r="AY316" i="17"/>
  <c r="AY556" i="17"/>
  <c r="BA556" i="17" s="1"/>
  <c r="AY165" i="17"/>
  <c r="BA165" i="17" s="1"/>
  <c r="AY426" i="17"/>
  <c r="BA426" i="17" s="1"/>
  <c r="AY477" i="17"/>
  <c r="BA477" i="17" s="1"/>
  <c r="AZ594" i="17"/>
  <c r="BB594" i="17" s="1"/>
  <c r="AY315" i="17"/>
  <c r="AZ226" i="17"/>
  <c r="BB226" i="17" s="1"/>
  <c r="AY76" i="17"/>
  <c r="BA76" i="17" s="1"/>
  <c r="AZ389" i="17"/>
  <c r="BB389" i="17" s="1"/>
  <c r="AY661" i="17"/>
  <c r="BA661" i="17" s="1"/>
  <c r="AY613" i="17"/>
  <c r="BA613" i="17" s="1"/>
  <c r="AY597" i="17"/>
  <c r="AY549" i="17"/>
  <c r="AY612" i="17"/>
  <c r="AX86" i="17"/>
  <c r="AZ450" i="17"/>
  <c r="BB450" i="17" s="1"/>
  <c r="AY230" i="17"/>
  <c r="BA230" i="17" s="1"/>
  <c r="AY672" i="17"/>
  <c r="AZ117" i="17"/>
  <c r="BB117" i="17" s="1"/>
  <c r="AY610" i="17"/>
  <c r="AY328" i="17"/>
  <c r="AZ243" i="17"/>
  <c r="AY405" i="17"/>
  <c r="BA405" i="17" s="1"/>
  <c r="AY491" i="17"/>
  <c r="AY377" i="17"/>
  <c r="AY478" i="17"/>
  <c r="BA478" i="17" s="1"/>
  <c r="AY276" i="17"/>
  <c r="BA276" i="17" s="1"/>
  <c r="AY516" i="17"/>
  <c r="AY133" i="17"/>
  <c r="AZ222" i="17"/>
  <c r="AZ241" i="17"/>
  <c r="AZ479" i="17"/>
  <c r="AX203" i="17"/>
  <c r="AY640" i="17"/>
  <c r="BA640" i="17" s="1"/>
  <c r="AZ269" i="17"/>
  <c r="BB269" i="17" s="1"/>
  <c r="AY365" i="17"/>
  <c r="AY149" i="17"/>
  <c r="AZ475" i="17"/>
  <c r="BB475" i="17" s="1"/>
  <c r="AY184" i="17"/>
  <c r="AZ93" i="17"/>
  <c r="AY213" i="17"/>
  <c r="BA213" i="17" s="1"/>
  <c r="AY664" i="17"/>
  <c r="BA664" i="17" s="1"/>
  <c r="AY539" i="17"/>
  <c r="BA539" i="17" s="1"/>
  <c r="AY91" i="17"/>
  <c r="AZ277" i="17"/>
  <c r="AZ355" i="17"/>
  <c r="BB355" i="17" s="1"/>
  <c r="AY99" i="17"/>
  <c r="AZ170" i="17"/>
  <c r="AZ587" i="17"/>
  <c r="BB587" i="17" s="1"/>
  <c r="AY555" i="17"/>
  <c r="AY288" i="17"/>
  <c r="AY436" i="17"/>
  <c r="BA436" i="17" s="1"/>
  <c r="AX219" i="17"/>
  <c r="AY648" i="17"/>
  <c r="BA648" i="17" s="1"/>
  <c r="AZ141" i="17"/>
  <c r="BB141" i="17" s="1"/>
  <c r="AY124" i="17"/>
  <c r="BA124" i="17" s="1"/>
  <c r="AZ214" i="17"/>
  <c r="AY156" i="17"/>
  <c r="BA156" i="17" s="1"/>
  <c r="AZ263" i="17"/>
  <c r="BB263" i="17" s="1"/>
  <c r="AZ335" i="17"/>
  <c r="AY425" i="17"/>
  <c r="BA425" i="17" s="1"/>
  <c r="AY301" i="17"/>
  <c r="AY615" i="17"/>
  <c r="BA615" i="17" s="1"/>
  <c r="AZ183" i="17"/>
  <c r="BB183" i="17" s="1"/>
  <c r="AZ347" i="17"/>
  <c r="BB347" i="17" s="1"/>
  <c r="AZ554" i="17"/>
  <c r="BB554" i="17" s="1"/>
  <c r="AX237" i="17"/>
  <c r="AX163" i="17"/>
  <c r="AZ411" i="17"/>
  <c r="BB411" i="17" s="1"/>
  <c r="AZ601" i="17"/>
  <c r="BB601" i="17" s="1"/>
  <c r="AX241" i="17"/>
  <c r="AZ547" i="17"/>
  <c r="BB547" i="17" s="1"/>
  <c r="AY448" i="17"/>
  <c r="AZ329" i="17"/>
  <c r="AY153" i="17"/>
  <c r="BA153" i="17" s="1"/>
  <c r="AZ629" i="17"/>
  <c r="BB629" i="17" s="1"/>
  <c r="AY170" i="17"/>
  <c r="AZ446" i="17"/>
  <c r="AY151" i="17"/>
  <c r="BA151" i="17" s="1"/>
  <c r="AZ510" i="17"/>
  <c r="AY533" i="17"/>
  <c r="BA533" i="17" s="1"/>
  <c r="AZ233" i="17"/>
  <c r="AZ328" i="17"/>
  <c r="AY215" i="17"/>
  <c r="AY336" i="17"/>
  <c r="AZ551" i="17"/>
  <c r="AX293" i="17"/>
  <c r="AZ473" i="17"/>
  <c r="AZ91" i="17"/>
  <c r="AZ229" i="17"/>
  <c r="AX195" i="17"/>
  <c r="AZ264" i="17"/>
  <c r="BB264" i="17" s="1"/>
  <c r="AX179" i="17"/>
  <c r="AY185" i="17"/>
  <c r="AY618" i="17"/>
  <c r="BA618" i="17" s="1"/>
  <c r="AY635" i="17"/>
  <c r="AZ225" i="17"/>
  <c r="BB225" i="17" s="1"/>
  <c r="AY203" i="17"/>
  <c r="AY290" i="17"/>
  <c r="BA290" i="17" s="1"/>
  <c r="AY385" i="17"/>
  <c r="AZ372" i="17"/>
  <c r="BB372" i="17" s="1"/>
  <c r="AZ618" i="17"/>
  <c r="BB618" i="17" s="1"/>
  <c r="AY366" i="17"/>
  <c r="BA366" i="17" s="1"/>
  <c r="AY573" i="17"/>
  <c r="AY361" i="17"/>
  <c r="AZ548" i="17"/>
  <c r="BB548" i="17" s="1"/>
  <c r="AZ291" i="17"/>
  <c r="BB291" i="17" s="1"/>
  <c r="AY604" i="17"/>
  <c r="AZ97" i="17"/>
  <c r="AY172" i="17"/>
  <c r="AY225" i="17"/>
  <c r="BA225" i="17" s="1"/>
  <c r="AY349" i="17"/>
  <c r="AY412" i="17"/>
  <c r="BA412" i="17" s="1"/>
  <c r="AY335" i="17"/>
  <c r="AZ101" i="17"/>
  <c r="AY204" i="17"/>
  <c r="AZ516" i="17"/>
  <c r="BB516" i="17" s="1"/>
  <c r="AY117" i="17"/>
  <c r="BA117" i="17" s="1"/>
  <c r="AZ462" i="17"/>
  <c r="BB462" i="17" s="1"/>
  <c r="AY155" i="17"/>
  <c r="AY490" i="17"/>
  <c r="BA490" i="17" s="1"/>
  <c r="AY264" i="17"/>
  <c r="BA264" i="17" s="1"/>
  <c r="AY517" i="17"/>
  <c r="BA517" i="17" s="1"/>
  <c r="AY388" i="17"/>
  <c r="BA388" i="17" s="1"/>
  <c r="AY160" i="17"/>
  <c r="BA160" i="17" s="1"/>
  <c r="AY303" i="17"/>
  <c r="AZ487" i="17"/>
  <c r="BB487" i="17" s="1"/>
  <c r="AY300" i="17"/>
  <c r="AY108" i="17"/>
  <c r="AY224" i="17"/>
  <c r="AY440" i="17"/>
  <c r="BA440" i="17" s="1"/>
  <c r="AZ403" i="17"/>
  <c r="AZ386" i="17"/>
  <c r="BB386" i="17" s="1"/>
  <c r="AZ401" i="17"/>
  <c r="BB401" i="17" s="1"/>
  <c r="AY591" i="17"/>
  <c r="BA591" i="17" s="1"/>
  <c r="AZ452" i="17"/>
  <c r="AZ376" i="17"/>
  <c r="AZ623" i="17"/>
  <c r="AZ553" i="17"/>
  <c r="BB553" i="17" s="1"/>
  <c r="AY104" i="17"/>
  <c r="AY429" i="17"/>
  <c r="BA429" i="17" s="1"/>
  <c r="AZ612" i="17"/>
  <c r="AY596" i="17"/>
  <c r="BA596" i="17" s="1"/>
  <c r="AZ130" i="17"/>
  <c r="BB130" i="17" s="1"/>
  <c r="AY194" i="17"/>
  <c r="AY245" i="17"/>
  <c r="AY416" i="17"/>
  <c r="BA416" i="17" s="1"/>
  <c r="AY355" i="17"/>
  <c r="BA355" i="17" s="1"/>
  <c r="AX611" i="17"/>
  <c r="AX99" i="17"/>
  <c r="AX315" i="17"/>
  <c r="AZ150" i="17"/>
  <c r="AZ190" i="17"/>
  <c r="AZ346" i="17"/>
  <c r="AZ284" i="17"/>
  <c r="BB284" i="17" s="1"/>
  <c r="AZ317" i="17"/>
  <c r="AZ400" i="17"/>
  <c r="AZ591" i="17"/>
  <c r="BB591" i="17" s="1"/>
  <c r="AZ668" i="17"/>
  <c r="BB668" i="17" s="1"/>
  <c r="AZ146" i="17"/>
  <c r="AZ537" i="17"/>
  <c r="AY78" i="17"/>
  <c r="AY658" i="17"/>
  <c r="BA658" i="17" s="1"/>
  <c r="AY547" i="17"/>
  <c r="BA547" i="17" s="1"/>
  <c r="AX454" i="17"/>
  <c r="AY200" i="17"/>
  <c r="BA200" i="17" s="1"/>
  <c r="AZ514" i="17"/>
  <c r="BB514" i="17" s="1"/>
  <c r="AZ157" i="17"/>
  <c r="BB157" i="17" s="1"/>
  <c r="AY359" i="17"/>
  <c r="BA359" i="17" s="1"/>
  <c r="AZ345" i="17"/>
  <c r="AZ273" i="17"/>
  <c r="AZ505" i="17"/>
  <c r="BB505" i="17" s="1"/>
  <c r="AZ418" i="17"/>
  <c r="AZ287" i="17"/>
  <c r="BB287" i="17" s="1"/>
  <c r="AY166" i="17"/>
  <c r="AY460" i="17"/>
  <c r="AZ482" i="17"/>
  <c r="BB482" i="17" s="1"/>
  <c r="AY130" i="17"/>
  <c r="BA130" i="17" s="1"/>
  <c r="AY600" i="17"/>
  <c r="BA600" i="17" s="1"/>
  <c r="AY323" i="17"/>
  <c r="BA323" i="17" s="1"/>
  <c r="AY642" i="17"/>
  <c r="BA642" i="17" s="1"/>
  <c r="AY308" i="17"/>
  <c r="AZ268" i="17"/>
  <c r="BB268" i="17" s="1"/>
  <c r="AY284" i="17"/>
  <c r="BA284" i="17" s="1"/>
  <c r="AZ294" i="17"/>
  <c r="AZ283" i="17"/>
  <c r="BB283" i="17" s="1"/>
  <c r="AY521" i="17"/>
  <c r="AY476" i="17"/>
  <c r="AY93" i="17"/>
  <c r="AZ420" i="17"/>
  <c r="AZ207" i="17"/>
  <c r="AZ661" i="17"/>
  <c r="BB661" i="17" s="1"/>
  <c r="AY283" i="17"/>
  <c r="BA283" i="17" s="1"/>
  <c r="AY157" i="17"/>
  <c r="BA157" i="17" s="1"/>
  <c r="AY562" i="17"/>
  <c r="BA562" i="17" s="1"/>
  <c r="AY668" i="17"/>
  <c r="AY144" i="17"/>
  <c r="AY563" i="17"/>
  <c r="BA563" i="17" s="1"/>
  <c r="AY479" i="17"/>
  <c r="AZ83" i="17"/>
  <c r="AZ433" i="17"/>
  <c r="AZ155" i="17"/>
  <c r="AX155" i="17"/>
  <c r="AY463" i="17"/>
  <c r="BA463" i="17" s="1"/>
  <c r="AY226" i="17"/>
  <c r="AY428" i="17"/>
  <c r="AY196" i="17"/>
  <c r="BA196" i="17" s="1"/>
  <c r="AZ316" i="17"/>
  <c r="AY321" i="17"/>
  <c r="AZ469" i="17"/>
  <c r="BB469" i="17" s="1"/>
  <c r="AY376" i="17"/>
  <c r="BA376" i="17" s="1"/>
  <c r="AZ208" i="17"/>
  <c r="BB208" i="17" s="1"/>
  <c r="AY210" i="17"/>
  <c r="AZ535" i="17"/>
  <c r="BB535" i="17" s="1"/>
  <c r="AZ581" i="17"/>
  <c r="BB581" i="17" s="1"/>
  <c r="AY354" i="17"/>
  <c r="AZ387" i="17"/>
  <c r="BB387" i="17" s="1"/>
  <c r="AZ356" i="17"/>
  <c r="BB356" i="17" s="1"/>
  <c r="AY135" i="17"/>
  <c r="BA135" i="17" s="1"/>
  <c r="AY468" i="17"/>
  <c r="AZ626" i="17"/>
  <c r="AY396" i="17"/>
  <c r="AX169" i="17"/>
  <c r="AY309" i="17"/>
  <c r="AY298" i="17"/>
  <c r="BA298" i="17" s="1"/>
  <c r="AY482" i="17"/>
  <c r="AY666" i="17"/>
  <c r="BA666" i="17" s="1"/>
  <c r="AY313" i="17"/>
  <c r="AZ379" i="17"/>
  <c r="BB379" i="17" s="1"/>
  <c r="AY653" i="17"/>
  <c r="BA653" i="17" s="1"/>
  <c r="AY90" i="17"/>
  <c r="BA90" i="17" s="1"/>
  <c r="AY364" i="17"/>
  <c r="AZ359" i="17"/>
  <c r="BB359" i="17" s="1"/>
  <c r="AX333" i="17"/>
  <c r="AZ461" i="17"/>
  <c r="BB461" i="17" s="1"/>
  <c r="AX588" i="17"/>
  <c r="AZ360" i="17"/>
  <c r="AX617" i="17"/>
  <c r="AZ90" i="17"/>
  <c r="BB90" i="17" s="1"/>
  <c r="AZ192" i="17"/>
  <c r="BB192" i="17" s="1"/>
  <c r="AX89" i="17"/>
  <c r="AZ503" i="17"/>
  <c r="AY232" i="17"/>
  <c r="BA232" i="17" s="1"/>
  <c r="AY345" i="17"/>
  <c r="AY386" i="17"/>
  <c r="BA386" i="17" s="1"/>
  <c r="AY238" i="17"/>
  <c r="BA238" i="17" s="1"/>
  <c r="AZ191" i="17"/>
  <c r="BB191" i="17" s="1"/>
  <c r="AZ660" i="17"/>
  <c r="AZ562" i="17"/>
  <c r="BB562" i="17" s="1"/>
  <c r="AZ303" i="17"/>
  <c r="AY511" i="17"/>
  <c r="BA511" i="17" s="1"/>
  <c r="AY222" i="17"/>
  <c r="AZ327" i="17"/>
  <c r="AY508" i="17"/>
  <c r="AX210" i="17"/>
  <c r="BB210" i="17" s="1"/>
  <c r="AX198" i="17"/>
  <c r="AX634" i="17"/>
  <c r="AZ448" i="17"/>
  <c r="AZ518" i="17"/>
  <c r="BB518" i="17" s="1"/>
  <c r="AX473" i="17"/>
  <c r="AZ125" i="17"/>
  <c r="BB125" i="17" s="1"/>
  <c r="AZ527" i="17"/>
  <c r="AX80" i="17"/>
  <c r="AZ169" i="17"/>
  <c r="AY83" i="17"/>
  <c r="AY136" i="17"/>
  <c r="BA136" i="17" s="1"/>
  <c r="AZ549" i="17"/>
  <c r="BB549" i="17" s="1"/>
  <c r="AY147" i="17"/>
  <c r="BA147" i="17" s="1"/>
  <c r="AY608" i="17"/>
  <c r="AY493" i="17"/>
  <c r="AY662" i="17"/>
  <c r="BA662" i="17" s="1"/>
  <c r="AZ597" i="17"/>
  <c r="AY347" i="17"/>
  <c r="BA347" i="17" s="1"/>
  <c r="AY644" i="17"/>
  <c r="BA644" i="17" s="1"/>
  <c r="AY595" i="17"/>
  <c r="BA595" i="17" s="1"/>
  <c r="AY464" i="17"/>
  <c r="BA464" i="17" s="1"/>
  <c r="AZ511" i="17"/>
  <c r="BB511" i="17" s="1"/>
  <c r="AY594" i="17"/>
  <c r="BA594" i="17" s="1"/>
  <c r="AY505" i="17"/>
  <c r="BA505" i="17" s="1"/>
  <c r="AZ79" i="17"/>
  <c r="AY557" i="17"/>
  <c r="AY297" i="17"/>
  <c r="AY312" i="17"/>
  <c r="BA312" i="17" s="1"/>
  <c r="AY87" i="17"/>
  <c r="BA87" i="17" s="1"/>
  <c r="AZ137" i="17"/>
  <c r="BB137" i="17" s="1"/>
  <c r="AZ234" i="17"/>
  <c r="AY168" i="17"/>
  <c r="BA168" i="17" s="1"/>
  <c r="AZ198" i="17"/>
  <c r="BB198" i="17" s="1"/>
  <c r="AY219" i="17"/>
  <c r="BA219" i="17" s="1"/>
  <c r="AY593" i="17"/>
  <c r="BA593" i="17" s="1"/>
  <c r="AY480" i="17"/>
  <c r="BA480" i="17" s="1"/>
  <c r="AZ569" i="17"/>
  <c r="AY389" i="17"/>
  <c r="BA389" i="17" s="1"/>
  <c r="AY637" i="17"/>
  <c r="BA637" i="17" s="1"/>
  <c r="AZ188" i="17"/>
  <c r="BB188" i="17" s="1"/>
  <c r="AY209" i="17"/>
  <c r="AZ298" i="17"/>
  <c r="BB298" i="17" s="1"/>
  <c r="AY248" i="17"/>
  <c r="BA248" i="17" s="1"/>
  <c r="AY205" i="17"/>
  <c r="BA205" i="17" s="1"/>
  <c r="AZ300" i="17"/>
  <c r="AZ213" i="17"/>
  <c r="BB213" i="17" s="1"/>
  <c r="AZ255" i="17"/>
  <c r="AZ341" i="17"/>
  <c r="BB341" i="17" s="1"/>
  <c r="AY214" i="17"/>
  <c r="AY611" i="17"/>
  <c r="BA611" i="17" s="1"/>
  <c r="AX532" i="17"/>
  <c r="AZ199" i="17"/>
  <c r="BB199" i="17" s="1"/>
  <c r="AZ449" i="17"/>
  <c r="BB449" i="17" s="1"/>
  <c r="AZ427" i="17"/>
  <c r="BB427" i="17" s="1"/>
  <c r="AY105" i="17"/>
  <c r="AY218" i="17"/>
  <c r="BA218" i="17" s="1"/>
  <c r="AY80" i="17"/>
  <c r="AY261" i="17"/>
  <c r="BA261" i="17" s="1"/>
  <c r="AZ628" i="17"/>
  <c r="BB628" i="17" s="1"/>
  <c r="AY445" i="17"/>
  <c r="BA445" i="17" s="1"/>
  <c r="AZ212" i="17"/>
  <c r="AY485" i="17"/>
  <c r="AZ330" i="17"/>
  <c r="BB330" i="17" s="1"/>
  <c r="AZ139" i="17"/>
  <c r="AY353" i="17"/>
  <c r="AZ471" i="17"/>
  <c r="BB471" i="17" s="1"/>
  <c r="AZ398" i="17"/>
  <c r="AZ499" i="17"/>
  <c r="AZ168" i="17"/>
  <c r="AZ148" i="17"/>
  <c r="BB148" i="17" s="1"/>
  <c r="AZ592" i="17"/>
  <c r="AX140" i="17"/>
  <c r="AZ496" i="17"/>
  <c r="AZ181" i="17"/>
  <c r="BB181" i="17" s="1"/>
  <c r="AZ430" i="17"/>
  <c r="AY75" i="17"/>
  <c r="BA75" i="17" s="1"/>
  <c r="AZ405" i="17"/>
  <c r="BB405" i="17" s="1"/>
  <c r="AZ657" i="17"/>
  <c r="BB657" i="17" s="1"/>
  <c r="AZ517" i="17"/>
  <c r="AY585" i="17"/>
  <c r="BA585" i="17" s="1"/>
  <c r="AY467" i="17"/>
  <c r="BA467" i="17" s="1"/>
  <c r="AY518" i="17"/>
  <c r="AZ404" i="17"/>
  <c r="AY221" i="17"/>
  <c r="BA221" i="17" s="1"/>
  <c r="AX309" i="17"/>
  <c r="AZ366" i="17"/>
  <c r="BB366" i="17" s="1"/>
  <c r="AZ610" i="17"/>
  <c r="AY659" i="17"/>
  <c r="BA659" i="17" s="1"/>
  <c r="AZ606" i="17"/>
  <c r="AY399" i="17"/>
  <c r="BA399" i="17" s="1"/>
  <c r="AZ391" i="17"/>
  <c r="AY424" i="17"/>
  <c r="BA424" i="17" s="1"/>
  <c r="AX570" i="17"/>
  <c r="AX357" i="17"/>
  <c r="AY84" i="17"/>
  <c r="AZ519" i="17"/>
  <c r="BB519" i="17" s="1"/>
  <c r="AY273" i="17"/>
  <c r="AZ179" i="17"/>
  <c r="BB179" i="17" s="1"/>
  <c r="AY628" i="17"/>
  <c r="BA628" i="17" s="1"/>
  <c r="AY373" i="17"/>
  <c r="BA373" i="17" s="1"/>
  <c r="AZ221" i="17"/>
  <c r="BB221" i="17" s="1"/>
  <c r="AY128" i="17"/>
  <c r="BA128" i="17" s="1"/>
  <c r="AZ95" i="17"/>
  <c r="BB95" i="17" s="1"/>
  <c r="AZ134" i="17"/>
  <c r="BB134" i="17" s="1"/>
  <c r="AZ178" i="17"/>
  <c r="AX336" i="17"/>
  <c r="AX479" i="17"/>
  <c r="AZ615" i="17"/>
  <c r="BB615" i="17" s="1"/>
  <c r="AZ648" i="17"/>
  <c r="BB648" i="17" s="1"/>
  <c r="AY116" i="17"/>
  <c r="BA116" i="17" s="1"/>
  <c r="AY450" i="17"/>
  <c r="BA450" i="17" s="1"/>
  <c r="AY285" i="17"/>
  <c r="BA285" i="17" s="1"/>
  <c r="AY624" i="17"/>
  <c r="BA624" i="17" s="1"/>
  <c r="AZ259" i="17"/>
  <c r="AZ308" i="17"/>
  <c r="AX120" i="17"/>
  <c r="AZ635" i="17"/>
  <c r="AZ142" i="17"/>
  <c r="AX228" i="17"/>
  <c r="AZ589" i="17"/>
  <c r="BB589" i="17" s="1"/>
  <c r="AX178" i="17"/>
  <c r="AZ432" i="17"/>
  <c r="BB432" i="17" s="1"/>
  <c r="AZ409" i="17"/>
  <c r="AZ189" i="17"/>
  <c r="BB189" i="17" s="1"/>
  <c r="AZ320" i="17"/>
  <c r="AX367" i="17"/>
  <c r="AZ454" i="17"/>
  <c r="AX448" i="17"/>
  <c r="AZ369" i="17"/>
  <c r="BB369" i="17" s="1"/>
  <c r="AZ209" i="17"/>
  <c r="BB209" i="17" s="1"/>
  <c r="AX122" i="17"/>
  <c r="AZ231" i="17"/>
  <c r="BB231" i="17" s="1"/>
  <c r="AY217" i="17"/>
  <c r="AY564" i="17"/>
  <c r="AZ524" i="17"/>
  <c r="BB524" i="17" s="1"/>
  <c r="AY667" i="17"/>
  <c r="BA667" i="17" s="1"/>
  <c r="AY401" i="17"/>
  <c r="BA401" i="17" s="1"/>
  <c r="AZ163" i="17"/>
  <c r="BB163" i="17" s="1"/>
  <c r="AZ297" i="17"/>
  <c r="AY647" i="17"/>
  <c r="BA647" i="17" s="1"/>
  <c r="AY282" i="17"/>
  <c r="AY441" i="17"/>
  <c r="BA441" i="17" s="1"/>
  <c r="AY173" i="17"/>
  <c r="AY560" i="17"/>
  <c r="BA560" i="17" s="1"/>
  <c r="AZ642" i="17"/>
  <c r="AY279" i="17"/>
  <c r="BA279" i="17" s="1"/>
  <c r="AY295" i="17"/>
  <c r="AZ129" i="17"/>
  <c r="BB129" i="17" s="1"/>
  <c r="AY186" i="17"/>
  <c r="BA186" i="17" s="1"/>
  <c r="AY249" i="17"/>
  <c r="BA249" i="17" s="1"/>
  <c r="AZ645" i="17"/>
  <c r="AY638" i="17"/>
  <c r="AZ481" i="17"/>
  <c r="AZ596" i="17"/>
  <c r="AY643" i="17"/>
  <c r="AY98" i="17"/>
  <c r="BA98" i="17" s="1"/>
  <c r="AY494" i="17"/>
  <c r="BA494" i="17" s="1"/>
  <c r="AY322" i="17"/>
  <c r="AY636" i="17"/>
  <c r="BA636" i="17" s="1"/>
  <c r="AY391" i="17"/>
  <c r="AY229" i="17"/>
  <c r="AZ484" i="17"/>
  <c r="AY348" i="17"/>
  <c r="BA348" i="17" s="1"/>
  <c r="AZ236" i="17"/>
  <c r="BB236" i="17" s="1"/>
  <c r="AY236" i="17"/>
  <c r="AZ172" i="17"/>
  <c r="AY456" i="17"/>
  <c r="AY119" i="17"/>
  <c r="BA119" i="17" s="1"/>
  <c r="AY609" i="17"/>
  <c r="AY410" i="17"/>
  <c r="BA410" i="17" s="1"/>
  <c r="AY146" i="17"/>
  <c r="AY189" i="17"/>
  <c r="BA189" i="17" s="1"/>
  <c r="AX476" i="17"/>
  <c r="AZ504" i="17"/>
  <c r="AX256" i="17"/>
  <c r="AZ113" i="17"/>
  <c r="AZ334" i="17"/>
  <c r="AZ634" i="17"/>
  <c r="BB634" i="17" s="1"/>
  <c r="AZ568" i="17"/>
  <c r="AZ483" i="17"/>
  <c r="BB483" i="17" s="1"/>
  <c r="AX194" i="17"/>
  <c r="AZ570" i="17"/>
  <c r="BB570" i="17" s="1"/>
  <c r="AZ107" i="17"/>
  <c r="BB107" i="17" s="1"/>
  <c r="AZ488" i="17"/>
  <c r="BB488" i="17" s="1"/>
  <c r="AZ378" i="17"/>
  <c r="AX321" i="17"/>
  <c r="AX170" i="17"/>
  <c r="AX672" i="17"/>
  <c r="AZ336" i="17"/>
  <c r="AY286" i="17"/>
  <c r="BA286" i="17" s="1"/>
  <c r="AY272" i="17"/>
  <c r="AY92" i="17"/>
  <c r="BA92" i="17" s="1"/>
  <c r="AY503" i="17"/>
  <c r="AZ322" i="17"/>
  <c r="AZ354" i="17"/>
  <c r="AZ493" i="17"/>
  <c r="BB493" i="17" s="1"/>
  <c r="AZ161" i="17"/>
  <c r="AZ602" i="17"/>
  <c r="BB602" i="17" s="1"/>
  <c r="AZ633" i="17"/>
  <c r="AZ118" i="17"/>
  <c r="BB118" i="17" s="1"/>
  <c r="AZ508" i="17"/>
  <c r="AZ611" i="17"/>
  <c r="BB611" i="17" s="1"/>
  <c r="AZ580" i="17"/>
  <c r="AZ431" i="17"/>
  <c r="BB431" i="17" s="1"/>
  <c r="AZ156" i="17"/>
  <c r="BB156" i="17" s="1"/>
  <c r="AZ237" i="17"/>
  <c r="AZ546" i="17"/>
  <c r="AZ614" i="17"/>
  <c r="BB614" i="17" s="1"/>
  <c r="AX207" i="17"/>
  <c r="BA207" i="17" s="1"/>
  <c r="AX193" i="17"/>
  <c r="AX91" i="17"/>
  <c r="AX328" i="17"/>
  <c r="AY525" i="17"/>
  <c r="BA525" i="17" s="1"/>
  <c r="AZ235" i="17"/>
  <c r="AX201" i="17"/>
  <c r="AY212" i="17"/>
  <c r="AZ340" i="17"/>
  <c r="AZ286" i="17"/>
  <c r="BB286" i="17" s="1"/>
  <c r="AY538" i="17"/>
  <c r="BA538" i="17" s="1"/>
  <c r="AY357" i="17"/>
  <c r="AY535" i="17"/>
  <c r="BA535" i="17" s="1"/>
  <c r="AY201" i="17"/>
  <c r="AY466" i="17"/>
  <c r="BA466" i="17" s="1"/>
  <c r="AY543" i="17"/>
  <c r="BA543" i="17" s="1"/>
  <c r="AY227" i="17"/>
  <c r="BA227" i="17" s="1"/>
  <c r="AZ638" i="17"/>
  <c r="AX126" i="17"/>
  <c r="AZ593" i="17"/>
  <c r="BB593" i="17" s="1"/>
  <c r="AY121" i="17"/>
  <c r="BA121" i="17" s="1"/>
  <c r="AY208" i="17"/>
  <c r="BA208" i="17" s="1"/>
  <c r="AY465" i="17"/>
  <c r="BA465" i="17" s="1"/>
  <c r="AY150" i="17"/>
  <c r="BA150" i="17" s="1"/>
  <c r="AY532" i="17"/>
  <c r="BA532" i="17" s="1"/>
  <c r="AY404" i="17"/>
  <c r="AY356" i="17"/>
  <c r="BA356" i="17" s="1"/>
  <c r="AY453" i="17"/>
  <c r="AY126" i="17"/>
  <c r="BA126" i="17" s="1"/>
  <c r="AY341" i="17"/>
  <c r="BA341" i="17" s="1"/>
  <c r="AZ465" i="17"/>
  <c r="BB465" i="17" s="1"/>
  <c r="AY277" i="17"/>
  <c r="BA277" i="17" s="1"/>
  <c r="AY137" i="17"/>
  <c r="BA137" i="17" s="1"/>
  <c r="AY239" i="17"/>
  <c r="BA239" i="17" s="1"/>
  <c r="AY228" i="17"/>
  <c r="BA228" i="17" s="1"/>
  <c r="AZ147" i="17"/>
  <c r="BB147" i="17" s="1"/>
  <c r="AY633" i="17"/>
  <c r="AZ211" i="17"/>
  <c r="BB211" i="17" s="1"/>
  <c r="AY569" i="17"/>
  <c r="AZ498" i="17"/>
  <c r="BB498" i="17" s="1"/>
  <c r="AY660" i="17"/>
  <c r="AY118" i="17"/>
  <c r="BA118" i="17" s="1"/>
  <c r="AZ175" i="17"/>
  <c r="AY223" i="17"/>
  <c r="BA223" i="17" s="1"/>
  <c r="AZ111" i="17"/>
  <c r="AY583" i="17"/>
  <c r="BA583" i="17" s="1"/>
  <c r="AZ108" i="17"/>
  <c r="AZ630" i="17"/>
  <c r="AX544" i="17"/>
  <c r="BB544" i="17" s="1"/>
  <c r="AY634" i="17"/>
  <c r="BA634" i="17" s="1"/>
  <c r="AY592" i="17"/>
  <c r="AZ194" i="17"/>
  <c r="BB194" i="17" s="1"/>
  <c r="AX113" i="17"/>
  <c r="AY645" i="17"/>
  <c r="BA645" i="17" s="1"/>
  <c r="AY258" i="17"/>
  <c r="BA258" i="17" s="1"/>
  <c r="AZ174" i="17"/>
  <c r="BB174" i="17" s="1"/>
  <c r="AX346" i="17"/>
  <c r="AZ390" i="17"/>
  <c r="BB390" i="17" s="1"/>
  <c r="AX96" i="17"/>
  <c r="AZ121" i="17"/>
  <c r="BB121" i="17" s="1"/>
  <c r="AX314" i="17"/>
  <c r="AX292" i="17"/>
  <c r="AZ224" i="17"/>
  <c r="AZ434" i="17"/>
  <c r="BB434" i="17" s="1"/>
  <c r="AY559" i="17"/>
  <c r="BA559" i="17" s="1"/>
  <c r="AZ114" i="17"/>
  <c r="BB114" i="17" s="1"/>
  <c r="AY586" i="17"/>
  <c r="AZ353" i="17"/>
  <c r="BB353" i="17" s="1"/>
  <c r="AZ412" i="17"/>
  <c r="BB412" i="17" s="1"/>
  <c r="AZ109" i="17"/>
  <c r="AZ313" i="17"/>
  <c r="AX552" i="17"/>
  <c r="AZ318" i="17"/>
  <c r="AZ476" i="17"/>
  <c r="BB476" i="17" s="1"/>
  <c r="AZ215" i="17"/>
  <c r="AZ552" i="17"/>
  <c r="BB552" i="17" s="1"/>
  <c r="AX400" i="17"/>
  <c r="AZ348" i="17"/>
  <c r="BB348" i="17" s="1"/>
  <c r="AZ451" i="17"/>
  <c r="AX509" i="17"/>
  <c r="AZ604" i="17"/>
  <c r="AZ414" i="17"/>
  <c r="BB414" i="17" s="1"/>
  <c r="AY603" i="17"/>
  <c r="AX499" i="17"/>
  <c r="AY581" i="17"/>
  <c r="AX474" i="17"/>
  <c r="AZ240" i="17"/>
  <c r="BB240" i="17" s="1"/>
  <c r="AZ362" i="17"/>
  <c r="BB362" i="17" s="1"/>
  <c r="AZ162" i="17"/>
  <c r="AZ529" i="17"/>
  <c r="AZ643" i="17"/>
  <c r="AX278" i="17"/>
  <c r="AY670" i="17"/>
  <c r="BA670" i="17" s="1"/>
  <c r="AY470" i="17"/>
  <c r="AY674" i="17"/>
  <c r="BA674" i="17" s="1"/>
  <c r="AY542" i="17"/>
  <c r="BA542" i="17" s="1"/>
  <c r="AY580" i="17"/>
  <c r="AY152" i="17"/>
  <c r="BA152" i="17" s="1"/>
  <c r="AZ124" i="17"/>
  <c r="BB124" i="17" s="1"/>
  <c r="AZ166" i="17"/>
  <c r="AY197" i="17"/>
  <c r="AY507" i="17"/>
  <c r="AZ333" i="17"/>
  <c r="BB333" i="17" s="1"/>
  <c r="AY663" i="17"/>
  <c r="BA663" i="17" s="1"/>
  <c r="AY271" i="17"/>
  <c r="BA271" i="17" s="1"/>
  <c r="AZ567" i="17"/>
  <c r="BB567" i="17" s="1"/>
  <c r="AY372" i="17"/>
  <c r="BA372" i="17" s="1"/>
  <c r="AZ613" i="17"/>
  <c r="BB613" i="17" s="1"/>
  <c r="AZ533" i="17"/>
  <c r="AY233" i="17"/>
  <c r="AZ285" i="17"/>
  <c r="BB285" i="17" s="1"/>
  <c r="AY169" i="17"/>
  <c r="BA169" i="17" s="1"/>
  <c r="AZ468" i="17"/>
  <c r="AY419" i="17"/>
  <c r="AZ590" i="17"/>
  <c r="AY270" i="17"/>
  <c r="BA270" i="17" s="1"/>
  <c r="AZ290" i="17"/>
  <c r="BB290" i="17" s="1"/>
  <c r="AY132" i="17"/>
  <c r="BA132" i="17" s="1"/>
  <c r="AZ127" i="17"/>
  <c r="AY129" i="17"/>
  <c r="BA129" i="17" s="1"/>
  <c r="AZ76" i="17"/>
  <c r="BB76" i="17" s="1"/>
  <c r="AY115" i="17"/>
  <c r="AY314" i="17"/>
  <c r="BA314" i="17" s="1"/>
  <c r="AY241" i="17"/>
  <c r="BA241" i="17" s="1"/>
  <c r="AY306" i="17"/>
  <c r="BA306" i="17" s="1"/>
  <c r="AZ384" i="17"/>
  <c r="AX453" i="17"/>
  <c r="AZ586" i="17"/>
  <c r="BB586" i="17" s="1"/>
  <c r="AX158" i="17"/>
  <c r="AZ135" i="17"/>
  <c r="BB135" i="17" s="1"/>
  <c r="AX609" i="17"/>
  <c r="AZ80" i="17"/>
  <c r="BB80" i="17" s="1"/>
  <c r="AZ646" i="17"/>
  <c r="AZ423" i="17"/>
  <c r="BB423" i="17" s="1"/>
  <c r="AZ136" i="17"/>
  <c r="BB136" i="17" s="1"/>
  <c r="AZ299" i="17"/>
  <c r="BB299" i="17" s="1"/>
  <c r="AX202" i="17"/>
  <c r="AX166" i="17"/>
  <c r="AZ532" i="17"/>
  <c r="BB532" i="17" s="1"/>
  <c r="AX289" i="17"/>
  <c r="AZ492" i="17"/>
  <c r="BB492" i="17" s="1"/>
  <c r="AZ565" i="17"/>
  <c r="AZ257" i="17"/>
  <c r="AZ382" i="17"/>
  <c r="BB382" i="17" s="1"/>
  <c r="AY452" i="17"/>
  <c r="AY211" i="17"/>
  <c r="BA211" i="17" s="1"/>
  <c r="AX250" i="17"/>
  <c r="AZ115" i="17"/>
  <c r="BB115" i="17" s="1"/>
  <c r="AZ459" i="17"/>
  <c r="BB459" i="17" s="1"/>
  <c r="AZ365" i="17"/>
  <c r="AZ247" i="17"/>
  <c r="AZ670" i="17"/>
  <c r="BB670" i="17" s="1"/>
  <c r="AZ325" i="17"/>
  <c r="AZ388" i="17"/>
  <c r="BB388" i="17" s="1"/>
  <c r="AZ92" i="17"/>
  <c r="AZ486" i="17"/>
  <c r="BB486" i="17" s="1"/>
  <c r="AZ201" i="17"/>
  <c r="BB201" i="17" s="1"/>
  <c r="AZ383" i="17"/>
  <c r="BB383" i="17" s="1"/>
  <c r="AZ410" i="17"/>
  <c r="BB410" i="17" s="1"/>
  <c r="AZ422" i="17"/>
  <c r="BB422" i="17" s="1"/>
  <c r="AX340" i="17"/>
  <c r="AZ603" i="17"/>
  <c r="AX266" i="17"/>
  <c r="AY489" i="17"/>
  <c r="BA489" i="17" s="1"/>
  <c r="AX245" i="17"/>
  <c r="AY89" i="17"/>
  <c r="BA89" i="17" s="1"/>
  <c r="AX307" i="17"/>
  <c r="AY85" i="17"/>
  <c r="AZ99" i="17"/>
  <c r="BB99" i="17" s="1"/>
  <c r="AY158" i="17"/>
  <c r="BA158" i="17" s="1"/>
  <c r="AY540" i="17"/>
  <c r="AY367" i="17"/>
  <c r="AY202" i="17"/>
  <c r="BA202" i="17" s="1"/>
  <c r="AZ654" i="17"/>
  <c r="BB654" i="17" s="1"/>
  <c r="AZ555" i="17"/>
  <c r="AZ563" i="17"/>
  <c r="BB563" i="17" s="1"/>
  <c r="AY601" i="17"/>
  <c r="BA601" i="17" s="1"/>
  <c r="AZ275" i="17"/>
  <c r="BB275" i="17" s="1"/>
  <c r="AY650" i="17"/>
  <c r="AY263" i="17"/>
  <c r="BA263" i="17" s="1"/>
  <c r="AZ252" i="17"/>
  <c r="AY252" i="17"/>
  <c r="BA252" i="17" s="1"/>
  <c r="AZ663" i="17"/>
  <c r="AY342" i="17"/>
  <c r="BA342" i="17" s="1"/>
  <c r="AY319" i="17"/>
  <c r="BA319" i="17" s="1"/>
  <c r="AY397" i="17"/>
  <c r="BA397" i="17" s="1"/>
  <c r="AX139" i="17"/>
  <c r="AY237" i="17"/>
  <c r="BA237" i="17" s="1"/>
  <c r="AZ265" i="17"/>
  <c r="BB265" i="17" s="1"/>
  <c r="AY145" i="17"/>
  <c r="BA145" i="17" s="1"/>
  <c r="AZ143" i="17"/>
  <c r="AY606" i="17"/>
  <c r="BA606" i="17" s="1"/>
  <c r="AZ140" i="17"/>
  <c r="AY375" i="17"/>
  <c r="AY398" i="17"/>
  <c r="AY657" i="17"/>
  <c r="BA657" i="17" s="1"/>
  <c r="AY327" i="17"/>
  <c r="AY82" i="17"/>
  <c r="BA82" i="17" s="1"/>
  <c r="AY120" i="17"/>
  <c r="AY629" i="17"/>
  <c r="BA629" i="17" s="1"/>
  <c r="AY552" i="17"/>
  <c r="AY481" i="17"/>
  <c r="AY378" i="17"/>
  <c r="AY274" i="17"/>
  <c r="BA274" i="17" s="1"/>
  <c r="AY302" i="17"/>
  <c r="BA302" i="17" s="1"/>
  <c r="AY509" i="17"/>
  <c r="AZ245" i="17"/>
  <c r="BB245" i="17" s="1"/>
  <c r="AY572" i="17"/>
  <c r="BA572" i="17" s="1"/>
  <c r="AY338" i="17"/>
  <c r="BA338" i="17" s="1"/>
  <c r="AZ651" i="17"/>
  <c r="BB651" i="17" s="1"/>
  <c r="AZ239" i="17"/>
  <c r="AY654" i="17"/>
  <c r="BA654" i="17" s="1"/>
  <c r="AZ86" i="17"/>
  <c r="AY671" i="17"/>
  <c r="AY625" i="17"/>
  <c r="BA625" i="17" s="1"/>
  <c r="AY198" i="17"/>
  <c r="BA198" i="17" s="1"/>
  <c r="AY523" i="17"/>
  <c r="BA523" i="17" s="1"/>
  <c r="AY179" i="17"/>
  <c r="BA179" i="17" s="1"/>
  <c r="AY408" i="17"/>
  <c r="AY545" i="17"/>
  <c r="BA545" i="17" s="1"/>
  <c r="AY362" i="17"/>
  <c r="AY486" i="17"/>
  <c r="AY497" i="17"/>
  <c r="AY267" i="17"/>
  <c r="BA267" i="17" s="1"/>
  <c r="AY630" i="17"/>
  <c r="AY571" i="17"/>
  <c r="BA571" i="17" s="1"/>
  <c r="AZ105" i="17"/>
  <c r="AY106" i="17"/>
  <c r="BA106" i="17" s="1"/>
  <c r="AY443" i="17"/>
  <c r="BA443" i="17" s="1"/>
  <c r="AY114" i="17"/>
  <c r="BA114" i="17" s="1"/>
  <c r="AY392" i="17"/>
  <c r="BA392" i="17" s="1"/>
  <c r="AY431" i="17"/>
  <c r="BA431" i="17" s="1"/>
  <c r="AY292" i="17"/>
  <c r="AZ205" i="17"/>
  <c r="BB205" i="17" s="1"/>
  <c r="AY374" i="17"/>
  <c r="BA374" i="17" s="1"/>
  <c r="AY561" i="17"/>
  <c r="AY175" i="17"/>
  <c r="AY524" i="17"/>
  <c r="BA524" i="17" s="1"/>
  <c r="AZ530" i="17"/>
  <c r="AY512" i="17"/>
  <c r="BA512" i="17" s="1"/>
  <c r="AY402" i="17"/>
  <c r="AZ138" i="17"/>
  <c r="BB138" i="17" s="1"/>
  <c r="AY352" i="17"/>
  <c r="AY242" i="17"/>
  <c r="BA242" i="17" s="1"/>
  <c r="AZ271" i="17"/>
  <c r="BB271" i="17" s="1"/>
  <c r="AZ395" i="17"/>
  <c r="BB395" i="17" s="1"/>
  <c r="AY318" i="17"/>
  <c r="AY421" i="17"/>
  <c r="BA421" i="17" s="1"/>
  <c r="AY81" i="17"/>
  <c r="AY134" i="17"/>
  <c r="BA134" i="17" s="1"/>
  <c r="AY190" i="17"/>
  <c r="AY379" i="17"/>
  <c r="BA379" i="17" s="1"/>
  <c r="AY111" i="17"/>
  <c r="AY605" i="17"/>
  <c r="BA605" i="17" s="1"/>
  <c r="AY565" i="17"/>
  <c r="AY510" i="17"/>
  <c r="BA510" i="17" s="1"/>
  <c r="AZ332" i="17"/>
  <c r="AY665" i="17"/>
  <c r="BA665" i="17" s="1"/>
  <c r="AY407" i="17"/>
  <c r="BA407" i="17" s="1"/>
  <c r="AY655" i="17"/>
  <c r="BA655" i="17" s="1"/>
  <c r="AY188" i="17"/>
  <c r="AY599" i="17"/>
  <c r="BA599" i="17" s="1"/>
  <c r="AY325" i="17"/>
  <c r="AZ158" i="17"/>
  <c r="BB158" i="17" s="1"/>
  <c r="AY310" i="17"/>
  <c r="AY451" i="17"/>
  <c r="BA451" i="17" s="1"/>
  <c r="AY423" i="17"/>
  <c r="BA423" i="17" s="1"/>
  <c r="AY458" i="17"/>
  <c r="BA458" i="17" s="1"/>
  <c r="AY324" i="17"/>
  <c r="AY243" i="17"/>
  <c r="AY125" i="17"/>
  <c r="BA125" i="17" s="1"/>
  <c r="AY371" i="17"/>
  <c r="BA371" i="17" s="1"/>
  <c r="AY495" i="17"/>
  <c r="AZ466" i="17"/>
  <c r="BB466" i="17" s="1"/>
  <c r="AY484" i="17"/>
  <c r="AY234" i="17"/>
  <c r="AY390" i="17"/>
  <c r="BA390" i="17" s="1"/>
  <c r="AY339" i="17"/>
  <c r="BA339" i="17" s="1"/>
  <c r="AY143" i="17"/>
  <c r="AZ261" i="17"/>
  <c r="BB261" i="17" s="1"/>
  <c r="AZ195" i="17"/>
  <c r="AY602" i="17"/>
  <c r="BA602" i="17" s="1"/>
  <c r="AY96" i="17"/>
  <c r="BA96" i="17" s="1"/>
  <c r="AY86" i="17"/>
  <c r="BA86" i="17" s="1"/>
  <c r="AY326" i="17"/>
  <c r="BA326" i="17" s="1"/>
  <c r="AY178" i="17"/>
  <c r="BA178" i="17" s="1"/>
  <c r="AZ421" i="17"/>
  <c r="AY496" i="17"/>
  <c r="BA496" i="17" s="1"/>
  <c r="AZ500" i="17"/>
  <c r="BB500" i="17" s="1"/>
  <c r="AY455" i="17"/>
  <c r="AY622" i="17"/>
  <c r="AZ647" i="17"/>
  <c r="BB647" i="17" s="1"/>
  <c r="AY240" i="17"/>
  <c r="BA240" i="17" s="1"/>
  <c r="AY383" i="17"/>
  <c r="BA383" i="17" s="1"/>
  <c r="AY311" i="17"/>
  <c r="BA311" i="17" s="1"/>
  <c r="AY474" i="17"/>
  <c r="AY420" i="17"/>
  <c r="AY530" i="17"/>
  <c r="AY380" i="17"/>
  <c r="AY584" i="17"/>
  <c r="BA584" i="17" s="1"/>
  <c r="AZ302" i="17"/>
  <c r="BB302" i="17" s="1"/>
  <c r="AY278" i="17"/>
  <c r="AY216" i="17"/>
  <c r="BA216" i="17" s="1"/>
  <c r="AY287" i="17"/>
  <c r="BA287" i="17" s="1"/>
  <c r="AY88" i="17"/>
  <c r="AZ131" i="17"/>
  <c r="BB131" i="17" s="1"/>
  <c r="AY187" i="17"/>
  <c r="BA187" i="17" s="1"/>
  <c r="AZ246" i="17"/>
  <c r="BB246" i="17" s="1"/>
  <c r="AZ575" i="17"/>
  <c r="AY337" i="17"/>
  <c r="BA337" i="17" s="1"/>
  <c r="AY113" i="17"/>
  <c r="BA113" i="17" s="1"/>
  <c r="AY513" i="17"/>
  <c r="BA513" i="17" s="1"/>
  <c r="AY291" i="17"/>
  <c r="AY526" i="17"/>
  <c r="AZ266" i="17"/>
  <c r="BB266" i="17" s="1"/>
  <c r="AY142" i="17"/>
  <c r="AY619" i="17"/>
  <c r="BA619" i="17" s="1"/>
  <c r="AY544" i="17"/>
  <c r="BA544" i="17" s="1"/>
  <c r="AZ574" i="17"/>
  <c r="BB574" i="17" s="1"/>
  <c r="AY607" i="17"/>
  <c r="BA607" i="17" s="1"/>
  <c r="AY100" i="17"/>
  <c r="BA100" i="17" s="1"/>
  <c r="AY646" i="17"/>
  <c r="BA646" i="17" s="1"/>
  <c r="AY305" i="17"/>
  <c r="AY590" i="17"/>
  <c r="BA590" i="17" s="1"/>
  <c r="AY422" i="17"/>
  <c r="AY579" i="17"/>
  <c r="AY444" i="17"/>
  <c r="AY438" i="17"/>
  <c r="BA438" i="17" s="1"/>
  <c r="AZ658" i="17"/>
  <c r="BB658" i="17" s="1"/>
  <c r="AY418" i="17"/>
  <c r="AY299" i="17"/>
  <c r="BA299" i="17" s="1"/>
  <c r="AY235" i="17"/>
  <c r="BA235" i="17" s="1"/>
  <c r="AY107" i="17"/>
  <c r="BA107" i="17" s="1"/>
  <c r="AY101" i="17"/>
  <c r="AY641" i="17"/>
  <c r="AY329" i="17"/>
  <c r="AY344" i="17"/>
  <c r="BA344" i="17" s="1"/>
  <c r="AZ98" i="17"/>
  <c r="BB98" i="17" s="1"/>
  <c r="AY343" i="17"/>
  <c r="BA343" i="17" s="1"/>
  <c r="AY415" i="17"/>
  <c r="BA415" i="17" s="1"/>
  <c r="AY587" i="17"/>
  <c r="AY457" i="17"/>
  <c r="BA457" i="17" s="1"/>
  <c r="AY631" i="17"/>
  <c r="BA631" i="17" s="1"/>
  <c r="AY536" i="17"/>
  <c r="BA536" i="17" s="1"/>
  <c r="AY669" i="17"/>
  <c r="BA669" i="17" s="1"/>
  <c r="AY167" i="17"/>
  <c r="AY307" i="17"/>
  <c r="BA307" i="17" s="1"/>
  <c r="AY566" i="17"/>
  <c r="BA566" i="17" s="1"/>
  <c r="AY254" i="17"/>
  <c r="BA254" i="17" s="1"/>
  <c r="AY244" i="17"/>
  <c r="BA244" i="17" s="1"/>
  <c r="AY403" i="17"/>
  <c r="AY177" i="17"/>
  <c r="BA177" i="17" s="1"/>
  <c r="AY162" i="17"/>
  <c r="AY471" i="17"/>
  <c r="BA471" i="17" s="1"/>
  <c r="AY576" i="17"/>
  <c r="BA576" i="17" s="1"/>
  <c r="AZ485" i="17"/>
  <c r="AY406" i="17"/>
  <c r="AY400" i="17"/>
  <c r="BA400" i="17" s="1"/>
  <c r="AY520" i="17"/>
  <c r="BA520" i="17" s="1"/>
  <c r="AZ258" i="17"/>
  <c r="BB258" i="17" s="1"/>
  <c r="AY498" i="17"/>
  <c r="AY154" i="17"/>
  <c r="BA154" i="17" s="1"/>
  <c r="AY250" i="17"/>
  <c r="BA250" i="17" s="1"/>
  <c r="AY430" i="17"/>
  <c r="BA430" i="17" s="1"/>
  <c r="AY589" i="17"/>
  <c r="BA589" i="17" s="1"/>
  <c r="AY275" i="17"/>
  <c r="BA275" i="17" s="1"/>
  <c r="AY522" i="17"/>
  <c r="BA522" i="17" s="1"/>
  <c r="AY588" i="17"/>
  <c r="BA588" i="17" s="1"/>
  <c r="AY159" i="17"/>
  <c r="BA159" i="17" s="1"/>
  <c r="AY294" i="17"/>
  <c r="AY627" i="17"/>
  <c r="AY439" i="17"/>
  <c r="BA439" i="17" s="1"/>
  <c r="AY541" i="17"/>
  <c r="BA541" i="17" s="1"/>
  <c r="AY626" i="17"/>
  <c r="AY102" i="17"/>
  <c r="AY620" i="17"/>
  <c r="BA620" i="17" s="1"/>
  <c r="AY598" i="17"/>
  <c r="AY473" i="17"/>
  <c r="BA473" i="17" s="1"/>
  <c r="AZ204" i="17"/>
  <c r="AY432" i="17"/>
  <c r="BA432" i="17" s="1"/>
  <c r="AY575" i="17"/>
  <c r="AY501" i="17"/>
  <c r="AY293" i="17"/>
  <c r="AY614" i="17"/>
  <c r="BA614" i="17" s="1"/>
  <c r="AY381" i="17"/>
  <c r="AY548" i="17"/>
  <c r="BA548" i="17" s="1"/>
  <c r="AY652" i="17"/>
  <c r="BA652" i="17" s="1"/>
  <c r="AY79" i="17"/>
  <c r="BA79" i="17" s="1"/>
  <c r="AY534" i="17"/>
  <c r="BA534" i="17" s="1"/>
  <c r="AZ436" i="17"/>
  <c r="BB436" i="17" s="1"/>
  <c r="AY651" i="17"/>
  <c r="BA651" i="17" s="1"/>
  <c r="AY182" i="17"/>
  <c r="BA182" i="17" s="1"/>
  <c r="AY123" i="17"/>
  <c r="BA123" i="17" s="1"/>
  <c r="AZ435" i="17"/>
  <c r="AZ402" i="17"/>
  <c r="AY483" i="17"/>
  <c r="BA483" i="17" s="1"/>
  <c r="AY434" i="17"/>
  <c r="BA434" i="17" s="1"/>
  <c r="AZ526" i="17"/>
  <c r="AY395" i="17"/>
  <c r="BA395" i="17" s="1"/>
  <c r="AY446" i="17"/>
  <c r="AY527" i="17"/>
  <c r="AY368" i="17"/>
  <c r="BA368" i="17" s="1"/>
  <c r="AY304" i="17"/>
  <c r="AZ193" i="17"/>
  <c r="AY163" i="17"/>
  <c r="BA163" i="17" s="1"/>
  <c r="AY231" i="17"/>
  <c r="BA231" i="17" s="1"/>
  <c r="AY488" i="17"/>
  <c r="BA488" i="17" s="1"/>
  <c r="AZ357" i="17"/>
  <c r="AY433" i="17"/>
  <c r="AY138" i="17"/>
  <c r="BA138" i="17" s="1"/>
  <c r="AY266" i="17"/>
  <c r="BA266" i="17" s="1"/>
  <c r="AY148" i="17"/>
  <c r="BA148" i="17" s="1"/>
  <c r="AY673" i="17"/>
  <c r="BA673" i="17" s="1"/>
  <c r="AY417" i="17"/>
  <c r="BA417" i="17" s="1"/>
  <c r="AY442" i="17"/>
  <c r="AY577" i="17"/>
  <c r="BA577" i="17" s="1"/>
  <c r="AZ202" i="17"/>
  <c r="BB202" i="17" s="1"/>
  <c r="AZ323" i="17"/>
  <c r="BB323" i="17" s="1"/>
  <c r="AY499" i="17"/>
  <c r="AZ407" i="17"/>
  <c r="BB407" i="17" s="1"/>
  <c r="AY616" i="17"/>
  <c r="BA616" i="17" s="1"/>
  <c r="AY537" i="17"/>
  <c r="AY492" i="17"/>
  <c r="BA492" i="17" s="1"/>
  <c r="AY414" i="17"/>
  <c r="BA414" i="17" s="1"/>
  <c r="AZ321" i="17"/>
  <c r="AY251" i="17"/>
  <c r="BA251" i="17" s="1"/>
  <c r="AY546" i="17"/>
  <c r="AY462" i="17"/>
  <c r="BA462" i="17" s="1"/>
  <c r="AY394" i="17"/>
  <c r="BA394" i="17" s="1"/>
  <c r="AY112" i="17"/>
  <c r="AZ338" i="17"/>
  <c r="BB338" i="17" s="1"/>
  <c r="AY257" i="17"/>
  <c r="BA257" i="17" s="1"/>
  <c r="AY574" i="17"/>
  <c r="BA574" i="17" s="1"/>
  <c r="AY346" i="17"/>
  <c r="BA346" i="17" s="1"/>
  <c r="AZ326" i="17"/>
  <c r="BB326" i="17" s="1"/>
  <c r="AY393" i="17"/>
  <c r="BA393" i="17" s="1"/>
  <c r="AY363" i="17"/>
  <c r="BA363" i="17" s="1"/>
  <c r="AD674" i="17"/>
  <c r="AF674" i="17" s="1"/>
  <c r="AG674" i="17" s="1"/>
  <c r="F14" i="17"/>
  <c r="P14" i="13" s="1"/>
  <c r="F5" i="17"/>
  <c r="F6" i="17"/>
  <c r="F7" i="17"/>
  <c r="F8" i="17"/>
  <c r="F13" i="17"/>
  <c r="P13" i="13" s="1"/>
  <c r="F11" i="17"/>
  <c r="F10" i="17"/>
  <c r="F16" i="17"/>
  <c r="P16" i="13" s="1"/>
  <c r="F9" i="17"/>
  <c r="F15" i="17"/>
  <c r="P15" i="13" s="1"/>
  <c r="F12" i="17"/>
  <c r="AT674" i="17"/>
  <c r="BA442" i="17" l="1"/>
  <c r="BA627" i="17"/>
  <c r="BA403" i="17"/>
  <c r="BB421" i="17"/>
  <c r="BA143" i="17"/>
  <c r="BA408" i="17"/>
  <c r="BB239" i="17"/>
  <c r="BA398" i="17"/>
  <c r="BB143" i="17"/>
  <c r="BB663" i="17"/>
  <c r="BA650" i="17"/>
  <c r="BB555" i="17"/>
  <c r="BB257" i="17"/>
  <c r="BB127" i="17"/>
  <c r="BB451" i="17"/>
  <c r="BB224" i="17"/>
  <c r="BA569" i="17"/>
  <c r="BB568" i="17"/>
  <c r="BA146" i="17"/>
  <c r="BB645" i="17"/>
  <c r="BA295" i="17"/>
  <c r="BB454" i="17"/>
  <c r="BB308" i="17"/>
  <c r="BA84" i="17"/>
  <c r="BB430" i="17"/>
  <c r="BB398" i="17"/>
  <c r="BB255" i="17"/>
  <c r="BA493" i="17"/>
  <c r="BA508" i="17"/>
  <c r="BB503" i="17"/>
  <c r="BA482" i="17"/>
  <c r="BB420" i="17"/>
  <c r="BA308" i="17"/>
  <c r="BB345" i="17"/>
  <c r="BA78" i="17"/>
  <c r="BB612" i="17"/>
  <c r="BB623" i="17"/>
  <c r="BA224" i="17"/>
  <c r="BA203" i="17"/>
  <c r="BB551" i="17"/>
  <c r="BA555" i="17"/>
  <c r="BB222" i="17"/>
  <c r="BA612" i="17"/>
  <c r="BA567" i="17"/>
  <c r="BA358" i="17"/>
  <c r="BA550" i="17"/>
  <c r="BA551" i="17"/>
  <c r="BA406" i="17"/>
  <c r="BA162" i="17"/>
  <c r="BA587" i="17"/>
  <c r="BA420" i="17"/>
  <c r="BA324" i="17"/>
  <c r="BA188" i="17"/>
  <c r="BB332" i="17"/>
  <c r="BA362" i="17"/>
  <c r="BB252" i="17"/>
  <c r="BA452" i="17"/>
  <c r="BB646" i="17"/>
  <c r="BB468" i="17"/>
  <c r="BB533" i="17"/>
  <c r="BB162" i="17"/>
  <c r="BB508" i="17"/>
  <c r="BA503" i="17"/>
  <c r="BB642" i="17"/>
  <c r="BB320" i="17"/>
  <c r="BB635" i="17"/>
  <c r="BB606" i="17"/>
  <c r="BA209" i="17"/>
  <c r="BB569" i="17"/>
  <c r="BB597" i="17"/>
  <c r="BA222" i="17"/>
  <c r="BA345" i="17"/>
  <c r="BA364" i="17"/>
  <c r="BA468" i="17"/>
  <c r="BB316" i="17"/>
  <c r="BA460" i="17"/>
  <c r="BB146" i="17"/>
  <c r="BB150" i="17"/>
  <c r="BA104" i="17"/>
  <c r="BB452" i="17"/>
  <c r="BB403" i="17"/>
  <c r="BA573" i="17"/>
  <c r="BA385" i="17"/>
  <c r="BA635" i="17"/>
  <c r="BA516" i="17"/>
  <c r="BA491" i="17"/>
  <c r="BA597" i="17"/>
  <c r="BA316" i="17"/>
  <c r="BB440" i="17"/>
  <c r="BA623" i="17"/>
  <c r="BB160" i="17"/>
  <c r="BA201" i="17"/>
  <c r="BA546" i="17"/>
  <c r="BA499" i="17"/>
  <c r="BA304" i="17"/>
  <c r="BB402" i="17"/>
  <c r="BA293" i="17"/>
  <c r="BB204" i="17"/>
  <c r="BA444" i="17"/>
  <c r="BA305" i="17"/>
  <c r="BA380" i="17"/>
  <c r="BA622" i="17"/>
  <c r="BA484" i="17"/>
  <c r="BA325" i="17"/>
  <c r="BA565" i="17"/>
  <c r="BA190" i="17"/>
  <c r="BA318" i="17"/>
  <c r="BA352" i="17"/>
  <c r="BB530" i="17"/>
  <c r="BB105" i="17"/>
  <c r="BA120" i="17"/>
  <c r="BB139" i="17"/>
  <c r="BB92" i="17"/>
  <c r="BB247" i="17"/>
  <c r="BB590" i="17"/>
  <c r="BB643" i="17"/>
  <c r="BA586" i="17"/>
  <c r="BB108" i="17"/>
  <c r="BB126" i="17"/>
  <c r="BB546" i="17"/>
  <c r="BB580" i="17"/>
  <c r="BB633" i="17"/>
  <c r="BB354" i="17"/>
  <c r="BA272" i="17"/>
  <c r="BA456" i="17"/>
  <c r="BA643" i="17"/>
  <c r="BA173" i="17"/>
  <c r="BB297" i="17"/>
  <c r="BB409" i="17"/>
  <c r="BB610" i="17"/>
  <c r="BB404" i="17"/>
  <c r="BB517" i="17"/>
  <c r="BA105" i="17"/>
  <c r="BA297" i="17"/>
  <c r="BB303" i="17"/>
  <c r="BA396" i="17"/>
  <c r="BB155" i="17"/>
  <c r="BA303" i="17"/>
  <c r="BA335" i="17"/>
  <c r="BA185" i="17"/>
  <c r="BB229" i="17"/>
  <c r="BB233" i="17"/>
  <c r="BA301" i="17"/>
  <c r="BB112" i="17"/>
  <c r="BB621" i="17"/>
  <c r="BA112" i="17"/>
  <c r="BA537" i="17"/>
  <c r="BB526" i="17"/>
  <c r="BB435" i="17"/>
  <c r="BA501" i="17"/>
  <c r="BA294" i="17"/>
  <c r="BA167" i="17"/>
  <c r="BA526" i="17"/>
  <c r="BA278" i="17"/>
  <c r="BA530" i="17"/>
  <c r="BA455" i="17"/>
  <c r="BA486" i="17"/>
  <c r="BA671" i="17"/>
  <c r="BA509" i="17"/>
  <c r="BA481" i="17"/>
  <c r="BB565" i="17"/>
  <c r="BB384" i="17"/>
  <c r="BA115" i="17"/>
  <c r="BA419" i="17"/>
  <c r="BA233" i="17"/>
  <c r="BB529" i="17"/>
  <c r="BA404" i="17"/>
  <c r="BB235" i="17"/>
  <c r="BB237" i="17"/>
  <c r="BB322" i="17"/>
  <c r="BB504" i="17"/>
  <c r="BB484" i="17"/>
  <c r="BA322" i="17"/>
  <c r="BB596" i="17"/>
  <c r="BA564" i="17"/>
  <c r="BB259" i="17"/>
  <c r="BA518" i="17"/>
  <c r="BA557" i="17"/>
  <c r="BA608" i="17"/>
  <c r="BA83" i="17"/>
  <c r="BB327" i="17"/>
  <c r="BB360" i="17"/>
  <c r="BA226" i="17"/>
  <c r="BB294" i="17"/>
  <c r="BB537" i="17"/>
  <c r="BB190" i="17"/>
  <c r="BB376" i="17"/>
  <c r="BA108" i="17"/>
  <c r="BA361" i="17"/>
  <c r="BB214" i="17"/>
  <c r="BB277" i="17"/>
  <c r="BA149" i="17"/>
  <c r="BA133" i="17"/>
  <c r="BA377" i="17"/>
  <c r="BA549" i="17"/>
  <c r="BB600" i="17"/>
  <c r="BA161" i="17"/>
  <c r="BB458" i="17"/>
  <c r="BB197" i="17"/>
  <c r="BB560" i="17"/>
  <c r="BA381" i="17"/>
  <c r="BA575" i="17"/>
  <c r="BA598" i="17"/>
  <c r="BA498" i="17"/>
  <c r="BA422" i="17"/>
  <c r="BA291" i="17"/>
  <c r="BB575" i="17"/>
  <c r="BA88" i="17"/>
  <c r="BB195" i="17"/>
  <c r="BA81" i="17"/>
  <c r="BA402" i="17"/>
  <c r="BB86" i="17"/>
  <c r="BA552" i="17"/>
  <c r="BA327" i="17"/>
  <c r="BB140" i="17"/>
  <c r="BB325" i="17"/>
  <c r="BA197" i="17"/>
  <c r="BA580" i="17"/>
  <c r="BA581" i="17"/>
  <c r="BB318" i="17"/>
  <c r="BA660" i="17"/>
  <c r="BA633" i="17"/>
  <c r="BB161" i="17"/>
  <c r="BA236" i="17"/>
  <c r="BA229" i="17"/>
  <c r="BB481" i="17"/>
  <c r="BA217" i="17"/>
  <c r="BB496" i="17"/>
  <c r="BB168" i="17"/>
  <c r="BA353" i="17"/>
  <c r="BA80" i="17"/>
  <c r="BA214" i="17"/>
  <c r="BB300" i="17"/>
  <c r="BB79" i="17"/>
  <c r="BB169" i="17"/>
  <c r="BB660" i="17"/>
  <c r="BA354" i="17"/>
  <c r="BB83" i="17"/>
  <c r="BA668" i="17"/>
  <c r="BB317" i="17"/>
  <c r="BA300" i="17"/>
  <c r="BA204" i="17"/>
  <c r="BA349" i="17"/>
  <c r="BB510" i="17"/>
  <c r="BB335" i="17"/>
  <c r="BA610" i="17"/>
  <c r="BA632" i="17"/>
  <c r="BB564" i="17"/>
  <c r="BA247" i="17"/>
  <c r="BA382" i="17"/>
  <c r="BB444" i="17"/>
  <c r="BB167" i="17"/>
  <c r="BA504" i="17"/>
  <c r="AZ85" i="17"/>
  <c r="AY109" i="17"/>
  <c r="AZ262" i="17"/>
  <c r="BB262" i="17" s="1"/>
  <c r="AX433" i="17"/>
  <c r="BA433" i="17" s="1"/>
  <c r="AX418" i="17"/>
  <c r="BA418" i="17" s="1"/>
  <c r="AY384" i="17"/>
  <c r="AZ542" i="17"/>
  <c r="BB542" i="17" s="1"/>
  <c r="AZ582" i="17"/>
  <c r="BB472" i="17"/>
  <c r="BA317" i="17"/>
  <c r="BB620" i="17"/>
  <c r="AZ627" i="17"/>
  <c r="AZ363" i="17"/>
  <c r="BB363" i="17" s="1"/>
  <c r="AX428" i="17"/>
  <c r="BA428" i="17" s="1"/>
  <c r="AY529" i="17"/>
  <c r="BA529" i="17" s="1"/>
  <c r="AX110" i="17"/>
  <c r="BA110" i="17" s="1"/>
  <c r="AZ667" i="17"/>
  <c r="BB667" i="17" s="1"/>
  <c r="AZ478" i="17"/>
  <c r="AZ361" i="17"/>
  <c r="BB361" i="17" s="1"/>
  <c r="AX329" i="17"/>
  <c r="BA329" i="17" s="1"/>
  <c r="AX497" i="17"/>
  <c r="BB497" i="17" s="1"/>
  <c r="AY469" i="17"/>
  <c r="AX579" i="17"/>
  <c r="BA579" i="17" s="1"/>
  <c r="AZ415" i="17"/>
  <c r="AZ445" i="17"/>
  <c r="AZ559" i="17"/>
  <c r="BB321" i="17"/>
  <c r="BA292" i="17"/>
  <c r="BB340" i="17"/>
  <c r="BB336" i="17"/>
  <c r="BA609" i="17"/>
  <c r="BB178" i="17"/>
  <c r="BA309" i="17"/>
  <c r="BA476" i="17"/>
  <c r="BA155" i="17"/>
  <c r="BB473" i="17"/>
  <c r="BB170" i="17"/>
  <c r="BA91" i="17"/>
  <c r="BB479" i="17"/>
  <c r="BA139" i="17"/>
  <c r="BB122" i="17"/>
  <c r="BB293" i="17"/>
  <c r="BA330" i="17"/>
  <c r="BB417" i="17"/>
  <c r="BB232" i="17"/>
  <c r="BB588" i="17"/>
  <c r="BB173" i="17"/>
  <c r="BB315" i="17"/>
  <c r="BB177" i="17"/>
  <c r="BA370" i="17"/>
  <c r="BB583" i="17"/>
  <c r="BA140" i="17"/>
  <c r="BB82" i="17"/>
  <c r="BB280" i="17"/>
  <c r="BB342" i="17"/>
  <c r="BB314" i="17"/>
  <c r="BB339" i="17"/>
  <c r="BB644" i="17"/>
  <c r="BB94" i="17"/>
  <c r="BB220" i="17"/>
  <c r="BB394" i="17"/>
  <c r="BB513" i="17"/>
  <c r="BB331" i="17"/>
  <c r="BB671" i="17"/>
  <c r="BB557" i="17"/>
  <c r="BB249" i="17"/>
  <c r="BB429" i="17"/>
  <c r="BB528" i="17"/>
  <c r="BB228" i="17"/>
  <c r="BA568" i="17"/>
  <c r="BA262" i="17"/>
  <c r="BB573" i="17"/>
  <c r="BA127" i="17"/>
  <c r="BB223" i="17"/>
  <c r="BB650" i="17"/>
  <c r="BB464" i="17"/>
  <c r="BB627" i="17"/>
  <c r="BB408" i="17"/>
  <c r="BA384" i="17"/>
  <c r="BB415" i="17"/>
  <c r="BB445" i="17"/>
  <c r="BB582" i="17"/>
  <c r="BB559" i="17"/>
  <c r="AZ662" i="17"/>
  <c r="BB662" i="17" s="1"/>
  <c r="AZ399" i="17"/>
  <c r="BB399" i="17" s="1"/>
  <c r="AX97" i="17"/>
  <c r="BB97" i="17" s="1"/>
  <c r="AX630" i="17"/>
  <c r="BA630" i="17" s="1"/>
  <c r="AZ203" i="17"/>
  <c r="BB203" i="17" s="1"/>
  <c r="AX470" i="17"/>
  <c r="AZ556" i="17"/>
  <c r="BB556" i="17" s="1"/>
  <c r="AX85" i="17"/>
  <c r="BA85" i="17" s="1"/>
  <c r="AX334" i="17"/>
  <c r="BB334" i="17" s="1"/>
  <c r="AX391" i="17"/>
  <c r="AZ520" i="17"/>
  <c r="BB520" i="17" s="1"/>
  <c r="AX413" i="17"/>
  <c r="AY269" i="17"/>
  <c r="BA269" i="17" s="1"/>
  <c r="AZ227" i="17"/>
  <c r="BB227" i="17" s="1"/>
  <c r="AY437" i="17"/>
  <c r="BA437" i="17" s="1"/>
  <c r="AZ501" i="17"/>
  <c r="BB501" i="17" s="1"/>
  <c r="AY281" i="17"/>
  <c r="BA281" i="17" s="1"/>
  <c r="AY340" i="17"/>
  <c r="BA340" i="17" s="1"/>
  <c r="AY268" i="17"/>
  <c r="BA268" i="17" s="1"/>
  <c r="AX485" i="17"/>
  <c r="BB485" i="17" s="1"/>
  <c r="AZ397" i="17"/>
  <c r="BB397" i="17" s="1"/>
  <c r="AZ424" i="17"/>
  <c r="BB424" i="17" s="1"/>
  <c r="AX102" i="17"/>
  <c r="AZ251" i="17"/>
  <c r="BB251" i="17" s="1"/>
  <c r="AY639" i="17"/>
  <c r="BA639" i="17" s="1"/>
  <c r="AX288" i="17"/>
  <c r="AZ381" i="17"/>
  <c r="BB381" i="17" s="1"/>
  <c r="AY578" i="17"/>
  <c r="BA578" i="17" s="1"/>
  <c r="AY617" i="17"/>
  <c r="BA617" i="17" s="1"/>
  <c r="AX101" i="17"/>
  <c r="BB101" i="17" s="1"/>
  <c r="AY472" i="17"/>
  <c r="BA472" i="17" s="1"/>
  <c r="AX313" i="17"/>
  <c r="BA313" i="17" s="1"/>
  <c r="AZ301" i="17"/>
  <c r="BB301" i="17" s="1"/>
  <c r="AZ278" i="17"/>
  <c r="BB278" i="17" s="1"/>
  <c r="AY259" i="17"/>
  <c r="BA259" i="17" s="1"/>
  <c r="BB357" i="17"/>
  <c r="BB193" i="17"/>
  <c r="BA474" i="17"/>
  <c r="BA367" i="17"/>
  <c r="BB166" i="17"/>
  <c r="BA453" i="17"/>
  <c r="BA357" i="17"/>
  <c r="BB113" i="17"/>
  <c r="BA391" i="17"/>
  <c r="BB499" i="17"/>
  <c r="BA479" i="17"/>
  <c r="BB207" i="17"/>
  <c r="BA166" i="17"/>
  <c r="BB328" i="17"/>
  <c r="BA288" i="17"/>
  <c r="BA99" i="17"/>
  <c r="BB241" i="17"/>
  <c r="BA582" i="17"/>
  <c r="BB480" i="17"/>
  <c r="BB502" i="17"/>
  <c r="BB256" i="17"/>
  <c r="BB470" i="17"/>
  <c r="BB217" i="17"/>
  <c r="BA103" i="17"/>
  <c r="BB666" i="17"/>
  <c r="BB267" i="17"/>
  <c r="BB296" i="17"/>
  <c r="BB608" i="17"/>
  <c r="BB453" i="17"/>
  <c r="BB250" i="17"/>
  <c r="BB577" i="17"/>
  <c r="BB619" i="17"/>
  <c r="BA531" i="17"/>
  <c r="BA260" i="17"/>
  <c r="BA475" i="17"/>
  <c r="BB595" i="17"/>
  <c r="BB558" i="17"/>
  <c r="BB584" i="17"/>
  <c r="BB149" i="17"/>
  <c r="BB153" i="17"/>
  <c r="BB640" i="17"/>
  <c r="BB617" i="17"/>
  <c r="BB607" i="17"/>
  <c r="BB248" i="17"/>
  <c r="BB639" i="17"/>
  <c r="BB416" i="17"/>
  <c r="BB374" i="17"/>
  <c r="BA94" i="17"/>
  <c r="BB649" i="17"/>
  <c r="BB460" i="17"/>
  <c r="BA454" i="17"/>
  <c r="BA141" i="17"/>
  <c r="BA256" i="17"/>
  <c r="BB272" i="17"/>
  <c r="BB478" i="17"/>
  <c r="BB576" i="17"/>
  <c r="BB578" i="17"/>
  <c r="AX604" i="17"/>
  <c r="BA604" i="17" s="1"/>
  <c r="AZ413" i="17"/>
  <c r="AX375" i="17"/>
  <c r="BA375" i="17" s="1"/>
  <c r="AZ512" i="17"/>
  <c r="BB512" i="17" s="1"/>
  <c r="AX93" i="17"/>
  <c r="BB93" i="17" s="1"/>
  <c r="AY320" i="17"/>
  <c r="BA320" i="17" s="1"/>
  <c r="AZ289" i="17"/>
  <c r="BB289" i="17" s="1"/>
  <c r="AZ572" i="17"/>
  <c r="BB572" i="17" s="1"/>
  <c r="AZ534" i="17"/>
  <c r="BB534" i="17" s="1"/>
  <c r="AZ324" i="17"/>
  <c r="BB324" i="17" s="1"/>
  <c r="AZ545" i="17"/>
  <c r="BB545" i="17" s="1"/>
  <c r="AZ474" i="17"/>
  <c r="BB474" i="17" s="1"/>
  <c r="AZ624" i="17"/>
  <c r="BB624" i="17" s="1"/>
  <c r="AZ311" i="17"/>
  <c r="BB311" i="17" s="1"/>
  <c r="AZ288" i="17"/>
  <c r="BB288" i="17" s="1"/>
  <c r="AX175" i="17"/>
  <c r="BA175" i="17" s="1"/>
  <c r="AZ541" i="17"/>
  <c r="BB541" i="17" s="1"/>
  <c r="AZ439" i="17"/>
  <c r="BB439" i="17" s="1"/>
  <c r="AX243" i="17"/>
  <c r="BA243" i="17" s="1"/>
  <c r="AZ305" i="17"/>
  <c r="BB305" i="17" s="1"/>
  <c r="AY514" i="17"/>
  <c r="BA514" i="17" s="1"/>
  <c r="AX77" i="17"/>
  <c r="AZ525" i="17"/>
  <c r="BB525" i="17" s="1"/>
  <c r="AX561" i="17"/>
  <c r="BA561" i="17" s="1"/>
  <c r="AZ605" i="17"/>
  <c r="BB605" i="17" s="1"/>
  <c r="AZ632" i="17"/>
  <c r="BB632" i="17" s="1"/>
  <c r="AZ106" i="17"/>
  <c r="BB106" i="17" s="1"/>
  <c r="AZ276" i="17"/>
  <c r="BB276" i="17" s="1"/>
  <c r="AX171" i="17"/>
  <c r="AZ396" i="17"/>
  <c r="BB396" i="17" s="1"/>
  <c r="AY413" i="17"/>
  <c r="AX273" i="17"/>
  <c r="BB273" i="17" s="1"/>
  <c r="AZ447" i="17"/>
  <c r="BB447" i="17" s="1"/>
  <c r="AY333" i="17"/>
  <c r="BA333" i="17" s="1"/>
  <c r="AZ375" i="17"/>
  <c r="BB375" i="17" s="1"/>
  <c r="AX234" i="17"/>
  <c r="BA234" i="17" s="1"/>
  <c r="AY500" i="17"/>
  <c r="BA500" i="17" s="1"/>
  <c r="AY77" i="17"/>
  <c r="BA77" i="17" s="1"/>
  <c r="AZ652" i="17"/>
  <c r="BB652" i="17" s="1"/>
  <c r="AX142" i="17"/>
  <c r="BA142" i="17" s="1"/>
  <c r="AZ653" i="17"/>
  <c r="BB653" i="17" s="1"/>
  <c r="AY649" i="17"/>
  <c r="BA649" i="17" s="1"/>
  <c r="BA102" i="17"/>
  <c r="BB313" i="17"/>
  <c r="BB391" i="17"/>
  <c r="BB448" i="17"/>
  <c r="BB346" i="17"/>
  <c r="BA245" i="17"/>
  <c r="BA672" i="17"/>
  <c r="BA315" i="17"/>
  <c r="BA502" i="17"/>
  <c r="BA122" i="17"/>
  <c r="BB309" i="17"/>
  <c r="BB307" i="17"/>
  <c r="BB659" i="17"/>
  <c r="BB538" i="17"/>
  <c r="BB306" i="17"/>
  <c r="BB304" i="17"/>
  <c r="BB123" i="17"/>
  <c r="BB522" i="17"/>
  <c r="BB151" i="17"/>
  <c r="BB196" i="17"/>
  <c r="BB669" i="17"/>
  <c r="BB656" i="17"/>
  <c r="BB377" i="17"/>
  <c r="BA447" i="17"/>
  <c r="BB77" i="17"/>
  <c r="BB337" i="17"/>
  <c r="BB550" i="17"/>
  <c r="BB219" i="17"/>
  <c r="BB281" i="17"/>
  <c r="BB292" i="17"/>
  <c r="BB120" i="17"/>
  <c r="BB380" i="17"/>
  <c r="BB385" i="17"/>
  <c r="BA195" i="17"/>
  <c r="BB230" i="17"/>
  <c r="BB392" i="17"/>
  <c r="BB637" i="17"/>
  <c r="BB370" i="17"/>
  <c r="BA409" i="17"/>
  <c r="BA506" i="17"/>
  <c r="BB672" i="17"/>
  <c r="BB132" i="17"/>
  <c r="BB543" i="17"/>
  <c r="BA469" i="17"/>
  <c r="AX592" i="17"/>
  <c r="BB592" i="17" s="1"/>
  <c r="AX638" i="17"/>
  <c r="BA638" i="17" s="1"/>
  <c r="AZ350" i="17"/>
  <c r="BB350" i="17" s="1"/>
  <c r="AX109" i="17"/>
  <c r="BB109" i="17" s="1"/>
  <c r="AZ274" i="17"/>
  <c r="BB274" i="17" s="1"/>
  <c r="AZ425" i="17"/>
  <c r="BB425" i="17" s="1"/>
  <c r="AX184" i="17"/>
  <c r="BA184" i="17" s="1"/>
  <c r="AZ119" i="17"/>
  <c r="BB119" i="17" s="1"/>
  <c r="AZ310" i="17"/>
  <c r="AZ81" i="17"/>
  <c r="BB81" i="17" s="1"/>
  <c r="AZ242" i="17"/>
  <c r="BB242" i="17" s="1"/>
  <c r="AX310" i="17"/>
  <c r="BA310" i="17" s="1"/>
  <c r="AZ78" i="17"/>
  <c r="BB78" i="17" s="1"/>
  <c r="AZ636" i="17"/>
  <c r="BB636" i="17" s="1"/>
  <c r="AY570" i="17"/>
  <c r="BA570" i="17" s="1"/>
  <c r="AY528" i="17"/>
  <c r="BA528" i="17" s="1"/>
  <c r="AY387" i="17"/>
  <c r="BA387" i="17" s="1"/>
  <c r="AY449" i="17"/>
  <c r="BA449" i="17" s="1"/>
  <c r="AY360" i="17"/>
  <c r="BA360" i="17" s="1"/>
  <c r="AX641" i="17"/>
  <c r="BA641" i="17" s="1"/>
  <c r="AZ244" i="17"/>
  <c r="BB244" i="17" s="1"/>
  <c r="AZ185" i="17"/>
  <c r="BB185" i="17" s="1"/>
  <c r="AZ673" i="17"/>
  <c r="BB673" i="17" s="1"/>
  <c r="AZ159" i="17"/>
  <c r="BB159" i="17" s="1"/>
  <c r="AX144" i="17"/>
  <c r="BB144" i="17" s="1"/>
  <c r="AY181" i="17"/>
  <c r="BA181" i="17" s="1"/>
  <c r="AX521" i="17"/>
  <c r="BB521" i="17" s="1"/>
  <c r="AZ523" i="17"/>
  <c r="BB523" i="17" s="1"/>
  <c r="AZ457" i="17"/>
  <c r="BB457" i="17" s="1"/>
  <c r="AZ75" i="17"/>
  <c r="BB75" i="17" s="1"/>
  <c r="AY515" i="17"/>
  <c r="BA515" i="17" s="1"/>
  <c r="AY131" i="17"/>
  <c r="BA131" i="17" s="1"/>
  <c r="AX253" i="17"/>
  <c r="BA253" i="17" s="1"/>
  <c r="AZ367" i="17"/>
  <c r="BB367" i="17" s="1"/>
  <c r="AZ312" i="17"/>
  <c r="BB312" i="17" s="1"/>
  <c r="AY220" i="17"/>
  <c r="BA220" i="17" s="1"/>
  <c r="BA101" i="17"/>
  <c r="BA470" i="17"/>
  <c r="BA210" i="17"/>
  <c r="BA321" i="17"/>
  <c r="BA93" i="17"/>
  <c r="BB400" i="17"/>
  <c r="BA194" i="17"/>
  <c r="BB91" i="17"/>
  <c r="BA336" i="17"/>
  <c r="BA170" i="17"/>
  <c r="BA448" i="17"/>
  <c r="BA328" i="17"/>
  <c r="BB426" i="17"/>
  <c r="BA334" i="17"/>
  <c r="BB506" i="17"/>
  <c r="BB509" i="17"/>
  <c r="BB103" i="17"/>
  <c r="BB344" i="17"/>
  <c r="BB270" i="17"/>
  <c r="BB351" i="17"/>
  <c r="BB165" i="17"/>
  <c r="BB182" i="17"/>
  <c r="BB490" i="17"/>
  <c r="BB186" i="17"/>
  <c r="BA193" i="17"/>
  <c r="BA192" i="17"/>
  <c r="BA435" i="17"/>
  <c r="BA558" i="17"/>
  <c r="BA255" i="17"/>
  <c r="BB128" i="17"/>
  <c r="BB218" i="17"/>
  <c r="BB609" i="17"/>
  <c r="BB87" i="17"/>
  <c r="BB96" i="17"/>
  <c r="BB154" i="17"/>
  <c r="BA296" i="17"/>
  <c r="BB616" i="17"/>
  <c r="BB441" i="17"/>
  <c r="BB216" i="17"/>
  <c r="BB641" i="17"/>
  <c r="BB455" i="17"/>
  <c r="BB531" i="17"/>
  <c r="BB171" i="17"/>
  <c r="BB279" i="17"/>
  <c r="BB260" i="17"/>
  <c r="BA180" i="17"/>
  <c r="BB571" i="17"/>
  <c r="AZ352" i="17"/>
  <c r="BB352" i="17" s="1"/>
  <c r="AZ561" i="17"/>
  <c r="AX215" i="17"/>
  <c r="BB215" i="17" s="1"/>
  <c r="AY97" i="17"/>
  <c r="AY332" i="17"/>
  <c r="BA332" i="17" s="1"/>
  <c r="AX540" i="17"/>
  <c r="BB540" i="17" s="1"/>
  <c r="AZ489" i="17"/>
  <c r="BB489" i="17" s="1"/>
  <c r="AZ598" i="17"/>
  <c r="BB598" i="17" s="1"/>
  <c r="AX365" i="17"/>
  <c r="BB365" i="17" s="1"/>
  <c r="AZ152" i="17"/>
  <c r="BB152" i="17" s="1"/>
  <c r="AX507" i="17"/>
  <c r="BB507" i="17" s="1"/>
  <c r="AY289" i="17"/>
  <c r="BA289" i="17" s="1"/>
  <c r="AZ622" i="17"/>
  <c r="BB622" i="17" s="1"/>
  <c r="AZ467" i="17"/>
  <c r="BB467" i="17" s="1"/>
  <c r="AX378" i="17"/>
  <c r="BB378" i="17" s="1"/>
  <c r="AX282" i="17"/>
  <c r="BA282" i="17" s="1"/>
  <c r="AX212" i="17"/>
  <c r="BA212" i="17" s="1"/>
  <c r="AZ491" i="17"/>
  <c r="BB491" i="17" s="1"/>
  <c r="AY554" i="17"/>
  <c r="BA554" i="17" s="1"/>
  <c r="AY656" i="17"/>
  <c r="BA656" i="17" s="1"/>
  <c r="AZ254" i="17"/>
  <c r="BB254" i="17" s="1"/>
  <c r="AZ282" i="17"/>
  <c r="AZ349" i="17"/>
  <c r="BB349" i="17" s="1"/>
  <c r="AZ442" i="17"/>
  <c r="BB442" i="17" s="1"/>
  <c r="AZ655" i="17"/>
  <c r="BB655" i="17" s="1"/>
  <c r="AX527" i="17"/>
  <c r="BB527" i="17" s="1"/>
  <c r="AX111" i="17"/>
  <c r="BA111" i="17" s="1"/>
  <c r="AZ631" i="17"/>
  <c r="BB631" i="17" s="1"/>
  <c r="AX603" i="17"/>
  <c r="BA603" i="17" s="1"/>
  <c r="AZ437" i="17"/>
  <c r="BB437" i="17" s="1"/>
  <c r="AZ102" i="17"/>
  <c r="AZ566" i="17"/>
  <c r="BB566" i="17" s="1"/>
  <c r="AZ477" i="17"/>
  <c r="BB477" i="17" s="1"/>
  <c r="AZ456" i="17"/>
  <c r="BB456" i="17" s="1"/>
  <c r="AZ665" i="17"/>
  <c r="BB665" i="17" s="1"/>
  <c r="AZ599" i="17"/>
  <c r="BB599" i="17" s="1"/>
  <c r="AZ364" i="17"/>
  <c r="BB364" i="17" s="1"/>
  <c r="AZ515" i="17"/>
  <c r="BB515" i="17" s="1"/>
  <c r="AZ625" i="17"/>
  <c r="BB625" i="17" s="1"/>
  <c r="AZ674" i="17"/>
  <c r="BB674" i="17" s="1"/>
  <c r="AZ104" i="17"/>
  <c r="BB104" i="17" s="1"/>
  <c r="AY553" i="17"/>
  <c r="BA553" i="17" s="1"/>
  <c r="AX446" i="17"/>
  <c r="BB446" i="17" s="1"/>
  <c r="AX495" i="17"/>
  <c r="BA495" i="17" s="1"/>
  <c r="AZ373" i="17"/>
  <c r="BB373" i="17" s="1"/>
  <c r="AX172" i="17"/>
  <c r="BA172" i="17" s="1"/>
  <c r="AY171" i="17"/>
  <c r="BA171" i="17" s="1"/>
  <c r="AZ664" i="17"/>
  <c r="BB664" i="17" s="1"/>
  <c r="AZ89" i="17"/>
  <c r="BB89" i="17" s="1"/>
  <c r="AZ100" i="17"/>
  <c r="BB100" i="17" s="1"/>
  <c r="AZ438" i="17"/>
  <c r="BB438" i="17" s="1"/>
  <c r="AZ88" i="17"/>
  <c r="BB88" i="17" s="1"/>
  <c r="AZ406" i="17"/>
  <c r="BB406" i="17" s="1"/>
  <c r="AX626" i="17"/>
  <c r="BA626" i="17" s="1"/>
  <c r="AY519" i="17"/>
  <c r="BA519" i="17" s="1"/>
  <c r="P9" i="13"/>
  <c r="P26" i="13"/>
  <c r="P5" i="13"/>
  <c r="P22" i="13"/>
  <c r="P8" i="13"/>
  <c r="P25" i="13"/>
  <c r="P12" i="13"/>
  <c r="P29" i="13"/>
  <c r="P10" i="13"/>
  <c r="P27" i="13"/>
  <c r="P7" i="13"/>
  <c r="P24" i="13"/>
  <c r="P11" i="13"/>
  <c r="P28" i="13"/>
  <c r="P6" i="13"/>
  <c r="P23" i="13"/>
  <c r="G14" i="17"/>
  <c r="Q14" i="13" s="1"/>
  <c r="G5" i="17"/>
  <c r="Q5" i="13" s="1"/>
  <c r="G13" i="17"/>
  <c r="Q13" i="13" s="1"/>
  <c r="G10" i="17"/>
  <c r="Q10" i="13" s="1"/>
  <c r="G9" i="17"/>
  <c r="Q9" i="13" s="1"/>
  <c r="G15" i="17"/>
  <c r="Q15" i="13" s="1"/>
  <c r="G12" i="17"/>
  <c r="Q12" i="13" s="1"/>
  <c r="G8" i="17"/>
  <c r="Q8" i="13" s="1"/>
  <c r="G16" i="17"/>
  <c r="Q16" i="13" s="1"/>
  <c r="G11" i="17"/>
  <c r="Q11" i="13" s="1"/>
  <c r="G6" i="17"/>
  <c r="Q6" i="13" s="1"/>
  <c r="G7" i="17"/>
  <c r="Q7" i="13" s="1"/>
  <c r="BA97" i="17" l="1"/>
  <c r="BB638" i="17"/>
  <c r="BB102" i="17"/>
  <c r="BB253" i="17"/>
  <c r="BA144" i="17"/>
  <c r="BB243" i="17"/>
  <c r="BB282" i="17"/>
  <c r="BB85" i="17"/>
  <c r="BA485" i="17"/>
  <c r="BA413" i="17"/>
  <c r="BB630" i="17"/>
  <c r="BB142" i="17"/>
  <c r="BB413" i="17"/>
  <c r="BB561" i="17"/>
  <c r="BB175" i="17"/>
  <c r="BB418" i="17"/>
  <c r="BB433" i="17"/>
  <c r="BB234" i="17"/>
  <c r="BA592" i="17"/>
  <c r="BB428" i="17"/>
  <c r="BA497" i="17"/>
  <c r="BB110" i="17"/>
  <c r="BB579" i="17"/>
  <c r="BB329" i="17"/>
  <c r="BB495" i="17"/>
  <c r="BA540" i="17"/>
  <c r="BB184" i="17"/>
  <c r="BB212" i="17"/>
  <c r="BA507" i="17"/>
  <c r="BB172" i="17"/>
  <c r="BB603" i="17"/>
  <c r="BA378" i="17"/>
  <c r="BA521" i="17"/>
  <c r="BA446" i="17"/>
  <c r="BA109" i="17"/>
  <c r="AY68" i="17" s="1"/>
  <c r="AY71" i="17" s="1"/>
  <c r="BA365" i="17"/>
  <c r="BA215" i="17"/>
  <c r="BA273" i="17"/>
  <c r="BB111" i="17"/>
  <c r="BB626" i="17"/>
  <c r="BB604" i="17"/>
  <c r="BA527" i="17"/>
  <c r="BB310" i="17"/>
  <c r="AZ68" i="17" l="1"/>
  <c r="AZ71" i="17" s="1"/>
  <c r="E6" i="13" s="1"/>
  <c r="BA71"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Fiachra MacLeid</author>
  </authors>
  <commentList>
    <comment ref="T25" authorId="0" shapeId="0" xr:uid="{4DDCF64D-941D-4AE0-BFC0-A718DA604BB2}">
      <text>
        <r>
          <rPr>
            <b/>
            <sz val="9"/>
            <color indexed="81"/>
            <rFont val="Tahoma"/>
            <family val="2"/>
          </rPr>
          <t>Fiachra MacLeid:</t>
        </r>
        <r>
          <rPr>
            <sz val="9"/>
            <color indexed="81"/>
            <rFont val="Tahoma"/>
            <family val="2"/>
          </rPr>
          <t xml:space="preserve">
capped at 6%
</t>
        </r>
      </text>
    </comment>
    <comment ref="C39" authorId="0" shapeId="0" xr:uid="{418C2379-6B35-4B08-ACD3-6EAA66C2A824}">
      <text>
        <r>
          <rPr>
            <b/>
            <sz val="9"/>
            <color indexed="81"/>
            <rFont val="Tahoma"/>
            <family val="2"/>
          </rPr>
          <t>Fiachra MacLeid:</t>
        </r>
        <r>
          <rPr>
            <sz val="9"/>
            <color indexed="81"/>
            <rFont val="Tahoma"/>
            <family val="2"/>
          </rPr>
          <t xml:space="preserve">
This is conditional on a guarantee being selected in the investment table to the right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V.Manning</author>
  </authors>
  <commentList>
    <comment ref="C6" authorId="0" shapeId="0" xr:uid="{C071B33C-95B0-451C-A4C5-2B4B03FB903B}">
      <text>
        <r>
          <rPr>
            <b/>
            <sz val="9"/>
            <color indexed="81"/>
            <rFont val="Tahoma"/>
            <family val="2"/>
          </rPr>
          <t>Kevin V.Manning:</t>
        </r>
        <r>
          <rPr>
            <sz val="9"/>
            <color indexed="81"/>
            <rFont val="Tahoma"/>
            <family val="2"/>
          </rPr>
          <t xml:space="preserve">
while RIY is standard terminology, note that the figure used by the PoI doc is the reduced yield rather than the reduction.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<sst xmlns="http://schemas.openxmlformats.org/spreadsheetml/2006/main" count="507" uniqueCount="334">
  <si>
    <t>Version</t>
  </si>
  <si>
    <t>Date</t>
  </si>
  <si>
    <t>Change By</t>
  </si>
  <si>
    <t>Review By</t>
  </si>
  <si>
    <t>Description</t>
  </si>
  <si>
    <t>v0.1</t>
  </si>
  <si>
    <t>14/5/26</t>
  </si>
  <si>
    <t>George Harding</t>
  </si>
  <si>
    <t>Investment Bond illustrator spreadsheet created from ARF illustrator</t>
  </si>
  <si>
    <t>Overview</t>
  </si>
  <si>
    <t>Cell Color Key</t>
  </si>
  <si>
    <t>Product and Fund Parameters</t>
  </si>
  <si>
    <t>Customer specific inputs</t>
  </si>
  <si>
    <t>Formulas</t>
  </si>
  <si>
    <t>A flag used where a change in formula occurs during the projection</t>
  </si>
  <si>
    <t>Regulatory/ ASP inputs</t>
  </si>
  <si>
    <t>Other Hardcoded Numbers</t>
  </si>
  <si>
    <t>Summary tables</t>
  </si>
  <si>
    <t>User Guide</t>
  </si>
  <si>
    <t>Step</t>
  </si>
  <si>
    <t>Update Customer specific inputs on ARF Projection tab</t>
  </si>
  <si>
    <t>Sheet Description</t>
  </si>
  <si>
    <t>Sheet Name</t>
  </si>
  <si>
    <t>HyperLink</t>
  </si>
  <si>
    <t>In this tab:
(1.) The key information about the EUC is documented.
(2.) The user instructions for updating this model is documented.
(3.) The purpose of each sheet is also documented.</t>
  </si>
  <si>
    <t>Parameters</t>
  </si>
  <si>
    <t>This tab contains:
-  Product specific parameters
- Fund specific parameters
- Regulatory specific inputs.
This tab should only be updated if there are changes to any of the above.</t>
  </si>
  <si>
    <t>Projections</t>
  </si>
  <si>
    <t>This tab projections the ARF over the lifetime of the policy on 2 ASP prescribed growth rates
- Customer specifc inputs should be updated here</t>
  </si>
  <si>
    <t>Inputs for PointOfIssue Doc</t>
  </si>
  <si>
    <t>This tab contains inputs for the Point of Issue Disclosure Template</t>
  </si>
  <si>
    <t>Commission</t>
  </si>
  <si>
    <t>Surrender Penalty</t>
  </si>
  <si>
    <t>Product Version</t>
  </si>
  <si>
    <t>Product Code</t>
  </si>
  <si>
    <t>SP Upfront Base</t>
  </si>
  <si>
    <t>SP Upfront Special Deal</t>
  </si>
  <si>
    <t>Fund Based Commission</t>
  </si>
  <si>
    <t>Admin Charge</t>
  </si>
  <si>
    <t>A</t>
  </si>
  <si>
    <t>A1</t>
  </si>
  <si>
    <t>B</t>
  </si>
  <si>
    <t>B1</t>
  </si>
  <si>
    <t>B2</t>
  </si>
  <si>
    <t>B3</t>
  </si>
  <si>
    <t>C</t>
  </si>
  <si>
    <t>C1</t>
  </si>
  <si>
    <t>C2</t>
  </si>
  <si>
    <t>C3</t>
  </si>
  <si>
    <t>D</t>
  </si>
  <si>
    <t>D1</t>
  </si>
  <si>
    <t>F</t>
  </si>
  <si>
    <t>F1</t>
  </si>
  <si>
    <t>F2</t>
  </si>
  <si>
    <t>Growth Assumptions</t>
  </si>
  <si>
    <t>Equity</t>
  </si>
  <si>
    <t>ASP-LA8</t>
  </si>
  <si>
    <t>ASP LA-8</t>
  </si>
  <si>
    <t>Figures effecive from 01/01/2025</t>
  </si>
  <si>
    <t>Property</t>
  </si>
  <si>
    <t>Fixed Interest</t>
  </si>
  <si>
    <t>Cash</t>
  </si>
  <si>
    <t>Fund</t>
  </si>
  <si>
    <t>Fixed Income</t>
  </si>
  <si>
    <t>Strategy Select 30</t>
  </si>
  <si>
    <t>Strategy Select 50</t>
  </si>
  <si>
    <t>Strategy Select 75</t>
  </si>
  <si>
    <t>Allianz Best Styles Global Equity SRI</t>
  </si>
  <si>
    <t>Allianz Advanced Fixed Income Short Duration</t>
  </si>
  <si>
    <t>Allianz Advanced Fixed Income Euro</t>
  </si>
  <si>
    <t>Allianz Dynamic Multi Asset Strategy SRI 75</t>
  </si>
  <si>
    <t>Allianz Dynamic Multi Asset Strategy SRI 50</t>
  </si>
  <si>
    <t>Allianz Dynamic Multi Asset Strategy SRI 15</t>
  </si>
  <si>
    <t>HSBC EURO STOXX 50 UCITS ETF</t>
  </si>
  <si>
    <t>HSBC MSCI World UCITS ETF</t>
  </si>
  <si>
    <t>HSBC S&amp;P 500 UCITS ETF</t>
  </si>
  <si>
    <t>Allianz Euro Cash</t>
  </si>
  <si>
    <t>Guarantee Charge</t>
  </si>
  <si>
    <t>Growth Rate p.a.</t>
  </si>
  <si>
    <t>Growth Rate p.m.</t>
  </si>
  <si>
    <t>External Fund Manager Charge</t>
  </si>
  <si>
    <t>Ext FM charges updated with new fund classes mid 2025</t>
  </si>
  <si>
    <t>Default Income Rate</t>
  </si>
  <si>
    <t>Annual Rate</t>
  </si>
  <si>
    <t>Monthly rate</t>
  </si>
  <si>
    <t>&gt;=2000000</t>
  </si>
  <si>
    <t>&lt;71</t>
  </si>
  <si>
    <t>&gt;=71</t>
  </si>
  <si>
    <t>Min</t>
  </si>
  <si>
    <t>Max</t>
  </si>
  <si>
    <t>Tax Rate</t>
  </si>
  <si>
    <t>Rate</t>
  </si>
  <si>
    <t>Individual</t>
  </si>
  <si>
    <t xml:space="preserve">Corporate </t>
  </si>
  <si>
    <t>Exempt</t>
  </si>
  <si>
    <t>Year</t>
  </si>
  <si>
    <t>E</t>
  </si>
  <si>
    <t>€</t>
  </si>
  <si>
    <t>Total amount of premiums paid into the policy to date</t>
  </si>
  <si>
    <t>Projected investment growth to date</t>
  </si>
  <si>
    <t>Projected expenses and charges to date</t>
  </si>
  <si>
    <t>Taxation to date</t>
  </si>
  <si>
    <t>Projected policy value after payment of tax</t>
  </si>
  <si>
    <t>Contributions payable in that year</t>
  </si>
  <si>
    <t>Projected total intermediary and sales remuneration payable in that year</t>
  </si>
  <si>
    <t>Inputs:</t>
  </si>
  <si>
    <t>Investment Stategy</t>
  </si>
  <si>
    <t>Monthly Rate</t>
  </si>
  <si>
    <t xml:space="preserve">Fund </t>
  </si>
  <si>
    <t>Investment %</t>
  </si>
  <si>
    <t>% invested</t>
  </si>
  <si>
    <t>Commencement Date</t>
  </si>
  <si>
    <t>Rate of Return</t>
  </si>
  <si>
    <t>Date of Birth</t>
  </si>
  <si>
    <t>External Fund Charge</t>
  </si>
  <si>
    <t>Single Contribution</t>
  </si>
  <si>
    <t>If Guarantee</t>
  </si>
  <si>
    <t>No</t>
  </si>
  <si>
    <t>Current Age</t>
  </si>
  <si>
    <t>Max Rate of return</t>
  </si>
  <si>
    <t>Invested Funds</t>
  </si>
  <si>
    <t>Guarantee on/off</t>
  </si>
  <si>
    <t>Regular Income Flag</t>
  </si>
  <si>
    <t>Regular Income Type</t>
  </si>
  <si>
    <t>Monetary Amount Choosen (annual)</t>
  </si>
  <si>
    <t>Custom Regular Income %</t>
  </si>
  <si>
    <t>Start Regular Income Amount</t>
  </si>
  <si>
    <t>Income Escalation %</t>
  </si>
  <si>
    <t>Regular Premium Contribution</t>
  </si>
  <si>
    <t>Regular Premium Allowed</t>
  </si>
  <si>
    <t>Assumption in model that if regular income is being taken from outset, regular contributions are not being made</t>
  </si>
  <si>
    <t>Premium Frequency</t>
  </si>
  <si>
    <t>Contribution Per Year</t>
  </si>
  <si>
    <t>Regular Contribution Per Annum</t>
  </si>
  <si>
    <t>Contribution Escalation</t>
  </si>
  <si>
    <t>Government Levy</t>
  </si>
  <si>
    <t>External Fund Charge (average)</t>
  </si>
  <si>
    <t>Admin Charge p.a</t>
  </si>
  <si>
    <t>Gtee Charge p.a.</t>
  </si>
  <si>
    <t>Commission Uplift Factor (upfront commission)</t>
  </si>
  <si>
    <t>Ongoing commission p.a.</t>
  </si>
  <si>
    <t>Minimum Fund</t>
  </si>
  <si>
    <t>Fund Zero Year</t>
  </si>
  <si>
    <t>Fund Final Year for RIY Calculation</t>
  </si>
  <si>
    <t>Special Deal Initial Commission Indicator</t>
  </si>
  <si>
    <t>Yes</t>
  </si>
  <si>
    <t>Single Equivanlence Charge</t>
  </si>
  <si>
    <t>IRR (Monthly)</t>
  </si>
  <si>
    <t>Reduction in Yield</t>
  </si>
  <si>
    <t>IRR (Yearly)</t>
  </si>
  <si>
    <t>Manually Altered Initial Commission Indicator</t>
  </si>
  <si>
    <t>Used Allocation Rate</t>
  </si>
  <si>
    <t>Projection:</t>
  </si>
  <si>
    <t>Age</t>
  </si>
  <si>
    <t>Projection Year</t>
  </si>
  <si>
    <t>Projection Month</t>
  </si>
  <si>
    <t>Growth per month</t>
  </si>
  <si>
    <t>Gtee Flag</t>
  </si>
  <si>
    <t>Deemed Disposal Flag</t>
  </si>
  <si>
    <t>RP Premium Flag</t>
  </si>
  <si>
    <t>Surrender Penalty rate</t>
  </si>
  <si>
    <t>Single Premium</t>
  </si>
  <si>
    <t>Over/Under Allocation</t>
  </si>
  <si>
    <t>SP Policy Value</t>
  </si>
  <si>
    <t>Allocated SP</t>
  </si>
  <si>
    <t>SP Investment Growth</t>
  </si>
  <si>
    <t>SP Charges</t>
  </si>
  <si>
    <t>Regular Premium</t>
  </si>
  <si>
    <t>RP Policy Value</t>
  </si>
  <si>
    <t>Allocated RP</t>
  </si>
  <si>
    <t>RP Investment Growth</t>
  </si>
  <si>
    <t>RP Charges</t>
  </si>
  <si>
    <t>Fixed IncomeAmount</t>
  </si>
  <si>
    <t>Chosen Income %</t>
  </si>
  <si>
    <t>Policy Value (Before Tax)</t>
  </si>
  <si>
    <t>Tax Free Allowance</t>
  </si>
  <si>
    <t>% SP Policy Value</t>
  </si>
  <si>
    <t>% Encashed</t>
  </si>
  <si>
    <t>Cuml Deemed Disposal</t>
  </si>
  <si>
    <t>Tax Due</t>
  </si>
  <si>
    <t>Exit Tax (Maturity Value)</t>
  </si>
  <si>
    <t>Closing Fund Value</t>
  </si>
  <si>
    <t>Income Reduction</t>
  </si>
  <si>
    <t>Month</t>
  </si>
  <si>
    <t>Premiums &amp; Initial Fund</t>
  </si>
  <si>
    <t>Final Fund No Charges</t>
  </si>
  <si>
    <t>Final Fund Charges</t>
  </si>
  <si>
    <t>Cashflows (no Charges)</t>
  </si>
  <si>
    <t>Cashflows (Charges)</t>
  </si>
  <si>
    <t>Inputs for Point Of Disclosure Document</t>
  </si>
  <si>
    <t>Growth Rate 1 (%)</t>
  </si>
  <si>
    <t>Projected charges to date</t>
  </si>
  <si>
    <t>Reduced to:</t>
  </si>
  <si>
    <t>RIY (reduced from [Growth Rate 1 (%)] to)</t>
  </si>
  <si>
    <t>Income Description Text</t>
  </si>
  <si>
    <t>Surrender Penalty text</t>
  </si>
  <si>
    <t>* charges reflect additional allocation to the policy</t>
  </si>
  <si>
    <t>Single Contribution Paid</t>
  </si>
  <si>
    <t>Contribution Charge (%)</t>
  </si>
  <si>
    <t>Contribution Charge (€)</t>
  </si>
  <si>
    <t>Invested Amount</t>
  </si>
  <si>
    <t>Contribution Rate (%)</t>
  </si>
  <si>
    <t>Additional Contribution (€)</t>
  </si>
  <si>
    <t>Reliances &amp; Limitations</t>
  </si>
  <si>
    <t>Allianz Global Life dac</t>
  </si>
  <si>
    <t>RELIANCES</t>
  </si>
  <si>
    <t>DATA</t>
  </si>
  <si>
    <t>In carrying out our work and producing this workbook, we relied on data and other information provided by AGL dac. We have not audited or verified this data and other information. If the underlying data or information is inaccurate or incomplete, the results of our analysis may likewise be inaccurate or incomplete.</t>
  </si>
  <si>
    <t>We performed a limited review of the data used directly in our analysis for reasonableness and consistency and have not found material defects in the data. If there are material defects in the data, it is possible that they would be uncovered by a detailed, systematic review and comparison of the data to search for data values that are questionable or for relationships that are materially inconsistent. Such a review was beyond the scope of our assignment.</t>
  </si>
  <si>
    <t>In carrying out our work and producing this workbook, reliance has been placed upon, but not limited to, the following information:</t>
  </si>
  <si>
    <t>Composition of Funds</t>
  </si>
  <si>
    <t>Product Parameters including:</t>
  </si>
  <si>
    <t>- Commission Profile</t>
  </si>
  <si>
    <t>- Contribution charge</t>
  </si>
  <si>
    <t>Fund Management Charges</t>
  </si>
  <si>
    <t>Guarantee Charges</t>
  </si>
  <si>
    <t>We supplemented AGL dac's data with insurance industry data where deemed necessary. The use of external data is another source of uncertainty in our estimates.</t>
  </si>
  <si>
    <t>LIMITATIONS</t>
  </si>
  <si>
    <t>DISTRIBUTION &amp; USAGE</t>
  </si>
  <si>
    <t>This workbook has been prepared solely for the internal business use of and is only to be relied upon by the management of AGL dac. No portion of this workbook may be provided to any other party without our prior written consent. In the event such consent is provided, the workbook must be provided in its entirety.</t>
  </si>
  <si>
    <t>Judgments as to the conclusions contained in this workbook should be made only after studying the workbook in its entirety. Furthermore, conclusions reached by review of a section or sections on an isolated basis may be incorrect.</t>
  </si>
  <si>
    <t>The workbook is intended to be used by a person with a certain level of expertise in the areas addressed and for the stated purposes only.  Any user of this workbook must possess a certain level of expertise in areas relevant to this analysis to appreciate the significance of the assumptions and the impact of these assumptions on the illustrated results. The user should be advised by their own actuaries or other qualified professionals competent in the subject matter of this workbook, so as to properly interpret the material.</t>
  </si>
  <si>
    <t>This workbook is subject to the terms and limitations, including limitation of liability, set out in our letter of engagement / statement of work / transaction agreement / other relevant agreement.</t>
  </si>
  <si>
    <t>VARIABILITY OF RESULTS</t>
  </si>
  <si>
    <t>Differences between our projections and actual amounts depend on the extent to which future experience conforms to the assumptions made for this analysis.  The assumptions we have used have, in our view, been made on the basis of reasonable hypotheses.  It is certain, however, that actual experience will not conform exactly to the assumptions used in this analysis. Actual amounts will differ from projected amounts to the extent that actual experience deviates from expected experience.  Such variations in experience could have a significant effect on the results and conclusions in this workbook.  No warranty is given that the assumptions made in this workbook will be reflected in actual future experience.</t>
  </si>
  <si>
    <t>RECOMMENDED OTHER PROFESSIONAL ADVICE</t>
  </si>
  <si>
    <t>The consultants who worked on this assignment are insurance actuaries. As such, they are familiar with statutory accounting and GAAP accounting, but are by no means experts in law, taxation, or accounting. Our advice is not, nor is it intended to be, a substitute for qualified legal, tax, or accounting advice.</t>
  </si>
  <si>
    <t>Illustration table assuming growth rate 1 - Regular Income</t>
  </si>
  <si>
    <t>Illustration table assuming growth rate 1 - No Regular Income</t>
  </si>
  <si>
    <t>Income Amount Used (Gross of Tax)</t>
  </si>
  <si>
    <t>Income Amount (Net of Tax)</t>
  </si>
  <si>
    <t>Cumulative income to date after tax</t>
  </si>
  <si>
    <t>remuneration table</t>
  </si>
  <si>
    <t>Exit Tax Rate (%)</t>
  </si>
  <si>
    <t>Projected policy value after payment of tax and income</t>
  </si>
  <si>
    <t>Government Levy (%)</t>
  </si>
  <si>
    <t>Show if Single Premium [new_allocation_rate] &lt;= 100%:</t>
  </si>
  <si>
    <t>Show if Single Premium [new_allocation_rate] &gt; 100%:</t>
  </si>
  <si>
    <t>Show if Regular Premium [new_allocation_rate] &lt;= 100%:</t>
  </si>
  <si>
    <t>Show if Regular Premium [new_allocation_rate] &gt; 100%:</t>
  </si>
  <si>
    <t>Government Levy Amount - Single Premium (€)</t>
  </si>
  <si>
    <t>Regular Contibutions per frequency</t>
  </si>
  <si>
    <t>Contribution Frequency</t>
  </si>
  <si>
    <t>Invested Amount per frequency</t>
  </si>
  <si>
    <t>Additional Contribution per frequency (€)</t>
  </si>
  <si>
    <t>Contribution Charge per frequency (€)</t>
  </si>
  <si>
    <t>Government Levy Amount - Regular Premium per frequency(€)</t>
  </si>
  <si>
    <t>RP Upfront Base</t>
  </si>
  <si>
    <t>RP Upfront Special Deal</t>
  </si>
  <si>
    <t>Upfront commission (SP)</t>
  </si>
  <si>
    <t>Upfront commission (RP)</t>
  </si>
  <si>
    <t>Fund Growth 
(With Charges, No Tax)</t>
  </si>
  <si>
    <t>Policy Value
(With Charges, No Tax)</t>
  </si>
  <si>
    <t>Fund Charges
(With Charges, No Tax)</t>
  </si>
  <si>
    <t>Income
(With Charges, No Tax)</t>
  </si>
  <si>
    <t>Policy Value
(No Charges, No Tax)</t>
  </si>
  <si>
    <t>Fund Growth 
(No Charges, No Tax)</t>
  </si>
  <si>
    <t>Income
(No Charges, No Tax)</t>
  </si>
  <si>
    <t>Policyholder Type</t>
  </si>
  <si>
    <t>Special Deal Initial Commission Level (SP)</t>
  </si>
  <si>
    <t>Expected Rate of Return</t>
  </si>
  <si>
    <t>Growth Rate (Used in Model)</t>
  </si>
  <si>
    <t>Manually Adjusted Initial Commission (SP)</t>
  </si>
  <si>
    <t>Used Initial Commission (SP)</t>
  </si>
  <si>
    <t>Modelling Assumptions</t>
  </si>
  <si>
    <t>-</t>
  </si>
  <si>
    <t>It is assumed that a policyholder paying a regular premium contribution from the outset cannot at the same time receive a regular income from the model</t>
  </si>
  <si>
    <t>All regular income is assumed to be paid monthly. This is a simplification that does not allow for actual income payment timings. See email from Kevin Manning and Hugh Gannon on 25th April 2025 confirming this approach is compliant</t>
  </si>
  <si>
    <t>The investment return used in the calculation of reduction in yield is on a gross of tax basis.</t>
  </si>
  <si>
    <t>RP Allocation Rate</t>
  </si>
  <si>
    <t>Initial Commission (SP)</t>
  </si>
  <si>
    <t>Initial Commission (RP)</t>
  </si>
  <si>
    <t>Monetary Amount (with Escalation)</t>
  </si>
  <si>
    <t>G</t>
  </si>
  <si>
    <t>H</t>
  </si>
  <si>
    <t>J</t>
  </si>
  <si>
    <t>K</t>
  </si>
  <si>
    <t>K1</t>
  </si>
  <si>
    <t>K2</t>
  </si>
  <si>
    <t>L</t>
  </si>
  <si>
    <t>L1</t>
  </si>
  <si>
    <t>L2</t>
  </si>
  <si>
    <t>M</t>
  </si>
  <si>
    <t>M1</t>
  </si>
  <si>
    <t>M2</t>
  </si>
  <si>
    <t>C4</t>
  </si>
  <si>
    <t>C5</t>
  </si>
  <si>
    <t>D2</t>
  </si>
  <si>
    <t>D3</t>
  </si>
  <si>
    <t>D4</t>
  </si>
  <si>
    <t>D5</t>
  </si>
  <si>
    <t>D6</t>
  </si>
  <si>
    <t>E1</t>
  </si>
  <si>
    <t>E2</t>
  </si>
  <si>
    <t>E3</t>
  </si>
  <si>
    <t>E4</t>
  </si>
  <si>
    <t>E5</t>
  </si>
  <si>
    <t>E6</t>
  </si>
  <si>
    <t>G1</t>
  </si>
  <si>
    <t>G2</t>
  </si>
  <si>
    <t>G3</t>
  </si>
  <si>
    <t>G4</t>
  </si>
  <si>
    <t>H1</t>
  </si>
  <si>
    <t>H2</t>
  </si>
  <si>
    <t>H3</t>
  </si>
  <si>
    <t>H4</t>
  </si>
  <si>
    <t>J1</t>
  </si>
  <si>
    <t>J2</t>
  </si>
  <si>
    <t>J3</t>
  </si>
  <si>
    <t>J4</t>
  </si>
  <si>
    <t>NA</t>
  </si>
  <si>
    <t>Regular Income Start Month (calendar month)</t>
  </si>
  <si>
    <t>Regular Income Start Year (calendar)</t>
  </si>
  <si>
    <t>Regular Income Start Month (policy)</t>
  </si>
  <si>
    <t>Note on RP Start Date:</t>
  </si>
  <si>
    <t>Fixed at 0%</t>
  </si>
  <si>
    <t>Can we either 0% or 3%</t>
  </si>
  <si>
    <t>Ciaran Murphy</t>
  </si>
  <si>
    <t>Correction to 'SP Upfront Base' for K1, L1, M1 parameters [i.e. Parameters cell E42]</t>
  </si>
  <si>
    <t>v0.9</t>
  </si>
  <si>
    <t>Gearóid Hughes</t>
  </si>
  <si>
    <t>Change to charges/commission structure</t>
  </si>
  <si>
    <t>Monthly</t>
  </si>
  <si>
    <t>V0.10</t>
  </si>
  <si>
    <t>Hugh Gannon</t>
  </si>
  <si>
    <t xml:space="preserve">Change to cell D19 on Inputs for PointOfIssue Doc to remove surrender penalty wording from </t>
  </si>
  <si>
    <t>V0.11</t>
  </si>
  <si>
    <t>Included extra SP allocation for RP charging options where it applies. Changed cell C66 on the Projections tab</t>
  </si>
  <si>
    <t>V0.12</t>
  </si>
  <si>
    <t>Tiered Bonus Commission Applies</t>
  </si>
  <si>
    <t>Tiered Bonus Commission</t>
  </si>
  <si>
    <t>Premium Floor</t>
  </si>
  <si>
    <t>Bonus Commission</t>
  </si>
  <si>
    <t>- Changed formula in cell C52 on the Projections tab for the Year Zero parameter to reference the total policy value rather than just the single premium policy value (no updated required on IMS as already incorporated)
- added bonus commission of 0.5% for premiums &gt;=€100k and 1% for premiums &gt;=€500k (added Bonus Commission Applies parameter to cell C65 of Projections, changed formula in cell C67 of Projections, and added a table of Bonus Commission in cells C112 to D114 of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</si>
</sst>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_);_(* \(#,##0.00\);_(* &quot;-&quot;??_);_(@_)"/>
    <numFmt numFmtId="165" formatCode="_-* #,##0_-;\-* #,##0_-;_-* &quot;-&quot;??_-;_-@_-"/>
    <numFmt numFmtId="166" formatCode="0.000%"/>
    <numFmt numFmtId="167" formatCode="0.0%"/>
    <numFmt numFmtId="168" formatCode="_-* #,##0.0_-;\-* #,##0.0_-;_-* &quot;-&quot;??_-;_-@_-"/>
    <numFmt numFmtId="169" formatCode="0.0000%"/>
    <numFmt numFmtId="170" formatCode="&quot;€&quot;#,##0"/>
    <numFmt numFmtId="171" formatCode="_-* #,##0.00\ _€_-;\-* #,##0.00\ _€_-;_-* &quot;-&quot;??\ _€_-;_-@_-"/>
    <numFmt numFmtId="172" formatCode="&quot;step_&quot;00"/>
    <numFmt numFmtId="173" formatCode="#,##0_ ;\-#,##0\ "/>
    <numFmt numFmtId="174" formatCode="0.0000000000000%"/>
    <numFmt numFmtId="175" formatCode="&quot;€&quot;#,##0.00"/>
  </numFmts>
  <fonts count="34">
    <font>
      <sz val="11"/>
      <color theme="1"/>
      <name val="Aptos Narrow"/>
      <family val="2"/>
      <scheme val="minor"/>
    </font>
    <font>
      <sz val="11"/>
      <color theme="1"/>
      <name val="Aptos Narrow"/>
      <family val="2"/>
      <scheme val="minor"/>
    </font>
    <font>
      <sz val="10"/>
      <color rgb="FFFFFFFF"/>
      <name val="Allianz Neo"/>
      <family val="2"/>
    </font>
    <font>
      <sz val="10"/>
      <color theme="1"/>
      <name val="Allianz Neo"/>
      <family val="2"/>
    </font>
    <font>
      <sz val="10"/>
      <color rgb="FFFF0000"/>
      <name val="Allianz Neo"/>
      <family val="2"/>
    </font>
    <font>
      <b/>
      <sz val="10"/>
      <color theme="1"/>
      <name val="Allianz Neo"/>
      <family val="2"/>
    </font>
    <font>
      <sz val="10"/>
      <name val="Arial"/>
      <family val="2"/>
    </font>
    <font>
      <sz val="10"/>
      <name val="Allianz Neo"/>
      <family val="2"/>
    </font>
    <font>
      <sz val="10"/>
      <color rgb="FFFFFFFF"/>
      <name val="Calibri"/>
      <family val="2"/>
    </font>
    <font>
      <sz val="11"/>
      <color rgb="FFFF0000"/>
      <name val="Aptos Narrow"/>
      <family val="2"/>
      <scheme val="minor"/>
    </font>
    <font>
      <b/>
      <sz val="11"/>
      <color theme="1"/>
      <name val="Aptos Narrow"/>
      <family val="2"/>
      <scheme val="minor"/>
    </font>
    <font>
      <b/>
      <u/>
      <sz val="10"/>
      <color theme="1"/>
      <name val="Allianz Neo"/>
      <family val="2"/>
    </font>
    <font>
      <sz val="9"/>
      <color indexed="81"/>
      <name val="Tahoma"/>
      <family val="2"/>
    </font>
    <font>
      <b/>
      <sz val="9"/>
      <color indexed="81"/>
      <name val="Tahoma"/>
      <family val="2"/>
    </font>
    <font>
      <sz val="9"/>
      <color theme="1"/>
      <name val="arial"/>
      <family val="2"/>
    </font>
    <font>
      <b/>
      <sz val="12"/>
      <color theme="1"/>
      <name val="arial"/>
      <family val="2"/>
    </font>
    <font>
      <sz val="11"/>
      <color theme="1"/>
      <name val="Calibri"/>
      <family val="2"/>
    </font>
    <font>
      <b/>
      <sz val="9"/>
      <color theme="1"/>
      <name val="arial"/>
      <family val="2"/>
    </font>
    <font>
      <b/>
      <sz val="11"/>
      <color theme="0"/>
      <name val="Aptos Narrow"/>
      <family val="2"/>
      <scheme val="minor"/>
    </font>
    <font>
      <b/>
      <sz val="10"/>
      <color rgb="FFFFFFFF"/>
      <name val="Allianz Neo PPT"/>
    </font>
    <font>
      <b/>
      <sz val="10"/>
      <color rgb="FF003781"/>
      <name val="Allianz Neo PPT"/>
    </font>
    <font>
      <sz val="8"/>
      <name val="Aptos Narrow"/>
      <family val="2"/>
      <scheme val="minor"/>
    </font>
    <font>
      <b/>
      <sz val="10"/>
      <name val="Allianz Neo PPT"/>
    </font>
    <font>
      <b/>
      <sz val="18"/>
      <color theme="1"/>
      <name val="Allianz Neo"/>
      <family val="2"/>
    </font>
    <font>
      <u/>
      <sz val="11"/>
      <color theme="10"/>
      <name val="Aptos Narrow"/>
      <family val="2"/>
      <scheme val="minor"/>
    </font>
    <font>
      <sz val="11"/>
      <name val="Aptos Narrow"/>
      <family val="2"/>
      <scheme val="minor"/>
    </font>
    <font>
      <sz val="11"/>
      <color theme="2"/>
      <name val="Aptos Narrow"/>
      <family val="2"/>
      <scheme val="minor"/>
    </font>
    <font>
      <b/>
      <sz val="11"/>
      <name val="Aptos Narrow"/>
      <family val="2"/>
      <scheme val="minor"/>
    </font>
    <font>
      <u/>
      <sz val="10"/>
      <color indexed="12"/>
      <name val="Arial"/>
      <family val="2"/>
    </font>
    <font>
      <u/>
      <sz val="11"/>
      <name val="Aptos Narrow"/>
      <family val="2"/>
      <scheme val="minor"/>
    </font>
    <font>
      <b/>
      <sz val="10"/>
      <color theme="1"/>
      <name val="Allianz Neo"/>
      <family val="2"/>
    </font>
    <font>
      <sz val="10"/>
      <color theme="1"/>
      <name val="Allianz Neo"/>
      <family val="2"/>
    </font>
    <font>
      <b/>
      <sz val="10"/>
      <color theme="1"/>
      <name val="Allianz Neo"/>
      <family val="2"/>
    </font>
    <font>
      <b/>
      <u/>
      <sz val="11"/>
      <color theme="1"/>
      <name val="Aptos Narrow"/>
      <family val="2"/>
      <scheme val="minor"/>
    </font>
  </fonts>
  <fills count="13">
    <fill>
      <patternFill patternType="none"/>
    </fill>
    <fill>
      <patternFill patternType="gray125"/>
    </fill>
    <fill>
      <patternFill patternType="solid">
        <fgColor rgb="FF2E74B5"/>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rgb="FF122B54"/>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8" tint="0.79998168889431442"/>
        <bgColor indexed="64"/>
      </patternFill>
    </fill>
  </fills>
  <borders count="2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FFFFFF"/>
      </top>
      <bottom style="medium">
        <color rgb="FFFFFFFF"/>
      </bottom>
      <diagonal/>
    </border>
    <border>
      <left/>
      <right style="thin">
        <color rgb="FF000000"/>
      </right>
      <top style="medium">
        <color rgb="FFFFFFFF"/>
      </top>
      <bottom/>
      <diagonal/>
    </border>
    <border>
      <left style="thin">
        <color rgb="FF000000"/>
      </left>
      <right style="medium">
        <color rgb="FFFFFFFF"/>
      </right>
      <top style="medium">
        <color rgb="FFFFFFFF"/>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style="medium">
        <color rgb="FFFFFFFF"/>
      </top>
      <bottom/>
      <diagonal/>
    </border>
    <border>
      <left/>
      <right/>
      <top style="medium">
        <color rgb="FFFFFFF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43" fontId="1" fillId="0" borderId="0" applyFont="0" applyFill="0" applyBorder="0" applyAlignment="0" applyProtection="0"/>
    <xf numFmtId="0" fontId="6" fillId="0" borderId="0"/>
    <xf numFmtId="9" fontId="1" fillId="0" borderId="0" applyFont="0" applyFill="0" applyBorder="0" applyAlignment="0" applyProtection="0"/>
    <xf numFmtId="0" fontId="14" fillId="0" borderId="0"/>
    <xf numFmtId="0" fontId="24" fillId="0" borderId="0" applyNumberFormat="0" applyFill="0" applyBorder="0" applyAlignment="0" applyProtection="0"/>
    <xf numFmtId="0" fontId="6" fillId="0" borderId="0"/>
    <xf numFmtId="171" fontId="1" fillId="0" borderId="0" applyFont="0" applyFill="0" applyBorder="0" applyAlignment="0" applyProtection="0"/>
    <xf numFmtId="0" fontId="28" fillId="0" borderId="0" applyNumberFormat="0" applyFill="0" applyBorder="0" applyAlignment="0" applyProtection="0">
      <alignment vertical="top"/>
      <protection locked="0"/>
    </xf>
    <xf numFmtId="43" fontId="1" fillId="0" borderId="0" applyFont="0" applyFill="0" applyBorder="0" applyAlignment="0" applyProtection="0"/>
  </cellStyleXfs>
  <cellXfs count="273">
    <xf numFmtId="0" fontId="0" fillId="0" borderId="0" xfId="0"/>
    <xf numFmtId="0" fontId="3" fillId="0" borderId="0" xfId="0" applyFont="1"/>
    <xf numFmtId="0" fontId="5" fillId="0" borderId="0" xfId="0" applyFont="1"/>
    <xf numFmtId="165" fontId="3" fillId="0" borderId="0" xfId="0" applyNumberFormat="1" applyFont="1"/>
    <xf numFmtId="165" fontId="7" fillId="3" borderId="0" xfId="1" applyNumberFormat="1" applyFont="1" applyFill="1"/>
    <xf numFmtId="43" fontId="3" fillId="4" borderId="0" xfId="1" applyFont="1" applyFill="1"/>
    <xf numFmtId="0" fontId="4" fillId="0" borderId="0" xfId="0" applyFont="1"/>
    <xf numFmtId="0" fontId="3" fillId="0" borderId="2" xfId="0" applyFont="1" applyBorder="1" applyAlignment="1">
      <alignment vertical="center" wrapText="1"/>
    </xf>
    <xf numFmtId="0" fontId="2" fillId="2" borderId="1" xfId="0" applyFont="1" applyFill="1" applyBorder="1" applyAlignment="1">
      <alignment horizontal="right" vertical="center" wrapText="1"/>
    </xf>
    <xf numFmtId="0" fontId="8" fillId="2" borderId="2"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8" fillId="2" borderId="3" xfId="0" applyFont="1" applyFill="1" applyBorder="1" applyAlignment="1">
      <alignment horizontal="right" vertical="center" wrapText="1"/>
    </xf>
    <xf numFmtId="165" fontId="3" fillId="0" borderId="3" xfId="1" applyNumberFormat="1" applyFont="1" applyBorder="1" applyAlignment="1">
      <alignment horizontal="right" vertical="center" wrapText="1"/>
    </xf>
    <xf numFmtId="167" fontId="3" fillId="4" borderId="0" xfId="3" applyNumberFormat="1" applyFont="1" applyFill="1"/>
    <xf numFmtId="10" fontId="3" fillId="0" borderId="0" xfId="0" applyNumberFormat="1" applyFont="1"/>
    <xf numFmtId="0" fontId="3" fillId="4" borderId="0" xfId="3" applyNumberFormat="1" applyFont="1" applyFill="1"/>
    <xf numFmtId="10" fontId="3" fillId="4" borderId="0" xfId="3" applyNumberFormat="1" applyFont="1" applyFill="1"/>
    <xf numFmtId="14" fontId="7" fillId="3" borderId="0" xfId="1" applyNumberFormat="1" applyFont="1" applyFill="1"/>
    <xf numFmtId="0" fontId="0" fillId="0" borderId="0" xfId="0" applyAlignment="1">
      <alignment horizontal="center"/>
    </xf>
    <xf numFmtId="43" fontId="3" fillId="0" borderId="0" xfId="0" applyNumberFormat="1" applyFont="1"/>
    <xf numFmtId="10" fontId="0" fillId="0" borderId="0" xfId="0" applyNumberFormat="1"/>
    <xf numFmtId="0" fontId="10" fillId="0" borderId="0" xfId="0" applyFont="1"/>
    <xf numFmtId="165" fontId="4" fillId="0" borderId="0" xfId="0" applyNumberFormat="1" applyFont="1"/>
    <xf numFmtId="10" fontId="4" fillId="0" borderId="0" xfId="3" applyNumberFormat="1" applyFont="1"/>
    <xf numFmtId="10" fontId="9" fillId="0" borderId="0" xfId="0" applyNumberFormat="1" applyFont="1"/>
    <xf numFmtId="165" fontId="7" fillId="3" borderId="0" xfId="1" applyNumberFormat="1" applyFont="1" applyFill="1" applyAlignment="1">
      <alignment horizontal="right" wrapText="1"/>
    </xf>
    <xf numFmtId="165" fontId="0" fillId="0" borderId="6" xfId="1" applyNumberFormat="1" applyFont="1" applyBorder="1"/>
    <xf numFmtId="0" fontId="0" fillId="0" borderId="8" xfId="0" applyBorder="1"/>
    <xf numFmtId="0" fontId="0" fillId="0" borderId="10" xfId="0" applyBorder="1"/>
    <xf numFmtId="43" fontId="7" fillId="3" borderId="0" xfId="1" applyFont="1" applyFill="1" applyAlignment="1">
      <alignment horizontal="right"/>
    </xf>
    <xf numFmtId="10" fontId="7" fillId="4" borderId="0" xfId="3" applyNumberFormat="1" applyFont="1" applyFill="1"/>
    <xf numFmtId="43" fontId="3" fillId="6" borderId="0" xfId="0" applyNumberFormat="1" applyFont="1" applyFill="1"/>
    <xf numFmtId="0" fontId="3" fillId="0" borderId="1" xfId="0" applyFont="1" applyBorder="1"/>
    <xf numFmtId="169" fontId="3" fillId="0" borderId="7" xfId="0" applyNumberFormat="1" applyFont="1" applyBorder="1"/>
    <xf numFmtId="10" fontId="3" fillId="0" borderId="4" xfId="0" applyNumberFormat="1" applyFont="1" applyBorder="1"/>
    <xf numFmtId="0" fontId="3" fillId="0" borderId="12" xfId="0" applyFont="1" applyBorder="1"/>
    <xf numFmtId="0" fontId="3" fillId="0" borderId="2" xfId="0" applyFont="1" applyBorder="1"/>
    <xf numFmtId="10" fontId="3" fillId="0" borderId="11" xfId="3" applyNumberFormat="1" applyFont="1" applyBorder="1"/>
    <xf numFmtId="10" fontId="3" fillId="0" borderId="3" xfId="3" applyNumberFormat="1" applyFont="1" applyBorder="1"/>
    <xf numFmtId="165" fontId="3" fillId="0" borderId="0" xfId="1" applyNumberFormat="1" applyFont="1"/>
    <xf numFmtId="9" fontId="3" fillId="0" borderId="0" xfId="3" applyFont="1"/>
    <xf numFmtId="0" fontId="3" fillId="0" borderId="9" xfId="0" applyFont="1" applyBorder="1"/>
    <xf numFmtId="10" fontId="3" fillId="0" borderId="0" xfId="3" applyNumberFormat="1" applyFont="1" applyBorder="1"/>
    <xf numFmtId="0" fontId="3" fillId="3" borderId="0" xfId="0" applyFont="1" applyFill="1"/>
    <xf numFmtId="0" fontId="3" fillId="7" borderId="0" xfId="0" applyFont="1" applyFill="1"/>
    <xf numFmtId="0" fontId="3" fillId="7" borderId="9" xfId="0" applyFont="1" applyFill="1" applyBorder="1"/>
    <xf numFmtId="0" fontId="3" fillId="7" borderId="11" xfId="0" applyFont="1" applyFill="1" applyBorder="1"/>
    <xf numFmtId="0" fontId="3" fillId="7" borderId="3" xfId="0" applyFont="1" applyFill="1" applyBorder="1"/>
    <xf numFmtId="10" fontId="3" fillId="4" borderId="9" xfId="3" applyNumberFormat="1" applyFont="1" applyFill="1" applyBorder="1"/>
    <xf numFmtId="0" fontId="3" fillId="0" borderId="5" xfId="0" applyFont="1" applyBorder="1"/>
    <xf numFmtId="10" fontId="3" fillId="4" borderId="3" xfId="3" applyNumberFormat="1" applyFont="1" applyFill="1" applyBorder="1"/>
    <xf numFmtId="10" fontId="3" fillId="4" borderId="8" xfId="3" applyNumberFormat="1" applyFont="1" applyFill="1" applyBorder="1"/>
    <xf numFmtId="0" fontId="3" fillId="4" borderId="8" xfId="0" applyFont="1" applyFill="1" applyBorder="1"/>
    <xf numFmtId="0" fontId="3" fillId="4" borderId="9" xfId="0" applyFont="1" applyFill="1" applyBorder="1"/>
    <xf numFmtId="10" fontId="3" fillId="4" borderId="10" xfId="3" applyNumberFormat="1" applyFont="1" applyFill="1" applyBorder="1"/>
    <xf numFmtId="10" fontId="3" fillId="4" borderId="0" xfId="3" applyNumberFormat="1" applyFont="1" applyFill="1" applyBorder="1"/>
    <xf numFmtId="10" fontId="3" fillId="4" borderId="11" xfId="3" applyNumberFormat="1" applyFont="1" applyFill="1" applyBorder="1"/>
    <xf numFmtId="9" fontId="3" fillId="3" borderId="0" xfId="3" applyFont="1" applyFill="1" applyBorder="1"/>
    <xf numFmtId="9" fontId="3" fillId="3" borderId="9" xfId="3" applyFont="1" applyFill="1" applyBorder="1"/>
    <xf numFmtId="0" fontId="3" fillId="4" borderId="13" xfId="0" applyFont="1" applyFill="1" applyBorder="1"/>
    <xf numFmtId="165" fontId="3" fillId="4" borderId="14" xfId="0" applyNumberFormat="1" applyFont="1" applyFill="1" applyBorder="1"/>
    <xf numFmtId="165" fontId="3" fillId="4" borderId="15" xfId="0" applyNumberFormat="1" applyFont="1" applyFill="1" applyBorder="1"/>
    <xf numFmtId="0" fontId="3" fillId="4" borderId="6" xfId="0" applyFont="1" applyFill="1" applyBorder="1"/>
    <xf numFmtId="9" fontId="3" fillId="4" borderId="4" xfId="3" applyFont="1" applyFill="1" applyBorder="1"/>
    <xf numFmtId="9" fontId="3" fillId="4" borderId="9" xfId="3" applyFont="1" applyFill="1" applyBorder="1"/>
    <xf numFmtId="0" fontId="3" fillId="4" borderId="10" xfId="0" applyFont="1" applyFill="1" applyBorder="1"/>
    <xf numFmtId="9" fontId="3" fillId="4" borderId="3" xfId="3" applyFont="1" applyFill="1" applyBorder="1"/>
    <xf numFmtId="165" fontId="3" fillId="0" borderId="2" xfId="1" applyNumberFormat="1" applyFont="1" applyFill="1" applyBorder="1" applyAlignment="1">
      <alignment horizontal="right" vertical="center" wrapText="1"/>
    </xf>
    <xf numFmtId="165" fontId="3" fillId="0" borderId="0" xfId="1" applyNumberFormat="1" applyFont="1" applyFill="1" applyBorder="1" applyAlignment="1">
      <alignment horizontal="right" vertical="center" wrapText="1"/>
    </xf>
    <xf numFmtId="0" fontId="3" fillId="4" borderId="0" xfId="0" applyFont="1" applyFill="1"/>
    <xf numFmtId="165" fontId="3" fillId="4" borderId="0" xfId="0" applyNumberFormat="1" applyFont="1" applyFill="1"/>
    <xf numFmtId="43" fontId="3" fillId="6" borderId="0" xfId="1" applyFont="1" applyFill="1"/>
    <xf numFmtId="43" fontId="3" fillId="4" borderId="0" xfId="1" applyFont="1" applyFill="1" applyAlignment="1">
      <alignment wrapText="1"/>
    </xf>
    <xf numFmtId="166" fontId="3" fillId="4" borderId="0" xfId="3" applyNumberFormat="1" applyFont="1" applyFill="1"/>
    <xf numFmtId="2" fontId="3" fillId="4" borderId="0" xfId="0" applyNumberFormat="1" applyFont="1" applyFill="1"/>
    <xf numFmtId="43" fontId="3" fillId="4" borderId="0" xfId="0" applyNumberFormat="1" applyFont="1" applyFill="1"/>
    <xf numFmtId="165" fontId="7" fillId="4" borderId="0" xfId="1" applyNumberFormat="1" applyFont="1" applyFill="1" applyAlignment="1">
      <alignment horizontal="right" wrapText="1"/>
    </xf>
    <xf numFmtId="0" fontId="15" fillId="0" borderId="0" xfId="4" applyFont="1" applyAlignment="1">
      <alignment vertical="top" wrapText="1"/>
    </xf>
    <xf numFmtId="0" fontId="14" fillId="0" borderId="0" xfId="4"/>
    <xf numFmtId="0" fontId="14" fillId="0" borderId="0" xfId="4" applyAlignment="1">
      <alignment vertical="top" wrapText="1"/>
    </xf>
    <xf numFmtId="0" fontId="16" fillId="0" borderId="0" xfId="4" applyFont="1"/>
    <xf numFmtId="14" fontId="14" fillId="0" borderId="0" xfId="4" applyNumberFormat="1" applyAlignment="1">
      <alignment horizontal="left" vertical="top" wrapText="1"/>
    </xf>
    <xf numFmtId="0" fontId="17" fillId="0" borderId="0" xfId="4" applyFont="1" applyAlignment="1">
      <alignment vertical="top" wrapText="1"/>
    </xf>
    <xf numFmtId="0" fontId="14" fillId="0" borderId="0" xfId="4" applyAlignment="1">
      <alignment horizontal="left" vertical="center" indent="2"/>
    </xf>
    <xf numFmtId="0" fontId="14" fillId="0" borderId="0" xfId="4" quotePrefix="1" applyAlignment="1">
      <alignment horizontal="left" vertical="center" indent="2"/>
    </xf>
    <xf numFmtId="0" fontId="14" fillId="0" borderId="0" xfId="4" applyAlignment="1">
      <alignment vertical="top"/>
    </xf>
    <xf numFmtId="168" fontId="7" fillId="4" borderId="0" xfId="1" applyNumberFormat="1" applyFont="1" applyFill="1"/>
    <xf numFmtId="0" fontId="19" fillId="8" borderId="17" xfId="0" applyFont="1" applyFill="1" applyBorder="1" applyAlignment="1">
      <alignment horizontal="center" vertical="center" wrapText="1" readingOrder="1"/>
    </xf>
    <xf numFmtId="0" fontId="19" fillId="8" borderId="18" xfId="0" applyFont="1" applyFill="1" applyBorder="1" applyAlignment="1">
      <alignment horizontal="center" vertical="center" wrapText="1" readingOrder="1"/>
    </xf>
    <xf numFmtId="0" fontId="19" fillId="8" borderId="0" xfId="0" applyFont="1" applyFill="1" applyAlignment="1">
      <alignment horizontal="center" vertical="center" wrapText="1" readingOrder="1"/>
    </xf>
    <xf numFmtId="9" fontId="20" fillId="0" borderId="20" xfId="0" applyNumberFormat="1" applyFont="1" applyBorder="1" applyAlignment="1">
      <alignment horizontal="center" vertical="center" wrapText="1" readingOrder="1"/>
    </xf>
    <xf numFmtId="0" fontId="22" fillId="0" borderId="0" xfId="0" applyFont="1" applyAlignment="1">
      <alignment horizontal="center" vertical="center" wrapText="1" readingOrder="1"/>
    </xf>
    <xf numFmtId="9" fontId="20" fillId="0" borderId="19" xfId="0" applyNumberFormat="1" applyFont="1" applyBorder="1" applyAlignment="1">
      <alignment horizontal="center" vertical="center" wrapText="1" readingOrder="1"/>
    </xf>
    <xf numFmtId="0" fontId="19" fillId="8" borderId="21" xfId="0" applyFont="1" applyFill="1" applyBorder="1" applyAlignment="1">
      <alignment horizontal="center" vertical="center" wrapText="1" readingOrder="1"/>
    </xf>
    <xf numFmtId="0" fontId="19" fillId="8" borderId="22" xfId="0" applyFont="1" applyFill="1" applyBorder="1" applyAlignment="1">
      <alignment horizontal="center" vertical="center" wrapText="1" readingOrder="1"/>
    </xf>
    <xf numFmtId="0" fontId="22" fillId="0" borderId="6" xfId="0" applyFont="1" applyBorder="1" applyAlignment="1">
      <alignment horizontal="center" vertical="center" wrapText="1" readingOrder="1"/>
    </xf>
    <xf numFmtId="0" fontId="22" fillId="0" borderId="7" xfId="0" applyFont="1" applyBorder="1" applyAlignment="1">
      <alignment horizontal="center" vertical="center" wrapText="1" readingOrder="1"/>
    </xf>
    <xf numFmtId="0" fontId="22" fillId="0" borderId="8" xfId="0" applyFont="1" applyBorder="1" applyAlignment="1">
      <alignment horizontal="center" vertical="center" wrapText="1" readingOrder="1"/>
    </xf>
    <xf numFmtId="0" fontId="22" fillId="0" borderId="10" xfId="0" applyFont="1" applyBorder="1" applyAlignment="1">
      <alignment horizontal="center" vertical="center" wrapText="1" readingOrder="1"/>
    </xf>
    <xf numFmtId="0" fontId="22" fillId="0" borderId="11" xfId="0" applyFont="1" applyBorder="1" applyAlignment="1">
      <alignment horizontal="center" vertical="center" wrapText="1" readingOrder="1"/>
    </xf>
    <xf numFmtId="10" fontId="7" fillId="9" borderId="0" xfId="0" applyNumberFormat="1" applyFont="1" applyFill="1" applyAlignment="1">
      <alignment horizontal="right"/>
    </xf>
    <xf numFmtId="10" fontId="7" fillId="0" borderId="0" xfId="0" applyNumberFormat="1" applyFont="1" applyAlignment="1">
      <alignment horizontal="center"/>
    </xf>
    <xf numFmtId="0" fontId="3" fillId="0" borderId="0" xfId="0" applyFont="1" applyAlignment="1">
      <alignment horizontal="left"/>
    </xf>
    <xf numFmtId="9" fontId="7" fillId="0" borderId="0" xfId="0" applyNumberFormat="1" applyFont="1" applyAlignment="1">
      <alignment horizontal="center"/>
    </xf>
    <xf numFmtId="169" fontId="0" fillId="5" borderId="4" xfId="3" applyNumberFormat="1" applyFont="1" applyFill="1" applyBorder="1"/>
    <xf numFmtId="169" fontId="0" fillId="5" borderId="9" xfId="3" applyNumberFormat="1" applyFont="1" applyFill="1" applyBorder="1"/>
    <xf numFmtId="169" fontId="0" fillId="5" borderId="3" xfId="3" applyNumberFormat="1" applyFont="1" applyFill="1" applyBorder="1"/>
    <xf numFmtId="9" fontId="3" fillId="0" borderId="0" xfId="3" applyFont="1" applyFill="1" applyBorder="1"/>
    <xf numFmtId="10" fontId="0" fillId="4" borderId="8" xfId="3" applyNumberFormat="1" applyFont="1" applyFill="1" applyBorder="1"/>
    <xf numFmtId="10" fontId="3" fillId="9" borderId="0" xfId="0" applyNumberFormat="1" applyFont="1" applyFill="1"/>
    <xf numFmtId="0" fontId="3" fillId="0" borderId="6" xfId="0" applyFont="1" applyBorder="1"/>
    <xf numFmtId="0" fontId="3" fillId="0" borderId="8" xfId="0" applyFont="1" applyBorder="1"/>
    <xf numFmtId="0" fontId="3" fillId="0" borderId="10" xfId="0" applyFont="1" applyBorder="1"/>
    <xf numFmtId="0" fontId="5" fillId="0" borderId="13" xfId="0" applyFont="1" applyBorder="1"/>
    <xf numFmtId="0" fontId="5" fillId="0" borderId="14" xfId="0" applyFont="1" applyBorder="1"/>
    <xf numFmtId="0" fontId="5" fillId="0" borderId="15" xfId="0" applyFont="1" applyBorder="1"/>
    <xf numFmtId="10" fontId="7" fillId="4" borderId="0" xfId="0" applyNumberFormat="1" applyFont="1" applyFill="1" applyAlignment="1">
      <alignment horizontal="center"/>
    </xf>
    <xf numFmtId="10" fontId="7" fillId="4" borderId="9" xfId="0" applyNumberFormat="1" applyFont="1" applyFill="1" applyBorder="1" applyAlignment="1">
      <alignment horizontal="center"/>
    </xf>
    <xf numFmtId="10" fontId="7" fillId="7" borderId="0" xfId="0" applyNumberFormat="1" applyFont="1" applyFill="1" applyAlignment="1">
      <alignment horizontal="center"/>
    </xf>
    <xf numFmtId="10" fontId="7" fillId="7" borderId="11" xfId="0" applyNumberFormat="1" applyFont="1" applyFill="1" applyBorder="1" applyAlignment="1">
      <alignment horizontal="center"/>
    </xf>
    <xf numFmtId="10" fontId="7" fillId="4" borderId="11" xfId="0" applyNumberFormat="1" applyFont="1" applyFill="1" applyBorder="1" applyAlignment="1">
      <alignment horizontal="center"/>
    </xf>
    <xf numFmtId="10" fontId="7" fillId="4" borderId="3" xfId="0" applyNumberFormat="1" applyFont="1" applyFill="1" applyBorder="1" applyAlignment="1">
      <alignment horizontal="center"/>
    </xf>
    <xf numFmtId="0" fontId="11" fillId="0" borderId="6" xfId="0" applyFont="1" applyBorder="1"/>
    <xf numFmtId="0" fontId="10" fillId="0" borderId="7" xfId="0" applyFont="1" applyBorder="1" applyAlignment="1">
      <alignment horizontal="center"/>
    </xf>
    <xf numFmtId="0" fontId="10" fillId="0" borderId="4" xfId="0" applyFont="1" applyBorder="1"/>
    <xf numFmtId="0" fontId="18" fillId="10" borderId="0" xfId="0" applyFont="1" applyFill="1" applyProtection="1">
      <protection locked="0"/>
    </xf>
    <xf numFmtId="0" fontId="25" fillId="0" borderId="23" xfId="6" applyFont="1" applyBorder="1" applyAlignment="1">
      <alignment vertical="center"/>
    </xf>
    <xf numFmtId="0" fontId="25" fillId="0" borderId="23" xfId="6" applyFont="1" applyBorder="1" applyAlignment="1">
      <alignment vertical="center" wrapText="1"/>
    </xf>
    <xf numFmtId="0" fontId="0" fillId="3" borderId="23" xfId="0" applyFill="1" applyBorder="1"/>
    <xf numFmtId="0" fontId="26" fillId="0" borderId="0" xfId="6" applyFont="1" applyAlignment="1">
      <alignment horizontal="center" vertical="center"/>
    </xf>
    <xf numFmtId="0" fontId="25" fillId="0" borderId="0" xfId="6" applyFont="1" applyAlignment="1">
      <alignment vertical="center" wrapText="1"/>
    </xf>
    <xf numFmtId="0" fontId="0" fillId="0" borderId="23" xfId="0" applyBorder="1" applyAlignment="1">
      <alignment wrapText="1"/>
    </xf>
    <xf numFmtId="0" fontId="0" fillId="0" borderId="23"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vertical="top" wrapText="1"/>
    </xf>
    <xf numFmtId="0" fontId="0" fillId="4" borderId="23" xfId="0" applyFill="1" applyBorder="1"/>
    <xf numFmtId="0" fontId="0" fillId="9" borderId="23" xfId="0" applyFill="1" applyBorder="1"/>
    <xf numFmtId="0" fontId="0" fillId="12" borderId="23" xfId="0" applyFill="1" applyBorder="1"/>
    <xf numFmtId="0" fontId="0" fillId="6" borderId="23" xfId="0" applyFill="1" applyBorder="1"/>
    <xf numFmtId="0" fontId="0" fillId="0" borderId="23" xfId="0" applyBorder="1"/>
    <xf numFmtId="10" fontId="22" fillId="12" borderId="7" xfId="0" applyNumberFormat="1" applyFont="1" applyFill="1" applyBorder="1" applyAlignment="1">
      <alignment horizontal="center" vertical="center" wrapText="1" readingOrder="1"/>
    </xf>
    <xf numFmtId="9" fontId="22" fillId="12" borderId="7" xfId="0" applyNumberFormat="1" applyFont="1" applyFill="1" applyBorder="1" applyAlignment="1">
      <alignment horizontal="center" vertical="center" wrapText="1" readingOrder="1"/>
    </xf>
    <xf numFmtId="9" fontId="22" fillId="12" borderId="4" xfId="0" applyNumberFormat="1" applyFont="1" applyFill="1" applyBorder="1" applyAlignment="1">
      <alignment horizontal="center" vertical="center" wrapText="1" readingOrder="1"/>
    </xf>
    <xf numFmtId="10" fontId="22" fillId="12" borderId="0" xfId="0" applyNumberFormat="1" applyFont="1" applyFill="1" applyAlignment="1">
      <alignment horizontal="center" vertical="center" wrapText="1" readingOrder="1"/>
    </xf>
    <xf numFmtId="9" fontId="22" fillId="12" borderId="0" xfId="0" applyNumberFormat="1" applyFont="1" applyFill="1" applyAlignment="1">
      <alignment horizontal="center" vertical="center" wrapText="1" readingOrder="1"/>
    </xf>
    <xf numFmtId="9" fontId="22" fillId="12" borderId="9" xfId="0" applyNumberFormat="1" applyFont="1" applyFill="1" applyBorder="1" applyAlignment="1">
      <alignment horizontal="center" vertical="center" wrapText="1" readingOrder="1"/>
    </xf>
    <xf numFmtId="10" fontId="22" fillId="12" borderId="11" xfId="0" applyNumberFormat="1" applyFont="1" applyFill="1" applyBorder="1" applyAlignment="1">
      <alignment horizontal="center" vertical="center" wrapText="1" readingOrder="1"/>
    </xf>
    <xf numFmtId="10" fontId="7" fillId="12" borderId="7" xfId="0" applyNumberFormat="1" applyFont="1" applyFill="1" applyBorder="1" applyAlignment="1">
      <alignment horizontal="center"/>
    </xf>
    <xf numFmtId="10" fontId="7" fillId="12" borderId="4" xfId="0" applyNumberFormat="1" applyFont="1" applyFill="1" applyBorder="1" applyAlignment="1">
      <alignment horizontal="center"/>
    </xf>
    <xf numFmtId="10" fontId="7" fillId="12" borderId="0" xfId="0" applyNumberFormat="1" applyFont="1" applyFill="1" applyAlignment="1">
      <alignment horizontal="center"/>
    </xf>
    <xf numFmtId="10" fontId="7" fillId="12" borderId="9" xfId="0" applyNumberFormat="1" applyFont="1" applyFill="1" applyBorder="1" applyAlignment="1">
      <alignment horizontal="center"/>
    </xf>
    <xf numFmtId="10" fontId="7" fillId="12" borderId="11" xfId="0" applyNumberFormat="1" applyFont="1" applyFill="1" applyBorder="1" applyAlignment="1">
      <alignment horizontal="center"/>
    </xf>
    <xf numFmtId="10" fontId="7" fillId="12" borderId="3" xfId="0" applyNumberFormat="1" applyFont="1" applyFill="1" applyBorder="1" applyAlignment="1">
      <alignment horizontal="center"/>
    </xf>
    <xf numFmtId="0" fontId="25" fillId="0" borderId="0" xfId="6" applyFont="1" applyAlignment="1">
      <alignment vertical="center"/>
    </xf>
    <xf numFmtId="9" fontId="0" fillId="0" borderId="0" xfId="3" applyFont="1" applyBorder="1"/>
    <xf numFmtId="10" fontId="0" fillId="4" borderId="0" xfId="3" applyNumberFormat="1" applyFont="1" applyFill="1" applyBorder="1"/>
    <xf numFmtId="0" fontId="0" fillId="4" borderId="0" xfId="3" applyNumberFormat="1" applyFont="1" applyFill="1" applyBorder="1"/>
    <xf numFmtId="172" fontId="10" fillId="11" borderId="23" xfId="0" applyNumberFormat="1" applyFont="1" applyFill="1" applyBorder="1" applyAlignment="1">
      <alignment horizontal="left" vertical="center"/>
    </xf>
    <xf numFmtId="0" fontId="27" fillId="11" borderId="23" xfId="0" applyFont="1" applyFill="1" applyBorder="1" applyAlignment="1">
      <alignment horizontal="left" vertical="center" indent="3"/>
    </xf>
    <xf numFmtId="0" fontId="25" fillId="0" borderId="0" xfId="0" applyFont="1"/>
    <xf numFmtId="0" fontId="29" fillId="11" borderId="23" xfId="5" applyFont="1" applyFill="1" applyBorder="1" applyAlignment="1" applyProtection="1">
      <alignment vertical="center"/>
    </xf>
    <xf numFmtId="0" fontId="3" fillId="0" borderId="0" xfId="0" applyFont="1" applyAlignment="1">
      <alignment wrapText="1"/>
    </xf>
    <xf numFmtId="9" fontId="3" fillId="3" borderId="0" xfId="0" applyNumberFormat="1" applyFont="1" applyFill="1"/>
    <xf numFmtId="165" fontId="3" fillId="7" borderId="0" xfId="0" applyNumberFormat="1" applyFont="1" applyFill="1"/>
    <xf numFmtId="168" fontId="3" fillId="6" borderId="0" xfId="0" applyNumberFormat="1" applyFont="1" applyFill="1" applyAlignment="1">
      <alignment horizontal="right"/>
    </xf>
    <xf numFmtId="168" fontId="3" fillId="4" borderId="0" xfId="0" applyNumberFormat="1" applyFont="1" applyFill="1" applyAlignment="1">
      <alignment horizontal="right"/>
    </xf>
    <xf numFmtId="0" fontId="0" fillId="7" borderId="23" xfId="0" applyFill="1" applyBorder="1"/>
    <xf numFmtId="173" fontId="3" fillId="0" borderId="3" xfId="1" applyNumberFormat="1" applyFont="1" applyFill="1" applyBorder="1" applyAlignment="1">
      <alignment horizontal="right" vertical="center" wrapText="1"/>
    </xf>
    <xf numFmtId="173" fontId="3" fillId="0" borderId="12" xfId="1" applyNumberFormat="1" applyFont="1" applyFill="1" applyBorder="1" applyAlignment="1">
      <alignment horizontal="right" vertical="center" wrapText="1"/>
    </xf>
    <xf numFmtId="173" fontId="3" fillId="0" borderId="3" xfId="1" applyNumberFormat="1" applyFont="1" applyBorder="1" applyAlignment="1">
      <alignment horizontal="right" vertical="center" wrapText="1"/>
    </xf>
    <xf numFmtId="0" fontId="5" fillId="0" borderId="15" xfId="0" applyFont="1" applyBorder="1" applyAlignment="1">
      <alignment wrapText="1"/>
    </xf>
    <xf numFmtId="165" fontId="4" fillId="4" borderId="0" xfId="1" applyNumberFormat="1" applyFont="1" applyFill="1" applyAlignment="1">
      <alignment horizontal="right"/>
    </xf>
    <xf numFmtId="0" fontId="24" fillId="0" borderId="0" xfId="5"/>
    <xf numFmtId="10" fontId="0" fillId="9" borderId="0" xfId="3" applyNumberFormat="1" applyFont="1" applyFill="1" applyBorder="1" applyAlignment="1">
      <alignment horizontal="center"/>
    </xf>
    <xf numFmtId="10" fontId="0" fillId="9" borderId="11" xfId="0" applyNumberFormat="1" applyFill="1" applyBorder="1" applyAlignment="1">
      <alignment horizontal="center"/>
    </xf>
    <xf numFmtId="10" fontId="0" fillId="9" borderId="7" xfId="0" applyNumberFormat="1" applyFill="1" applyBorder="1" applyAlignment="1">
      <alignment horizontal="center"/>
    </xf>
    <xf numFmtId="10" fontId="6" fillId="12" borderId="9" xfId="0" applyNumberFormat="1" applyFont="1" applyFill="1" applyBorder="1" applyAlignment="1">
      <alignment horizontal="center" vertical="center"/>
    </xf>
    <xf numFmtId="10" fontId="6" fillId="12" borderId="3" xfId="0" applyNumberFormat="1" applyFont="1" applyFill="1" applyBorder="1" applyAlignment="1">
      <alignment horizontal="center" vertical="center"/>
    </xf>
    <xf numFmtId="14" fontId="25" fillId="0" borderId="23" xfId="6" applyNumberFormat="1" applyFont="1" applyBorder="1" applyAlignment="1">
      <alignment vertical="center"/>
    </xf>
    <xf numFmtId="0" fontId="19" fillId="8" borderId="16" xfId="0" applyFont="1" applyFill="1" applyBorder="1" applyAlignment="1">
      <alignment vertical="center" wrapText="1" readingOrder="1"/>
    </xf>
    <xf numFmtId="10" fontId="3" fillId="5" borderId="2" xfId="3" applyNumberFormat="1" applyFont="1" applyFill="1" applyBorder="1"/>
    <xf numFmtId="165" fontId="5" fillId="0" borderId="13" xfId="0" applyNumberFormat="1" applyFont="1" applyBorder="1"/>
    <xf numFmtId="0" fontId="5" fillId="0" borderId="14" xfId="0" applyFont="1" applyBorder="1" applyAlignment="1">
      <alignment wrapText="1"/>
    </xf>
    <xf numFmtId="0" fontId="5" fillId="0" borderId="12" xfId="0" applyFont="1" applyBorder="1" applyAlignment="1">
      <alignment wrapText="1"/>
    </xf>
    <xf numFmtId="0" fontId="25" fillId="0" borderId="23" xfId="0" applyFont="1" applyBorder="1" applyAlignment="1">
      <alignment vertical="center" wrapText="1"/>
    </xf>
    <xf numFmtId="166" fontId="3" fillId="0" borderId="0" xfId="3" applyNumberFormat="1" applyFont="1" applyFill="1" applyBorder="1"/>
    <xf numFmtId="10" fontId="3" fillId="3" borderId="0" xfId="0" applyNumberFormat="1" applyFont="1" applyFill="1"/>
    <xf numFmtId="0" fontId="10" fillId="0" borderId="15" xfId="0" applyFont="1" applyBorder="1" applyAlignment="1">
      <alignment horizontal="center"/>
    </xf>
    <xf numFmtId="0" fontId="10" fillId="0" borderId="12" xfId="0" applyFont="1" applyBorder="1" applyAlignment="1">
      <alignment horizontal="center"/>
    </xf>
    <xf numFmtId="166" fontId="3" fillId="0" borderId="0" xfId="3" applyNumberFormat="1" applyFont="1" applyFill="1" applyAlignment="1">
      <alignment wrapText="1"/>
    </xf>
    <xf numFmtId="174" fontId="0" fillId="0" borderId="0" xfId="0" applyNumberFormat="1"/>
    <xf numFmtId="14" fontId="25" fillId="0" borderId="23" xfId="6" applyNumberFormat="1" applyFont="1" applyBorder="1" applyAlignment="1">
      <alignment vertical="center" wrapText="1"/>
    </xf>
    <xf numFmtId="2" fontId="3" fillId="0" borderId="0" xfId="3" applyNumberFormat="1" applyFont="1" applyFill="1" applyAlignment="1">
      <alignment wrapText="1"/>
    </xf>
    <xf numFmtId="10" fontId="3" fillId="9" borderId="14" xfId="0" applyNumberFormat="1" applyFont="1" applyFill="1" applyBorder="1" applyAlignment="1">
      <alignment horizontal="center"/>
    </xf>
    <xf numFmtId="10" fontId="3" fillId="9" borderId="15" xfId="0" applyNumberFormat="1" applyFont="1" applyFill="1" applyBorder="1" applyAlignment="1">
      <alignment horizontal="center"/>
    </xf>
    <xf numFmtId="9" fontId="25" fillId="12" borderId="2" xfId="3" applyFont="1" applyFill="1" applyBorder="1" applyAlignment="1">
      <alignment horizontal="center"/>
    </xf>
    <xf numFmtId="9" fontId="25" fillId="12" borderId="12" xfId="0" applyNumberFormat="1" applyFont="1" applyFill="1" applyBorder="1" applyAlignment="1">
      <alignment horizontal="center"/>
    </xf>
    <xf numFmtId="0" fontId="0" fillId="0" borderId="12" xfId="0" applyBorder="1"/>
    <xf numFmtId="175" fontId="0" fillId="4" borderId="0" xfId="3" applyNumberFormat="1" applyFont="1" applyFill="1" applyBorder="1"/>
    <xf numFmtId="173" fontId="0" fillId="0" borderId="0" xfId="0" applyNumberFormat="1"/>
    <xf numFmtId="9" fontId="0" fillId="0" borderId="0" xfId="0" applyNumberFormat="1"/>
    <xf numFmtId="3" fontId="0" fillId="0" borderId="0" xfId="0" applyNumberFormat="1"/>
    <xf numFmtId="0" fontId="0" fillId="0" borderId="0" xfId="0" quotePrefix="1"/>
    <xf numFmtId="0" fontId="10" fillId="0" borderId="23" xfId="0" applyFont="1" applyBorder="1"/>
    <xf numFmtId="10" fontId="0" fillId="4" borderId="23" xfId="3" applyNumberFormat="1" applyFont="1" applyFill="1" applyBorder="1"/>
    <xf numFmtId="175" fontId="0" fillId="4" borderId="23" xfId="3" applyNumberFormat="1" applyFont="1" applyFill="1" applyBorder="1"/>
    <xf numFmtId="0" fontId="24" fillId="11" borderId="23" xfId="5" applyFill="1" applyBorder="1" applyAlignment="1" applyProtection="1">
      <alignment vertical="center"/>
    </xf>
    <xf numFmtId="10" fontId="0" fillId="9" borderId="4" xfId="0" applyNumberFormat="1" applyFill="1" applyBorder="1" applyAlignment="1">
      <alignment horizontal="center"/>
    </xf>
    <xf numFmtId="0" fontId="10" fillId="0" borderId="8" xfId="0" applyFont="1" applyBorder="1"/>
    <xf numFmtId="10" fontId="0" fillId="9" borderId="9" xfId="0" applyNumberFormat="1" applyFill="1" applyBorder="1" applyAlignment="1">
      <alignment horizontal="center"/>
    </xf>
    <xf numFmtId="0" fontId="10" fillId="0" borderId="10" xfId="0" applyFont="1" applyBorder="1"/>
    <xf numFmtId="10" fontId="0" fillId="9" borderId="3" xfId="0" applyNumberFormat="1" applyFill="1" applyBorder="1" applyAlignment="1">
      <alignment horizontal="center"/>
    </xf>
    <xf numFmtId="0" fontId="10" fillId="0" borderId="6" xfId="0" applyFont="1" applyBorder="1" applyAlignment="1">
      <alignment horizontal="left"/>
    </xf>
    <xf numFmtId="0" fontId="10" fillId="0" borderId="4" xfId="0" applyFont="1" applyBorder="1" applyAlignment="1">
      <alignment horizontal="center"/>
    </xf>
    <xf numFmtId="164" fontId="3" fillId="0" borderId="0" xfId="0" applyNumberFormat="1" applyFont="1"/>
    <xf numFmtId="10" fontId="3" fillId="4" borderId="0" xfId="3" applyNumberFormat="1" applyFont="1" applyFill="1" applyAlignment="1">
      <alignment wrapText="1"/>
    </xf>
    <xf numFmtId="167" fontId="3" fillId="4" borderId="0" xfId="3" applyNumberFormat="1" applyFont="1" applyFill="1" applyAlignment="1">
      <alignment wrapText="1"/>
    </xf>
    <xf numFmtId="0" fontId="3" fillId="3" borderId="12" xfId="0" applyFont="1" applyFill="1" applyBorder="1"/>
    <xf numFmtId="10" fontId="7" fillId="9" borderId="0" xfId="0" applyNumberFormat="1" applyFont="1" applyFill="1"/>
    <xf numFmtId="0" fontId="30" fillId="0" borderId="0" xfId="0" applyFont="1"/>
    <xf numFmtId="0" fontId="3" fillId="0" borderId="0" xfId="0" applyFont="1" applyAlignment="1">
      <alignment horizontal="right" wrapText="1"/>
    </xf>
    <xf numFmtId="1" fontId="7" fillId="9" borderId="0" xfId="0" applyNumberFormat="1" applyFont="1" applyFill="1" applyAlignment="1">
      <alignment horizontal="right"/>
    </xf>
    <xf numFmtId="0" fontId="10" fillId="0" borderId="0" xfId="0" applyFont="1" applyAlignment="1">
      <alignment wrapText="1"/>
    </xf>
    <xf numFmtId="175" fontId="0" fillId="4" borderId="0" xfId="3" applyNumberFormat="1" applyFont="1" applyFill="1" applyBorder="1" applyAlignment="1">
      <alignment horizontal="right"/>
    </xf>
    <xf numFmtId="43" fontId="3" fillId="0" borderId="0" xfId="0" applyNumberFormat="1" applyFont="1" applyAlignment="1">
      <alignment horizontal="right" wrapText="1"/>
    </xf>
    <xf numFmtId="0" fontId="3" fillId="0" borderId="24" xfId="0" applyFont="1" applyBorder="1"/>
    <xf numFmtId="0" fontId="3" fillId="0" borderId="25" xfId="0" applyFont="1" applyBorder="1"/>
    <xf numFmtId="165" fontId="7" fillId="3" borderId="26" xfId="1" applyNumberFormat="1" applyFont="1" applyFill="1" applyBorder="1" applyAlignment="1">
      <alignment horizontal="right" wrapText="1"/>
    </xf>
    <xf numFmtId="170" fontId="7" fillId="3" borderId="26" xfId="1" applyNumberFormat="1" applyFont="1" applyFill="1" applyBorder="1" applyAlignment="1">
      <alignment horizontal="right" wrapText="1"/>
    </xf>
    <xf numFmtId="9" fontId="7" fillId="3" borderId="26" xfId="3" applyFont="1" applyFill="1" applyBorder="1" applyAlignment="1">
      <alignment horizontal="right"/>
    </xf>
    <xf numFmtId="170" fontId="7" fillId="4" borderId="26" xfId="1" applyNumberFormat="1" applyFont="1" applyFill="1" applyBorder="1" applyAlignment="1">
      <alignment horizontal="right"/>
    </xf>
    <xf numFmtId="165" fontId="7" fillId="3" borderId="26" xfId="1" applyNumberFormat="1" applyFont="1" applyFill="1" applyBorder="1" applyAlignment="1">
      <alignment horizontal="right"/>
    </xf>
    <xf numFmtId="0" fontId="3" fillId="0" borderId="27" xfId="0" applyFont="1" applyBorder="1"/>
    <xf numFmtId="0" fontId="3" fillId="4" borderId="26" xfId="3" applyNumberFormat="1" applyFont="1" applyFill="1" applyBorder="1"/>
    <xf numFmtId="165" fontId="7" fillId="3" borderId="26" xfId="1" applyNumberFormat="1" applyFont="1" applyFill="1" applyBorder="1"/>
    <xf numFmtId="9" fontId="7" fillId="3" borderId="28" xfId="3" applyFont="1" applyFill="1" applyBorder="1" applyAlignment="1">
      <alignment horizontal="right"/>
    </xf>
    <xf numFmtId="169" fontId="3" fillId="0" borderId="0" xfId="0" applyNumberFormat="1" applyFont="1"/>
    <xf numFmtId="10" fontId="3" fillId="0" borderId="9" xfId="0" applyNumberFormat="1" applyFont="1" applyBorder="1"/>
    <xf numFmtId="0" fontId="0" fillId="0" borderId="0" xfId="0" applyAlignment="1">
      <alignment horizontal="right"/>
    </xf>
    <xf numFmtId="165" fontId="3" fillId="4" borderId="3" xfId="1" applyNumberFormat="1" applyFont="1" applyFill="1" applyBorder="1" applyAlignment="1">
      <alignment horizontal="right" vertical="center" wrapText="1"/>
    </xf>
    <xf numFmtId="9" fontId="3" fillId="0" borderId="0" xfId="0" applyNumberFormat="1" applyFont="1"/>
    <xf numFmtId="167" fontId="25" fillId="12" borderId="12" xfId="0" applyNumberFormat="1" applyFont="1" applyFill="1" applyBorder="1" applyAlignment="1">
      <alignment horizontal="center"/>
    </xf>
    <xf numFmtId="9" fontId="22" fillId="12" borderId="11" xfId="0" applyNumberFormat="1" applyFont="1" applyFill="1" applyBorder="1" applyAlignment="1">
      <alignment horizontal="center" vertical="center" wrapText="1" readingOrder="1"/>
    </xf>
    <xf numFmtId="9" fontId="22" fillId="12" borderId="3" xfId="0" applyNumberFormat="1" applyFont="1" applyFill="1" applyBorder="1" applyAlignment="1">
      <alignment horizontal="center" vertical="center" wrapText="1" readingOrder="1"/>
    </xf>
    <xf numFmtId="0" fontId="31" fillId="0" borderId="0" xfId="0" applyFont="1"/>
    <xf numFmtId="0" fontId="7" fillId="3" borderId="26" xfId="1" applyNumberFormat="1" applyFont="1" applyFill="1" applyBorder="1" applyAlignment="1">
      <alignment horizontal="right"/>
    </xf>
    <xf numFmtId="14" fontId="3" fillId="0" borderId="0" xfId="0" applyNumberFormat="1" applyFont="1"/>
    <xf numFmtId="3" fontId="3" fillId="0" borderId="0" xfId="0" applyNumberFormat="1" applyFont="1"/>
    <xf numFmtId="3" fontId="3" fillId="4" borderId="28" xfId="3" applyNumberFormat="1" applyFont="1" applyFill="1" applyBorder="1"/>
    <xf numFmtId="0" fontId="25" fillId="0" borderId="23" xfId="6" quotePrefix="1" applyFont="1" applyBorder="1" applyAlignment="1">
      <alignment vertical="center" wrapText="1"/>
    </xf>
    <xf numFmtId="0" fontId="32" fillId="0" borderId="0" xfId="0" applyFont="1" applyAlignment="1">
      <alignment horizontal="center" wrapText="1"/>
    </xf>
    <xf numFmtId="170" fontId="10" fillId="0" borderId="6" xfId="0" applyNumberFormat="1" applyFont="1" applyBorder="1" applyAlignment="1">
      <alignment horizontal="left"/>
    </xf>
    <xf numFmtId="170" fontId="10" fillId="0" borderId="8" xfId="0" applyNumberFormat="1" applyFont="1" applyBorder="1" applyAlignment="1">
      <alignment horizontal="left"/>
    </xf>
    <xf numFmtId="170" fontId="10" fillId="0" borderId="10" xfId="0" applyNumberFormat="1" applyFont="1" applyBorder="1" applyAlignment="1">
      <alignment horizontal="left"/>
    </xf>
    <xf numFmtId="0" fontId="33" fillId="0" borderId="0" xfId="0" applyFont="1"/>
    <xf numFmtId="0" fontId="19" fillId="8" borderId="16" xfId="0" applyFont="1" applyFill="1" applyBorder="1" applyAlignment="1">
      <alignment horizontal="center" vertical="center" wrapText="1" readingOrder="1"/>
    </xf>
    <xf numFmtId="0" fontId="32" fillId="0" borderId="13" xfId="0" applyFont="1" applyBorder="1" applyAlignment="1">
      <alignment horizontal="center" wrapText="1"/>
    </xf>
    <xf numFmtId="0" fontId="32" fillId="0" borderId="14" xfId="0" applyFont="1" applyBorder="1" applyAlignment="1">
      <alignment horizontal="center" wrapText="1"/>
    </xf>
    <xf numFmtId="0" fontId="32" fillId="0" borderId="15" xfId="0" applyFont="1" applyBorder="1" applyAlignment="1">
      <alignment horizontal="center" wrapText="1"/>
    </xf>
    <xf numFmtId="0" fontId="2"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165" fontId="23" fillId="0" borderId="6" xfId="0" applyNumberFormat="1" applyFont="1" applyBorder="1" applyAlignment="1">
      <alignment horizontal="center"/>
    </xf>
    <xf numFmtId="165" fontId="23" fillId="0" borderId="7" xfId="0" applyNumberFormat="1" applyFont="1" applyBorder="1" applyAlignment="1">
      <alignment horizontal="center"/>
    </xf>
    <xf numFmtId="165" fontId="23" fillId="0" borderId="4" xfId="0" applyNumberFormat="1" applyFont="1" applyBorder="1" applyAlignment="1">
      <alignment horizontal="center"/>
    </xf>
    <xf numFmtId="165" fontId="23" fillId="0" borderId="10" xfId="0" applyNumberFormat="1" applyFont="1" applyBorder="1" applyAlignment="1">
      <alignment horizontal="center"/>
    </xf>
    <xf numFmtId="165" fontId="23" fillId="0" borderId="11" xfId="0" applyNumberFormat="1" applyFont="1" applyBorder="1" applyAlignment="1">
      <alignment horizontal="center"/>
    </xf>
    <xf numFmtId="165" fontId="23" fillId="0" borderId="3" xfId="0" applyNumberFormat="1" applyFont="1" applyBorder="1" applyAlignment="1">
      <alignment horizontal="center"/>
    </xf>
    <xf numFmtId="0" fontId="5" fillId="0" borderId="13" xfId="0" applyFont="1" applyBorder="1" applyAlignment="1">
      <alignment horizontal="center" wrapText="1"/>
    </xf>
    <xf numFmtId="0" fontId="5" fillId="0" borderId="14" xfId="0" applyFont="1" applyBorder="1" applyAlignment="1">
      <alignment horizontal="center" wrapText="1"/>
    </xf>
    <xf numFmtId="0" fontId="5" fillId="0" borderId="15" xfId="0" applyFont="1" applyBorder="1" applyAlignment="1">
      <alignment horizontal="center" wrapText="1"/>
    </xf>
    <xf numFmtId="9" fontId="0" fillId="4" borderId="0" xfId="3" applyFont="1" applyFill="1" applyBorder="1" applyAlignment="1">
      <alignment horizontal="center" wrapText="1"/>
    </xf>
    <xf numFmtId="0" fontId="10" fillId="0" borderId="0" xfId="0" applyFont="1" applyAlignment="1">
      <alignment horizontal="left"/>
    </xf>
    <xf numFmtId="4" fontId="3" fillId="0" borderId="0" xfId="0" applyNumberFormat="1" applyFont="1"/>
  </cellXfs>
  <cellStyles count="10">
    <cellStyle name="Comma" xfId="1" builtinId="3"/>
    <cellStyle name="Comma 2" xfId="9" xr:uid="{4A0DC70F-5B2E-497E-B688-EFC53D9169A5}"/>
    <cellStyle name="Hyperlink" xfId="5" builtinId="8"/>
    <cellStyle name="Hyperlink 2 2" xfId="8" xr:uid="{142354C7-68D8-4600-ABAE-9F1FC5B0FB10}"/>
    <cellStyle name="Millares 11" xfId="7" xr:uid="{55773439-D3E5-4261-AF2C-73A0218AF913}"/>
    <cellStyle name="Normal" xfId="0" builtinId="0"/>
    <cellStyle name="Normal 14" xfId="6" xr:uid="{1480C5E1-6BA3-4496-917C-B6FE2C1621E6}"/>
    <cellStyle name="Normal 2" xfId="2" xr:uid="{B7145829-0A91-4DAF-AF6A-E3A72A457FEC}"/>
    <cellStyle name="Normal 2 2" xfId="4" xr:uid="{D1DB6195-1C1C-4BF6-A077-BF848F24F55C}"/>
    <cellStyle name="Percent" xfId="3" builtinId="5"/>
  </cellStyles>
  <dxfs count="6">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9999"/>
        </patternFill>
      </fill>
      <border>
        <left style="thin">
          <color auto="1"/>
        </left>
        <right style="thin">
          <color auto="1"/>
        </right>
        <top style="thin">
          <color auto="1"/>
        </top>
        <bottom style="thin">
          <color auto="1"/>
        </bottom>
        <vertical/>
        <horizontal/>
      </border>
    </dxf>
  </dxfs>
  <tableStyles count="0" defaultTableStyle="TableStyleMedium2" defaultPivotStyle="PivotStyleMedium9"/>
  <colors>
    <mruColors>
      <color rgb="FF9C0006"/>
      <color rgb="FFFFC7CE"/>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eb.actuaries.ie/sites/default/files/asp/ASP%20LA-8/ASP%20LA-8%20V1.18%20final.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7414-DE56-4FF9-89F1-D9DE153A5E74}">
  <dimension ref="B2:F16"/>
  <sheetViews>
    <sheetView workbookViewId="0">
      <selection activeCell="F13" sqref="F13"/>
    </sheetView>
  </sheetViews>
  <sheetFormatPr defaultRowHeight="15"/>
  <cols>
    <col min="2" max="2" width="7.85546875" bestFit="1" customWidth="1"/>
    <col min="3" max="3" width="10.42578125" bestFit="1" customWidth="1"/>
    <col min="4" max="4" width="15.140625" bestFit="1" customWidth="1"/>
    <col min="5" max="5" width="13.140625" bestFit="1" customWidth="1"/>
    <col min="6" max="6" width="45.7109375" bestFit="1" customWidth="1"/>
  </cols>
  <sheetData>
    <row r="2" spans="2:6">
      <c r="B2" s="125" t="s">
        <v>0</v>
      </c>
      <c r="C2" s="125" t="s">
        <v>1</v>
      </c>
      <c r="D2" s="125" t="s">
        <v>2</v>
      </c>
      <c r="E2" s="125" t="s">
        <v>3</v>
      </c>
      <c r="F2" s="125" t="s">
        <v>4</v>
      </c>
    </row>
    <row r="3" spans="2:6" ht="30">
      <c r="B3" s="126" t="s">
        <v>5</v>
      </c>
      <c r="C3" s="178" t="s">
        <v>6</v>
      </c>
      <c r="D3" s="126" t="s">
        <v>7</v>
      </c>
      <c r="E3" s="126"/>
      <c r="F3" s="127" t="s">
        <v>8</v>
      </c>
    </row>
    <row r="4" spans="2:6">
      <c r="B4" s="126"/>
      <c r="C4" s="178"/>
      <c r="D4" s="126"/>
      <c r="E4" s="126"/>
      <c r="F4" s="184"/>
    </row>
    <row r="5" spans="2:6">
      <c r="B5" s="126"/>
      <c r="C5" s="178"/>
      <c r="D5" s="126"/>
      <c r="E5" s="126"/>
      <c r="F5" s="127"/>
    </row>
    <row r="6" spans="2:6">
      <c r="B6" s="126"/>
      <c r="C6" s="178"/>
      <c r="D6" s="126"/>
      <c r="E6" s="126"/>
      <c r="F6" s="127"/>
    </row>
    <row r="7" spans="2:6">
      <c r="B7" s="126"/>
      <c r="C7" s="178"/>
      <c r="D7" s="126"/>
      <c r="E7" s="126"/>
      <c r="F7" s="127"/>
    </row>
    <row r="8" spans="2:6">
      <c r="B8" s="126"/>
      <c r="C8" s="178"/>
      <c r="D8" s="126"/>
      <c r="E8" s="127"/>
      <c r="F8" s="127"/>
    </row>
    <row r="9" spans="2:6" ht="30">
      <c r="B9" s="126" t="s">
        <v>5</v>
      </c>
      <c r="C9" s="178">
        <v>46220</v>
      </c>
      <c r="D9" s="126" t="s">
        <v>317</v>
      </c>
      <c r="E9" s="126"/>
      <c r="F9" s="127" t="s">
        <v>318</v>
      </c>
    </row>
    <row r="10" spans="2:6">
      <c r="B10" s="126" t="s">
        <v>319</v>
      </c>
      <c r="C10" s="191">
        <v>46227</v>
      </c>
      <c r="D10" s="126" t="s">
        <v>320</v>
      </c>
      <c r="E10" s="127"/>
      <c r="F10" s="127" t="s">
        <v>321</v>
      </c>
    </row>
    <row r="11" spans="2:6" ht="30">
      <c r="B11" s="126" t="s">
        <v>323</v>
      </c>
      <c r="C11" s="191">
        <v>46261</v>
      </c>
      <c r="D11" s="126" t="s">
        <v>324</v>
      </c>
      <c r="E11" s="127"/>
      <c r="F11" s="127" t="s">
        <v>325</v>
      </c>
    </row>
    <row r="12" spans="2:6" ht="45">
      <c r="B12" s="126" t="s">
        <v>326</v>
      </c>
      <c r="C12" s="191">
        <v>46262</v>
      </c>
      <c r="D12" s="126" t="s">
        <v>324</v>
      </c>
      <c r="E12" s="127"/>
      <c r="F12" s="127" t="s">
        <v>327</v>
      </c>
    </row>
    <row r="13" spans="2:6" ht="180">
      <c r="B13" s="126" t="s">
        <v>328</v>
      </c>
      <c r="C13" s="191">
        <v>46262</v>
      </c>
      <c r="D13" s="126" t="s">
        <v>324</v>
      </c>
      <c r="E13" s="127"/>
      <c r="F13" s="249" t="s">
        <v>333</v>
      </c>
    </row>
    <row r="14" spans="2:6">
      <c r="B14" s="126"/>
      <c r="C14" s="191"/>
      <c r="D14" s="126"/>
      <c r="E14" s="127"/>
      <c r="F14" s="127"/>
    </row>
    <row r="15" spans="2:6">
      <c r="B15" s="126"/>
      <c r="C15" s="191"/>
      <c r="D15" s="126"/>
      <c r="E15" s="127"/>
      <c r="F15" s="127"/>
    </row>
    <row r="16" spans="2:6">
      <c r="B16" s="126"/>
      <c r="C16" s="191"/>
      <c r="D16" s="126"/>
      <c r="E16" s="127"/>
      <c r="F16" s="1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BC6E-FDCA-4E52-9A4E-3F7BB8CCC1E6}">
  <dimension ref="A1:I22"/>
  <sheetViews>
    <sheetView workbookViewId="0">
      <selection activeCell="C21" sqref="C21"/>
    </sheetView>
  </sheetViews>
  <sheetFormatPr defaultColWidth="9.140625" defaultRowHeight="15"/>
  <cols>
    <col min="1" max="1" width="25.140625" customWidth="1"/>
    <col min="2" max="2" width="30.85546875" customWidth="1"/>
    <col min="3" max="3" width="85.140625" bestFit="1" customWidth="1"/>
    <col min="4" max="4" width="25.5703125" customWidth="1"/>
    <col min="5" max="5" width="8.85546875" bestFit="1" customWidth="1"/>
    <col min="6" max="6" width="45" customWidth="1"/>
  </cols>
  <sheetData>
    <row r="1" spans="1:3">
      <c r="A1" t="s">
        <v>9</v>
      </c>
    </row>
    <row r="3" spans="1:3">
      <c r="A3" s="125" t="s">
        <v>10</v>
      </c>
      <c r="B3" s="125" t="s">
        <v>10</v>
      </c>
      <c r="C3" s="125" t="s">
        <v>4</v>
      </c>
    </row>
    <row r="4" spans="1:3">
      <c r="B4" s="137"/>
      <c r="C4" s="126" t="s">
        <v>11</v>
      </c>
    </row>
    <row r="5" spans="1:3">
      <c r="B5" s="128"/>
      <c r="C5" s="126" t="s">
        <v>12</v>
      </c>
    </row>
    <row r="6" spans="1:3">
      <c r="B6" s="135"/>
      <c r="C6" s="126" t="s">
        <v>13</v>
      </c>
    </row>
    <row r="7" spans="1:3" ht="17.100000000000001" customHeight="1">
      <c r="B7" s="138"/>
      <c r="C7" s="153" t="s">
        <v>14</v>
      </c>
    </row>
    <row r="8" spans="1:3">
      <c r="B8" s="136"/>
      <c r="C8" s="127" t="s">
        <v>15</v>
      </c>
    </row>
    <row r="9" spans="1:3">
      <c r="B9" s="166"/>
      <c r="C9" s="127" t="s">
        <v>16</v>
      </c>
    </row>
    <row r="10" spans="1:3">
      <c r="B10" s="139"/>
      <c r="C10" s="127" t="s">
        <v>17</v>
      </c>
    </row>
    <row r="11" spans="1:3">
      <c r="B11" s="129"/>
      <c r="C11" s="130"/>
    </row>
    <row r="14" spans="1:3">
      <c r="A14" s="125" t="s">
        <v>18</v>
      </c>
      <c r="B14" s="125" t="s">
        <v>19</v>
      </c>
      <c r="C14" s="125" t="s">
        <v>4</v>
      </c>
    </row>
    <row r="15" spans="1:3">
      <c r="B15" s="157">
        <v>1</v>
      </c>
      <c r="C15" s="132" t="s">
        <v>20</v>
      </c>
    </row>
    <row r="16" spans="1:3">
      <c r="C16" s="133"/>
    </row>
    <row r="18" spans="1:9">
      <c r="A18" s="125" t="s">
        <v>21</v>
      </c>
      <c r="B18" s="125" t="s">
        <v>22</v>
      </c>
      <c r="C18" s="125" t="s">
        <v>4</v>
      </c>
      <c r="D18" s="125" t="s">
        <v>23</v>
      </c>
    </row>
    <row r="19" spans="1:9" ht="60">
      <c r="B19" s="158" t="s">
        <v>9</v>
      </c>
      <c r="C19" s="134" t="s">
        <v>24</v>
      </c>
      <c r="D19" s="160" t="str">
        <f>A1</f>
        <v>Overview</v>
      </c>
      <c r="I19" s="159"/>
    </row>
    <row r="20" spans="1:9" ht="75">
      <c r="B20" s="158" t="s">
        <v>25</v>
      </c>
      <c r="C20" s="134" t="s">
        <v>26</v>
      </c>
      <c r="D20" s="160" t="str">
        <f>B20</f>
        <v>Parameters</v>
      </c>
    </row>
    <row r="21" spans="1:9" ht="30">
      <c r="B21" s="158" t="s">
        <v>27</v>
      </c>
      <c r="C21" s="131" t="s">
        <v>28</v>
      </c>
      <c r="D21" s="206" t="str">
        <f>B21</f>
        <v>Projections</v>
      </c>
    </row>
    <row r="22" spans="1:9" ht="23.1" customHeight="1">
      <c r="B22" s="158" t="s">
        <v>29</v>
      </c>
      <c r="C22" s="131" t="s">
        <v>30</v>
      </c>
      <c r="D22" s="160" t="str">
        <f>B22</f>
        <v>Inputs for PointOfIssue Doc</v>
      </c>
    </row>
  </sheetData>
  <hyperlinks>
    <hyperlink ref="D19" location="'Cover Page'!A1" display="'Cover Page'!A1" xr:uid="{A0F139CC-CABD-49DD-877F-4623334D8665}"/>
    <hyperlink ref="D20" location="Parameters!A1" display="Parameters!A1" xr:uid="{7856EA0C-2FD6-4A50-8AA7-3362266BF717}"/>
    <hyperlink ref="D21" location="Projections!A1" display="Projections!A1" xr:uid="{E38B2073-CE61-4F53-953D-438DE0D53FA4}"/>
    <hyperlink ref="D22" location="'Inputs for PointOfIssue Doc'!A1" display="'Inputs for PointOfIssue Doc'!A1" xr:uid="{E3855A38-F29B-4316-A9DF-1F70ED1CFBC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17A45-4EE9-41C4-9D50-3B734DD84D7D}">
  <sheetPr codeName="Sheet4"/>
  <dimension ref="A1:X114"/>
  <sheetViews>
    <sheetView topLeftCell="A6" zoomScaleNormal="100" workbookViewId="0">
      <selection activeCell="E20" sqref="E20"/>
    </sheetView>
  </sheetViews>
  <sheetFormatPr defaultRowHeight="15"/>
  <cols>
    <col min="3" max="3" width="48.140625" bestFit="1" customWidth="1"/>
    <col min="4" max="4" width="18.140625" style="18" bestFit="1" customWidth="1"/>
    <col min="5" max="5" width="20.140625" bestFit="1" customWidth="1"/>
    <col min="6" max="6" width="16.42578125" bestFit="1" customWidth="1"/>
    <col min="7" max="7" width="17.140625" customWidth="1"/>
    <col min="8" max="8" width="16" customWidth="1"/>
    <col min="9" max="9" width="19.42578125" customWidth="1"/>
    <col min="10" max="10" width="13.85546875" customWidth="1"/>
    <col min="11" max="14" width="17.140625" customWidth="1"/>
    <col min="15" max="15" width="16" customWidth="1"/>
    <col min="16" max="16" width="15.85546875" customWidth="1"/>
  </cols>
  <sheetData>
    <row r="1" spans="1:21">
      <c r="A1" t="s">
        <v>25</v>
      </c>
    </row>
    <row r="2" spans="1:21">
      <c r="C2" s="1"/>
      <c r="D2" s="14"/>
      <c r="E2" s="1"/>
      <c r="U2" s="92"/>
    </row>
    <row r="3" spans="1:21">
      <c r="C3" s="1"/>
      <c r="D3" s="14"/>
      <c r="E3" s="1"/>
    </row>
    <row r="4" spans="1:21" ht="15.75" thickBot="1">
      <c r="C4" s="2"/>
      <c r="D4" s="14"/>
      <c r="E4" s="1"/>
    </row>
    <row r="5" spans="1:21" ht="15.75" customHeight="1" thickBot="1">
      <c r="D5"/>
      <c r="E5" s="255" t="s">
        <v>31</v>
      </c>
      <c r="F5" s="255"/>
      <c r="G5" s="89"/>
      <c r="H5" s="89"/>
      <c r="L5" s="179" t="s">
        <v>32</v>
      </c>
      <c r="M5" s="179"/>
      <c r="N5" s="179"/>
      <c r="O5" s="179"/>
      <c r="P5" s="179"/>
      <c r="Q5" s="179"/>
      <c r="R5" s="179"/>
      <c r="S5" s="179"/>
    </row>
    <row r="6" spans="1:21" ht="26.25" thickBot="1">
      <c r="C6" s="93" t="s">
        <v>33</v>
      </c>
      <c r="D6" s="94" t="s">
        <v>34</v>
      </c>
      <c r="E6" s="94" t="s">
        <v>35</v>
      </c>
      <c r="F6" s="94" t="s">
        <v>36</v>
      </c>
      <c r="G6" s="94" t="s">
        <v>247</v>
      </c>
      <c r="H6" s="94" t="s">
        <v>248</v>
      </c>
      <c r="I6" s="94" t="s">
        <v>269</v>
      </c>
      <c r="J6" s="94" t="s">
        <v>37</v>
      </c>
      <c r="K6" s="87" t="s">
        <v>38</v>
      </c>
      <c r="L6" s="88">
        <v>1</v>
      </c>
      <c r="M6" s="88">
        <v>2</v>
      </c>
      <c r="N6" s="88">
        <v>3</v>
      </c>
      <c r="O6" s="89">
        <v>4</v>
      </c>
      <c r="P6" s="89">
        <v>5</v>
      </c>
      <c r="Q6" s="89">
        <v>6</v>
      </c>
      <c r="R6" s="89">
        <v>7</v>
      </c>
      <c r="S6" s="89">
        <v>8</v>
      </c>
    </row>
    <row r="7" spans="1:21">
      <c r="C7" s="95" t="s">
        <v>39</v>
      </c>
      <c r="D7" s="96" t="s">
        <v>40</v>
      </c>
      <c r="E7" s="140">
        <v>0</v>
      </c>
      <c r="F7" s="140">
        <f t="shared" ref="F7:F47" si="0">E7+IF(special_deal_indicator = "Yes", special_deal_level, 0)</f>
        <v>0</v>
      </c>
      <c r="G7" s="140">
        <v>0</v>
      </c>
      <c r="H7" s="140" t="s">
        <v>310</v>
      </c>
      <c r="I7" s="140">
        <v>0</v>
      </c>
      <c r="J7" s="140">
        <v>0</v>
      </c>
      <c r="K7" s="140">
        <v>4.5000000000000005E-3</v>
      </c>
      <c r="L7" s="141">
        <v>0</v>
      </c>
      <c r="M7" s="141">
        <v>0</v>
      </c>
      <c r="N7" s="141">
        <v>0</v>
      </c>
      <c r="O7" s="141">
        <v>0</v>
      </c>
      <c r="P7" s="141">
        <v>0</v>
      </c>
      <c r="Q7" s="141">
        <v>0</v>
      </c>
      <c r="R7" s="141">
        <v>0</v>
      </c>
      <c r="S7" s="142">
        <v>0</v>
      </c>
    </row>
    <row r="8" spans="1:21">
      <c r="C8" s="97" t="s">
        <v>41</v>
      </c>
      <c r="D8" s="91" t="s">
        <v>42</v>
      </c>
      <c r="E8" s="143">
        <v>0</v>
      </c>
      <c r="F8" s="143">
        <f t="shared" si="0"/>
        <v>0</v>
      </c>
      <c r="G8" s="143">
        <v>0</v>
      </c>
      <c r="H8" s="143" t="s">
        <v>310</v>
      </c>
      <c r="I8" s="143">
        <v>0</v>
      </c>
      <c r="J8" s="143">
        <v>2.5000000000000001E-3</v>
      </c>
      <c r="K8" s="143">
        <v>6.9999999999999993E-3</v>
      </c>
      <c r="L8" s="144">
        <v>0</v>
      </c>
      <c r="M8" s="144">
        <v>0</v>
      </c>
      <c r="N8" s="144">
        <v>0</v>
      </c>
      <c r="O8" s="144">
        <v>0</v>
      </c>
      <c r="P8" s="144">
        <v>0</v>
      </c>
      <c r="Q8" s="144">
        <v>0</v>
      </c>
      <c r="R8" s="144">
        <v>0</v>
      </c>
      <c r="S8" s="145">
        <v>0</v>
      </c>
    </row>
    <row r="9" spans="1:21">
      <c r="C9" s="97" t="s">
        <v>41</v>
      </c>
      <c r="D9" s="91" t="s">
        <v>43</v>
      </c>
      <c r="E9" s="143">
        <v>0.01</v>
      </c>
      <c r="F9" s="143">
        <f t="shared" si="0"/>
        <v>0.01</v>
      </c>
      <c r="G9" s="143">
        <v>0</v>
      </c>
      <c r="H9" s="143" t="s">
        <v>310</v>
      </c>
      <c r="I9" s="143">
        <v>0</v>
      </c>
      <c r="J9" s="143">
        <v>1.25E-3</v>
      </c>
      <c r="K9" s="143">
        <v>6.9999999999999993E-3</v>
      </c>
      <c r="L9" s="144">
        <v>0.03</v>
      </c>
      <c r="M9" s="144">
        <v>0.02</v>
      </c>
      <c r="N9" s="144">
        <v>0.01</v>
      </c>
      <c r="O9" s="144">
        <v>0</v>
      </c>
      <c r="P9" s="144">
        <v>0</v>
      </c>
      <c r="Q9" s="144">
        <v>0</v>
      </c>
      <c r="R9" s="144">
        <v>0</v>
      </c>
      <c r="S9" s="145">
        <v>0</v>
      </c>
    </row>
    <row r="10" spans="1:21">
      <c r="C10" s="97" t="s">
        <v>41</v>
      </c>
      <c r="D10" s="91" t="s">
        <v>44</v>
      </c>
      <c r="E10" s="143">
        <v>0.02</v>
      </c>
      <c r="F10" s="143">
        <f t="shared" si="0"/>
        <v>0.02</v>
      </c>
      <c r="G10" s="143">
        <v>0</v>
      </c>
      <c r="H10" s="143" t="s">
        <v>310</v>
      </c>
      <c r="I10" s="143">
        <v>0</v>
      </c>
      <c r="J10" s="143">
        <v>0</v>
      </c>
      <c r="K10" s="143">
        <v>6.9999999999999993E-3</v>
      </c>
      <c r="L10" s="144">
        <v>0.03</v>
      </c>
      <c r="M10" s="144">
        <v>0.02</v>
      </c>
      <c r="N10" s="144">
        <v>0.01</v>
      </c>
      <c r="O10" s="144">
        <v>0</v>
      </c>
      <c r="P10" s="144">
        <v>0</v>
      </c>
      <c r="Q10" s="144">
        <v>0</v>
      </c>
      <c r="R10" s="144">
        <v>0</v>
      </c>
      <c r="S10" s="145">
        <v>0</v>
      </c>
    </row>
    <row r="11" spans="1:21">
      <c r="C11" s="97" t="s">
        <v>45</v>
      </c>
      <c r="D11" s="91" t="s">
        <v>46</v>
      </c>
      <c r="E11" s="143">
        <v>0</v>
      </c>
      <c r="F11" s="143">
        <f t="shared" si="0"/>
        <v>0</v>
      </c>
      <c r="G11" s="143">
        <v>0</v>
      </c>
      <c r="H11" s="143" t="s">
        <v>310</v>
      </c>
      <c r="I11" s="143">
        <v>0</v>
      </c>
      <c r="J11" s="143">
        <v>5.0000000000000001E-3</v>
      </c>
      <c r="K11" s="143">
        <v>9.4999999999999998E-3</v>
      </c>
      <c r="L11" s="144">
        <v>0</v>
      </c>
      <c r="M11" s="144">
        <v>0</v>
      </c>
      <c r="N11" s="144">
        <v>0</v>
      </c>
      <c r="O11" s="144">
        <v>0</v>
      </c>
      <c r="P11" s="144">
        <v>0</v>
      </c>
      <c r="Q11" s="144">
        <v>0</v>
      </c>
      <c r="R11" s="144">
        <v>0</v>
      </c>
      <c r="S11" s="145">
        <v>0</v>
      </c>
    </row>
    <row r="12" spans="1:21">
      <c r="C12" s="97" t="s">
        <v>45</v>
      </c>
      <c r="D12" s="91" t="s">
        <v>47</v>
      </c>
      <c r="E12" s="143">
        <v>0.01</v>
      </c>
      <c r="F12" s="143">
        <f t="shared" si="0"/>
        <v>0.01</v>
      </c>
      <c r="G12" s="143">
        <v>0</v>
      </c>
      <c r="H12" s="143" t="s">
        <v>310</v>
      </c>
      <c r="I12" s="143">
        <v>0</v>
      </c>
      <c r="J12" s="143">
        <v>3.7499999999999999E-3</v>
      </c>
      <c r="K12" s="143">
        <v>9.4999999999999998E-3</v>
      </c>
      <c r="L12" s="144">
        <v>0.03</v>
      </c>
      <c r="M12" s="144">
        <v>0.02</v>
      </c>
      <c r="N12" s="144">
        <v>0.01</v>
      </c>
      <c r="O12" s="144">
        <v>0</v>
      </c>
      <c r="P12" s="144">
        <v>0</v>
      </c>
      <c r="Q12" s="144">
        <v>0</v>
      </c>
      <c r="R12" s="144">
        <v>0</v>
      </c>
      <c r="S12" s="145">
        <v>0</v>
      </c>
    </row>
    <row r="13" spans="1:21">
      <c r="C13" s="97" t="s">
        <v>45</v>
      </c>
      <c r="D13" s="91" t="s">
        <v>48</v>
      </c>
      <c r="E13" s="143">
        <v>0.02</v>
      </c>
      <c r="F13" s="143">
        <f t="shared" si="0"/>
        <v>0.02</v>
      </c>
      <c r="G13" s="143">
        <v>0</v>
      </c>
      <c r="H13" s="143" t="s">
        <v>310</v>
      </c>
      <c r="I13" s="143">
        <v>0</v>
      </c>
      <c r="J13" s="143">
        <v>2.5000000000000001E-3</v>
      </c>
      <c r="K13" s="143">
        <v>9.4999999999999998E-3</v>
      </c>
      <c r="L13" s="144">
        <v>0.03</v>
      </c>
      <c r="M13" s="144">
        <v>0.02</v>
      </c>
      <c r="N13" s="144">
        <v>0.01</v>
      </c>
      <c r="O13" s="144">
        <v>0</v>
      </c>
      <c r="P13" s="144">
        <v>0</v>
      </c>
      <c r="Q13" s="144">
        <v>0</v>
      </c>
      <c r="R13" s="144">
        <v>0</v>
      </c>
      <c r="S13" s="145">
        <v>0</v>
      </c>
    </row>
    <row r="14" spans="1:21">
      <c r="C14" s="97" t="s">
        <v>45</v>
      </c>
      <c r="D14" s="91" t="s">
        <v>285</v>
      </c>
      <c r="E14" s="143">
        <v>0.03</v>
      </c>
      <c r="F14" s="143">
        <f t="shared" si="0"/>
        <v>0.03</v>
      </c>
      <c r="G14" s="143">
        <v>0</v>
      </c>
      <c r="H14" s="143" t="s">
        <v>310</v>
      </c>
      <c r="I14" s="143">
        <v>0</v>
      </c>
      <c r="J14" s="143">
        <v>1.25E-3</v>
      </c>
      <c r="K14" s="143">
        <v>9.4999999999999998E-3</v>
      </c>
      <c r="L14" s="144">
        <v>0.05</v>
      </c>
      <c r="M14" s="144">
        <v>0.04</v>
      </c>
      <c r="N14" s="144">
        <v>0.03</v>
      </c>
      <c r="O14" s="144">
        <v>0.02</v>
      </c>
      <c r="P14" s="144">
        <v>0.01</v>
      </c>
      <c r="Q14" s="144">
        <v>0</v>
      </c>
      <c r="R14" s="144">
        <v>0</v>
      </c>
      <c r="S14" s="145">
        <v>0</v>
      </c>
    </row>
    <row r="15" spans="1:21">
      <c r="C15" s="97" t="s">
        <v>45</v>
      </c>
      <c r="D15" s="91" t="s">
        <v>286</v>
      </c>
      <c r="E15" s="143">
        <v>0.04</v>
      </c>
      <c r="F15" s="143">
        <f t="shared" si="0"/>
        <v>0.04</v>
      </c>
      <c r="G15" s="143">
        <v>0</v>
      </c>
      <c r="H15" s="143" t="s">
        <v>310</v>
      </c>
      <c r="I15" s="143">
        <v>0</v>
      </c>
      <c r="J15" s="143">
        <v>0</v>
      </c>
      <c r="K15" s="143">
        <v>9.4999999999999998E-3</v>
      </c>
      <c r="L15" s="144">
        <v>0.05</v>
      </c>
      <c r="M15" s="144">
        <v>0.04</v>
      </c>
      <c r="N15" s="144">
        <v>0.03</v>
      </c>
      <c r="O15" s="144">
        <v>0.02</v>
      </c>
      <c r="P15" s="144">
        <v>0.01</v>
      </c>
      <c r="Q15" s="144">
        <v>0</v>
      </c>
      <c r="R15" s="144">
        <v>0</v>
      </c>
      <c r="S15" s="145">
        <v>0</v>
      </c>
    </row>
    <row r="16" spans="1:21">
      <c r="C16" s="97" t="s">
        <v>49</v>
      </c>
      <c r="D16" s="91" t="s">
        <v>50</v>
      </c>
      <c r="E16" s="143">
        <v>0</v>
      </c>
      <c r="F16" s="143">
        <f t="shared" si="0"/>
        <v>0</v>
      </c>
      <c r="G16" s="143">
        <v>0</v>
      </c>
      <c r="H16" s="143" t="s">
        <v>310</v>
      </c>
      <c r="I16" s="143">
        <v>0</v>
      </c>
      <c r="J16" s="143">
        <v>7.4999999999999997E-3</v>
      </c>
      <c r="K16" s="143">
        <v>1.2E-2</v>
      </c>
      <c r="L16" s="144">
        <v>0</v>
      </c>
      <c r="M16" s="144">
        <v>0</v>
      </c>
      <c r="N16" s="144">
        <v>0</v>
      </c>
      <c r="O16" s="144">
        <v>0</v>
      </c>
      <c r="P16" s="144">
        <v>0</v>
      </c>
      <c r="Q16" s="144">
        <v>0</v>
      </c>
      <c r="R16" s="144">
        <v>0</v>
      </c>
      <c r="S16" s="145">
        <v>0</v>
      </c>
    </row>
    <row r="17" spans="3:19">
      <c r="C17" s="97" t="s">
        <v>49</v>
      </c>
      <c r="D17" s="91" t="s">
        <v>287</v>
      </c>
      <c r="E17" s="143">
        <v>0.01</v>
      </c>
      <c r="F17" s="143">
        <f t="shared" si="0"/>
        <v>0.01</v>
      </c>
      <c r="G17" s="143">
        <v>0</v>
      </c>
      <c r="H17" s="143" t="s">
        <v>310</v>
      </c>
      <c r="I17" s="143">
        <v>0</v>
      </c>
      <c r="J17" s="143">
        <v>6.2500000000000003E-3</v>
      </c>
      <c r="K17" s="143">
        <v>1.2E-2</v>
      </c>
      <c r="L17" s="144">
        <v>0.03</v>
      </c>
      <c r="M17" s="144">
        <v>0.02</v>
      </c>
      <c r="N17" s="144">
        <v>0.01</v>
      </c>
      <c r="O17" s="144">
        <v>0</v>
      </c>
      <c r="P17" s="144">
        <v>0</v>
      </c>
      <c r="Q17" s="144">
        <v>0</v>
      </c>
      <c r="R17" s="144">
        <v>0</v>
      </c>
      <c r="S17" s="145">
        <v>0</v>
      </c>
    </row>
    <row r="18" spans="3:19">
      <c r="C18" s="97" t="s">
        <v>49</v>
      </c>
      <c r="D18" s="91" t="s">
        <v>288</v>
      </c>
      <c r="E18" s="143">
        <v>0.02</v>
      </c>
      <c r="F18" s="143">
        <f t="shared" si="0"/>
        <v>0.02</v>
      </c>
      <c r="G18" s="143">
        <v>0</v>
      </c>
      <c r="H18" s="143" t="s">
        <v>310</v>
      </c>
      <c r="I18" s="143">
        <v>0</v>
      </c>
      <c r="J18" s="143">
        <v>5.0000000000000001E-3</v>
      </c>
      <c r="K18" s="143">
        <v>1.2E-2</v>
      </c>
      <c r="L18" s="144">
        <v>0.03</v>
      </c>
      <c r="M18" s="144">
        <v>0.02</v>
      </c>
      <c r="N18" s="144">
        <v>0.01</v>
      </c>
      <c r="O18" s="144">
        <v>0</v>
      </c>
      <c r="P18" s="144">
        <v>0</v>
      </c>
      <c r="Q18" s="144">
        <v>0</v>
      </c>
      <c r="R18" s="144">
        <v>0</v>
      </c>
      <c r="S18" s="145">
        <v>0</v>
      </c>
    </row>
    <row r="19" spans="3:19">
      <c r="C19" s="97" t="s">
        <v>49</v>
      </c>
      <c r="D19" s="91" t="s">
        <v>289</v>
      </c>
      <c r="E19" s="143">
        <v>0.03</v>
      </c>
      <c r="F19" s="143">
        <f t="shared" si="0"/>
        <v>0.03</v>
      </c>
      <c r="G19" s="143">
        <v>0</v>
      </c>
      <c r="H19" s="143" t="s">
        <v>310</v>
      </c>
      <c r="I19" s="143">
        <v>0</v>
      </c>
      <c r="J19" s="143">
        <v>3.7499999999999999E-3</v>
      </c>
      <c r="K19" s="143">
        <v>1.2E-2</v>
      </c>
      <c r="L19" s="144">
        <v>0.05</v>
      </c>
      <c r="M19" s="144">
        <v>0.04</v>
      </c>
      <c r="N19" s="144">
        <v>0.03</v>
      </c>
      <c r="O19" s="144">
        <v>0.02</v>
      </c>
      <c r="P19" s="144">
        <v>0.01</v>
      </c>
      <c r="Q19" s="144">
        <v>0</v>
      </c>
      <c r="R19" s="144">
        <v>0</v>
      </c>
      <c r="S19" s="145">
        <v>0</v>
      </c>
    </row>
    <row r="20" spans="3:19">
      <c r="C20" s="97" t="s">
        <v>49</v>
      </c>
      <c r="D20" s="91" t="s">
        <v>290</v>
      </c>
      <c r="E20" s="143">
        <v>0.04</v>
      </c>
      <c r="F20" s="143">
        <f t="shared" si="0"/>
        <v>0.04</v>
      </c>
      <c r="G20" s="143">
        <v>0</v>
      </c>
      <c r="H20" s="143" t="s">
        <v>310</v>
      </c>
      <c r="I20" s="143">
        <v>0</v>
      </c>
      <c r="J20" s="143">
        <v>2.5000000000000001E-3</v>
      </c>
      <c r="K20" s="143">
        <v>1.2E-2</v>
      </c>
      <c r="L20" s="144">
        <v>0.05</v>
      </c>
      <c r="M20" s="144">
        <v>0.04</v>
      </c>
      <c r="N20" s="144">
        <v>0.03</v>
      </c>
      <c r="O20" s="144">
        <v>0.02</v>
      </c>
      <c r="P20" s="144">
        <v>0.01</v>
      </c>
      <c r="Q20" s="144">
        <v>0</v>
      </c>
      <c r="R20" s="144">
        <v>0</v>
      </c>
      <c r="S20" s="145">
        <v>0</v>
      </c>
    </row>
    <row r="21" spans="3:19">
      <c r="C21" s="97" t="s">
        <v>49</v>
      </c>
      <c r="D21" s="91" t="s">
        <v>291</v>
      </c>
      <c r="E21" s="143">
        <v>0.05</v>
      </c>
      <c r="F21" s="143">
        <f t="shared" si="0"/>
        <v>0.05</v>
      </c>
      <c r="G21" s="143">
        <v>0</v>
      </c>
      <c r="H21" s="143" t="s">
        <v>310</v>
      </c>
      <c r="I21" s="143">
        <v>0</v>
      </c>
      <c r="J21" s="143">
        <v>0</v>
      </c>
      <c r="K21" s="143">
        <v>1.2E-2</v>
      </c>
      <c r="L21" s="144">
        <v>0.05</v>
      </c>
      <c r="M21" s="144">
        <v>0.04</v>
      </c>
      <c r="N21" s="144">
        <v>0.03</v>
      </c>
      <c r="O21" s="144">
        <v>0.02</v>
      </c>
      <c r="P21" s="144">
        <v>0.01</v>
      </c>
      <c r="Q21" s="144">
        <v>0</v>
      </c>
      <c r="R21" s="144">
        <v>0</v>
      </c>
      <c r="S21" s="145">
        <v>0</v>
      </c>
    </row>
    <row r="22" spans="3:19">
      <c r="C22" s="97" t="s">
        <v>96</v>
      </c>
      <c r="D22" s="91" t="s">
        <v>292</v>
      </c>
      <c r="E22" s="143">
        <v>0</v>
      </c>
      <c r="F22" s="143">
        <f t="shared" si="0"/>
        <v>0</v>
      </c>
      <c r="G22" s="143">
        <v>0</v>
      </c>
      <c r="H22" s="143" t="s">
        <v>310</v>
      </c>
      <c r="I22" s="143">
        <v>0</v>
      </c>
      <c r="J22" s="143">
        <v>0.01</v>
      </c>
      <c r="K22" s="143">
        <v>1.4499999999999999E-2</v>
      </c>
      <c r="L22" s="144">
        <v>0</v>
      </c>
      <c r="M22" s="144">
        <v>0</v>
      </c>
      <c r="N22" s="144">
        <v>0</v>
      </c>
      <c r="O22" s="144">
        <v>0</v>
      </c>
      <c r="P22" s="144">
        <v>0</v>
      </c>
      <c r="Q22" s="144">
        <v>0</v>
      </c>
      <c r="R22" s="144">
        <v>0</v>
      </c>
      <c r="S22" s="145">
        <v>0</v>
      </c>
    </row>
    <row r="23" spans="3:19">
      <c r="C23" s="97" t="s">
        <v>96</v>
      </c>
      <c r="D23" s="91" t="s">
        <v>293</v>
      </c>
      <c r="E23" s="143">
        <v>0.01</v>
      </c>
      <c r="F23" s="143">
        <f t="shared" si="0"/>
        <v>0.01</v>
      </c>
      <c r="G23" s="143">
        <v>0</v>
      </c>
      <c r="H23" s="143" t="s">
        <v>310</v>
      </c>
      <c r="I23" s="143">
        <v>0</v>
      </c>
      <c r="J23" s="143">
        <v>8.7500000000000008E-3</v>
      </c>
      <c r="K23" s="143">
        <v>1.4499999999999999E-2</v>
      </c>
      <c r="L23" s="144">
        <v>0.03</v>
      </c>
      <c r="M23" s="144">
        <v>0.02</v>
      </c>
      <c r="N23" s="144">
        <v>0.01</v>
      </c>
      <c r="O23" s="144">
        <v>0</v>
      </c>
      <c r="P23" s="144">
        <v>0</v>
      </c>
      <c r="Q23" s="144">
        <v>0</v>
      </c>
      <c r="R23" s="144">
        <v>0</v>
      </c>
      <c r="S23" s="145">
        <v>0</v>
      </c>
    </row>
    <row r="24" spans="3:19">
      <c r="C24" s="97" t="s">
        <v>96</v>
      </c>
      <c r="D24" s="91" t="s">
        <v>294</v>
      </c>
      <c r="E24" s="143">
        <v>0.02</v>
      </c>
      <c r="F24" s="143">
        <f t="shared" si="0"/>
        <v>0.02</v>
      </c>
      <c r="G24" s="143">
        <v>0</v>
      </c>
      <c r="H24" s="143" t="s">
        <v>310</v>
      </c>
      <c r="I24" s="143">
        <v>0</v>
      </c>
      <c r="J24" s="143">
        <v>7.4999999999999997E-3</v>
      </c>
      <c r="K24" s="143">
        <v>1.4499999999999999E-2</v>
      </c>
      <c r="L24" s="144">
        <v>0.03</v>
      </c>
      <c r="M24" s="144">
        <v>0.02</v>
      </c>
      <c r="N24" s="144">
        <v>0.01</v>
      </c>
      <c r="O24" s="144">
        <v>0</v>
      </c>
      <c r="P24" s="144">
        <v>0</v>
      </c>
      <c r="Q24" s="144">
        <v>0</v>
      </c>
      <c r="R24" s="144">
        <v>0</v>
      </c>
      <c r="S24" s="145">
        <v>0</v>
      </c>
    </row>
    <row r="25" spans="3:19">
      <c r="C25" s="97" t="s">
        <v>96</v>
      </c>
      <c r="D25" s="91" t="s">
        <v>295</v>
      </c>
      <c r="E25" s="143">
        <v>0.03</v>
      </c>
      <c r="F25" s="143">
        <f t="shared" si="0"/>
        <v>0.03</v>
      </c>
      <c r="G25" s="143">
        <v>0</v>
      </c>
      <c r="H25" s="143" t="s">
        <v>310</v>
      </c>
      <c r="I25" s="143">
        <v>0</v>
      </c>
      <c r="J25" s="143">
        <v>6.2500000000000003E-3</v>
      </c>
      <c r="K25" s="143">
        <v>1.4499999999999999E-2</v>
      </c>
      <c r="L25" s="144">
        <v>0.05</v>
      </c>
      <c r="M25" s="144">
        <v>0.04</v>
      </c>
      <c r="N25" s="144">
        <v>0.03</v>
      </c>
      <c r="O25" s="144">
        <v>0.02</v>
      </c>
      <c r="P25" s="144">
        <v>0.01</v>
      </c>
      <c r="Q25" s="144">
        <v>0</v>
      </c>
      <c r="R25" s="144">
        <v>0</v>
      </c>
      <c r="S25" s="145">
        <v>0</v>
      </c>
    </row>
    <row r="26" spans="3:19">
      <c r="C26" s="97" t="s">
        <v>96</v>
      </c>
      <c r="D26" s="91" t="s">
        <v>296</v>
      </c>
      <c r="E26" s="143">
        <v>0.04</v>
      </c>
      <c r="F26" s="143">
        <f t="shared" si="0"/>
        <v>0.04</v>
      </c>
      <c r="G26" s="143">
        <v>0</v>
      </c>
      <c r="H26" s="143" t="s">
        <v>310</v>
      </c>
      <c r="I26" s="143">
        <v>0</v>
      </c>
      <c r="J26" s="143">
        <v>5.0000000000000001E-3</v>
      </c>
      <c r="K26" s="143">
        <v>1.4499999999999999E-2</v>
      </c>
      <c r="L26" s="144">
        <v>0.05</v>
      </c>
      <c r="M26" s="144">
        <v>0.04</v>
      </c>
      <c r="N26" s="144">
        <v>0.03</v>
      </c>
      <c r="O26" s="144">
        <v>0.02</v>
      </c>
      <c r="P26" s="144">
        <v>0.01</v>
      </c>
      <c r="Q26" s="144">
        <v>0</v>
      </c>
      <c r="R26" s="144">
        <v>0</v>
      </c>
      <c r="S26" s="145">
        <v>0</v>
      </c>
    </row>
    <row r="27" spans="3:19">
      <c r="C27" s="97" t="s">
        <v>96</v>
      </c>
      <c r="D27" s="91" t="s">
        <v>297</v>
      </c>
      <c r="E27" s="143">
        <v>0.05</v>
      </c>
      <c r="F27" s="143">
        <f t="shared" si="0"/>
        <v>0.05</v>
      </c>
      <c r="G27" s="143">
        <v>0</v>
      </c>
      <c r="H27" s="143" t="s">
        <v>310</v>
      </c>
      <c r="I27" s="143">
        <v>0</v>
      </c>
      <c r="J27" s="143">
        <v>2.5000000000000001E-3</v>
      </c>
      <c r="K27" s="143">
        <v>1.4499999999999999E-2</v>
      </c>
      <c r="L27" s="144">
        <v>0.05</v>
      </c>
      <c r="M27" s="144">
        <v>0.04</v>
      </c>
      <c r="N27" s="144">
        <v>0.03</v>
      </c>
      <c r="O27" s="144">
        <v>0.02</v>
      </c>
      <c r="P27" s="144">
        <v>0.01</v>
      </c>
      <c r="Q27" s="144">
        <v>0</v>
      </c>
      <c r="R27" s="144">
        <v>0</v>
      </c>
      <c r="S27" s="145">
        <v>0</v>
      </c>
    </row>
    <row r="28" spans="3:19">
      <c r="C28" s="97" t="s">
        <v>51</v>
      </c>
      <c r="D28" s="91" t="s">
        <v>52</v>
      </c>
      <c r="E28" s="143">
        <v>0.01</v>
      </c>
      <c r="F28" s="143">
        <f t="shared" si="0"/>
        <v>0.01</v>
      </c>
      <c r="G28" s="143">
        <v>0</v>
      </c>
      <c r="H28" s="143" t="s">
        <v>310</v>
      </c>
      <c r="I28" s="143">
        <v>0</v>
      </c>
      <c r="J28" s="143">
        <v>1.25E-3</v>
      </c>
      <c r="K28" s="143">
        <v>6.9999999999999993E-3</v>
      </c>
      <c r="L28" s="144">
        <v>0</v>
      </c>
      <c r="M28" s="144">
        <v>0</v>
      </c>
      <c r="N28" s="144">
        <v>0</v>
      </c>
      <c r="O28" s="144">
        <v>0</v>
      </c>
      <c r="P28" s="144">
        <v>0</v>
      </c>
      <c r="Q28" s="144">
        <v>0</v>
      </c>
      <c r="R28" s="144">
        <v>0</v>
      </c>
      <c r="S28" s="145">
        <v>0</v>
      </c>
    </row>
    <row r="29" spans="3:19">
      <c r="C29" s="97" t="s">
        <v>51</v>
      </c>
      <c r="D29" s="91" t="s">
        <v>53</v>
      </c>
      <c r="E29" s="143">
        <v>0.02</v>
      </c>
      <c r="F29" s="143">
        <f t="shared" si="0"/>
        <v>0.02</v>
      </c>
      <c r="G29" s="143">
        <v>0</v>
      </c>
      <c r="H29" s="143" t="s">
        <v>310</v>
      </c>
      <c r="I29" s="143">
        <v>0</v>
      </c>
      <c r="J29" s="143">
        <v>0</v>
      </c>
      <c r="K29" s="143">
        <v>6.9999999999999993E-3</v>
      </c>
      <c r="L29" s="144">
        <v>0</v>
      </c>
      <c r="M29" s="144">
        <v>0</v>
      </c>
      <c r="N29" s="144">
        <v>0</v>
      </c>
      <c r="O29" s="144">
        <v>0</v>
      </c>
      <c r="P29" s="144">
        <v>0</v>
      </c>
      <c r="Q29" s="144">
        <v>0</v>
      </c>
      <c r="R29" s="144">
        <v>0</v>
      </c>
      <c r="S29" s="145">
        <v>0</v>
      </c>
    </row>
    <row r="30" spans="3:19">
      <c r="C30" s="97" t="s">
        <v>273</v>
      </c>
      <c r="D30" s="91" t="s">
        <v>298</v>
      </c>
      <c r="E30" s="143">
        <v>0.01</v>
      </c>
      <c r="F30" s="143">
        <f t="shared" si="0"/>
        <v>0.01</v>
      </c>
      <c r="G30" s="143">
        <v>0</v>
      </c>
      <c r="H30" s="143" t="s">
        <v>310</v>
      </c>
      <c r="I30" s="143">
        <v>0</v>
      </c>
      <c r="J30" s="143">
        <v>3.7499999999999999E-3</v>
      </c>
      <c r="K30" s="143">
        <v>9.4999999999999998E-3</v>
      </c>
      <c r="L30" s="144">
        <v>0</v>
      </c>
      <c r="M30" s="144">
        <v>0</v>
      </c>
      <c r="N30" s="144">
        <v>0</v>
      </c>
      <c r="O30" s="144">
        <v>0</v>
      </c>
      <c r="P30" s="144">
        <v>0</v>
      </c>
      <c r="Q30" s="144">
        <v>0</v>
      </c>
      <c r="R30" s="144">
        <v>0</v>
      </c>
      <c r="S30" s="145">
        <v>0</v>
      </c>
    </row>
    <row r="31" spans="3:19">
      <c r="C31" s="97" t="s">
        <v>273</v>
      </c>
      <c r="D31" s="91" t="s">
        <v>299</v>
      </c>
      <c r="E31" s="143">
        <v>0.02</v>
      </c>
      <c r="F31" s="143">
        <f t="shared" si="0"/>
        <v>0.02</v>
      </c>
      <c r="G31" s="143">
        <v>0</v>
      </c>
      <c r="H31" s="143" t="s">
        <v>310</v>
      </c>
      <c r="I31" s="143">
        <v>0</v>
      </c>
      <c r="J31" s="143">
        <v>2.5000000000000001E-3</v>
      </c>
      <c r="K31" s="143">
        <v>9.4999999999999998E-3</v>
      </c>
      <c r="L31" s="144">
        <v>0</v>
      </c>
      <c r="M31" s="144">
        <v>0</v>
      </c>
      <c r="N31" s="144">
        <v>0</v>
      </c>
      <c r="O31" s="144">
        <v>0</v>
      </c>
      <c r="P31" s="144">
        <v>0</v>
      </c>
      <c r="Q31" s="144">
        <v>0</v>
      </c>
      <c r="R31" s="144">
        <v>0</v>
      </c>
      <c r="S31" s="145">
        <v>0</v>
      </c>
    </row>
    <row r="32" spans="3:19">
      <c r="C32" s="97" t="s">
        <v>273</v>
      </c>
      <c r="D32" s="91" t="s">
        <v>300</v>
      </c>
      <c r="E32" s="143">
        <v>2.5000000000000001E-2</v>
      </c>
      <c r="F32" s="143">
        <f t="shared" si="0"/>
        <v>2.5000000000000001E-2</v>
      </c>
      <c r="G32" s="143">
        <v>0</v>
      </c>
      <c r="H32" s="143" t="s">
        <v>310</v>
      </c>
      <c r="I32" s="143">
        <v>0</v>
      </c>
      <c r="J32" s="143">
        <v>1.25E-3</v>
      </c>
      <c r="K32" s="143">
        <v>9.4999999999999998E-3</v>
      </c>
      <c r="L32" s="144">
        <v>0</v>
      </c>
      <c r="M32" s="144">
        <v>0</v>
      </c>
      <c r="N32" s="144">
        <v>0</v>
      </c>
      <c r="O32" s="144">
        <v>0</v>
      </c>
      <c r="P32" s="144">
        <v>0</v>
      </c>
      <c r="Q32" s="144">
        <v>0</v>
      </c>
      <c r="R32" s="144">
        <v>0</v>
      </c>
      <c r="S32" s="145">
        <v>0</v>
      </c>
    </row>
    <row r="33" spans="3:24">
      <c r="C33" s="97" t="s">
        <v>273</v>
      </c>
      <c r="D33" s="91" t="s">
        <v>301</v>
      </c>
      <c r="E33" s="143">
        <v>0.03</v>
      </c>
      <c r="F33" s="143">
        <f t="shared" si="0"/>
        <v>0.03</v>
      </c>
      <c r="G33" s="143">
        <v>0</v>
      </c>
      <c r="H33" s="143" t="s">
        <v>310</v>
      </c>
      <c r="I33" s="143">
        <v>0</v>
      </c>
      <c r="J33" s="143">
        <v>0</v>
      </c>
      <c r="K33" s="143">
        <v>9.4999999999999998E-3</v>
      </c>
      <c r="L33" s="144">
        <v>0</v>
      </c>
      <c r="M33" s="144">
        <v>0</v>
      </c>
      <c r="N33" s="144">
        <v>0</v>
      </c>
      <c r="O33" s="144">
        <v>0</v>
      </c>
      <c r="P33" s="144">
        <v>0</v>
      </c>
      <c r="Q33" s="144">
        <v>0</v>
      </c>
      <c r="R33" s="144">
        <v>0</v>
      </c>
      <c r="S33" s="145">
        <v>0</v>
      </c>
      <c r="T33" s="92"/>
      <c r="U33" s="90"/>
      <c r="V33" s="90"/>
      <c r="W33" s="90"/>
      <c r="X33" s="90"/>
    </row>
    <row r="34" spans="3:24">
      <c r="C34" s="97" t="s">
        <v>274</v>
      </c>
      <c r="D34" s="91" t="s">
        <v>302</v>
      </c>
      <c r="E34" s="143">
        <v>0.01</v>
      </c>
      <c r="F34" s="143">
        <f t="shared" si="0"/>
        <v>0.01</v>
      </c>
      <c r="G34" s="143">
        <v>0</v>
      </c>
      <c r="H34" s="143" t="s">
        <v>310</v>
      </c>
      <c r="I34" s="143">
        <v>0</v>
      </c>
      <c r="J34" s="143">
        <v>6.2500000000000003E-3</v>
      </c>
      <c r="K34" s="143">
        <v>1.2E-2</v>
      </c>
      <c r="L34" s="144">
        <v>0</v>
      </c>
      <c r="M34" s="144">
        <v>0</v>
      </c>
      <c r="N34" s="144">
        <v>0</v>
      </c>
      <c r="O34" s="144">
        <v>0</v>
      </c>
      <c r="P34" s="144">
        <v>0</v>
      </c>
      <c r="Q34" s="144">
        <v>0</v>
      </c>
      <c r="R34" s="144">
        <v>0</v>
      </c>
      <c r="S34" s="145">
        <v>0</v>
      </c>
      <c r="T34" s="92"/>
      <c r="U34" s="90"/>
      <c r="V34" s="90"/>
      <c r="W34" s="90"/>
      <c r="X34" s="90"/>
    </row>
    <row r="35" spans="3:24">
      <c r="C35" s="97" t="s">
        <v>274</v>
      </c>
      <c r="D35" s="91" t="s">
        <v>303</v>
      </c>
      <c r="E35" s="143">
        <v>0.02</v>
      </c>
      <c r="F35" s="143">
        <f t="shared" si="0"/>
        <v>0.02</v>
      </c>
      <c r="G35" s="143">
        <v>0</v>
      </c>
      <c r="H35" s="143" t="s">
        <v>310</v>
      </c>
      <c r="I35" s="143">
        <v>0</v>
      </c>
      <c r="J35" s="143">
        <v>5.0000000000000001E-3</v>
      </c>
      <c r="K35" s="143">
        <v>1.2E-2</v>
      </c>
      <c r="L35" s="144">
        <v>0</v>
      </c>
      <c r="M35" s="144">
        <v>0</v>
      </c>
      <c r="N35" s="144">
        <v>0</v>
      </c>
      <c r="O35" s="144">
        <v>0</v>
      </c>
      <c r="P35" s="144">
        <v>0</v>
      </c>
      <c r="Q35" s="144">
        <v>0</v>
      </c>
      <c r="R35" s="144">
        <v>0</v>
      </c>
      <c r="S35" s="145">
        <v>0</v>
      </c>
    </row>
    <row r="36" spans="3:24">
      <c r="C36" s="97" t="s">
        <v>274</v>
      </c>
      <c r="D36" s="91" t="s">
        <v>304</v>
      </c>
      <c r="E36" s="143">
        <v>2.5000000000000001E-2</v>
      </c>
      <c r="F36" s="143">
        <f t="shared" si="0"/>
        <v>2.5000000000000001E-2</v>
      </c>
      <c r="G36" s="143">
        <v>0</v>
      </c>
      <c r="H36" s="143" t="s">
        <v>310</v>
      </c>
      <c r="I36" s="143">
        <v>0</v>
      </c>
      <c r="J36" s="143">
        <v>3.7499999999999999E-3</v>
      </c>
      <c r="K36" s="143">
        <v>1.2E-2</v>
      </c>
      <c r="L36" s="144">
        <v>0</v>
      </c>
      <c r="M36" s="144">
        <v>0</v>
      </c>
      <c r="N36" s="144">
        <v>0</v>
      </c>
      <c r="O36" s="144">
        <v>0</v>
      </c>
      <c r="P36" s="144">
        <v>0</v>
      </c>
      <c r="Q36" s="144">
        <v>0</v>
      </c>
      <c r="R36" s="144">
        <v>0</v>
      </c>
      <c r="S36" s="145">
        <v>0</v>
      </c>
    </row>
    <row r="37" spans="3:24">
      <c r="C37" s="97" t="s">
        <v>274</v>
      </c>
      <c r="D37" s="91" t="s">
        <v>305</v>
      </c>
      <c r="E37" s="143">
        <v>0.03</v>
      </c>
      <c r="F37" s="143">
        <f t="shared" si="0"/>
        <v>0.03</v>
      </c>
      <c r="G37" s="143">
        <v>0</v>
      </c>
      <c r="H37" s="143" t="s">
        <v>310</v>
      </c>
      <c r="I37" s="143">
        <v>0</v>
      </c>
      <c r="J37" s="143">
        <v>2.4999999999999996E-3</v>
      </c>
      <c r="K37" s="143">
        <v>1.2E-2</v>
      </c>
      <c r="L37" s="144">
        <v>0</v>
      </c>
      <c r="M37" s="144">
        <v>0</v>
      </c>
      <c r="N37" s="144">
        <v>0</v>
      </c>
      <c r="O37" s="144">
        <v>0</v>
      </c>
      <c r="P37" s="144">
        <v>0</v>
      </c>
      <c r="Q37" s="144">
        <v>0</v>
      </c>
      <c r="R37" s="144">
        <v>0</v>
      </c>
      <c r="S37" s="145">
        <v>0</v>
      </c>
    </row>
    <row r="38" spans="3:24">
      <c r="C38" s="97" t="s">
        <v>275</v>
      </c>
      <c r="D38" s="91" t="s">
        <v>306</v>
      </c>
      <c r="E38" s="143">
        <v>0.01</v>
      </c>
      <c r="F38" s="143">
        <f t="shared" si="0"/>
        <v>0.01</v>
      </c>
      <c r="G38" s="143">
        <v>0</v>
      </c>
      <c r="H38" s="143" t="s">
        <v>310</v>
      </c>
      <c r="I38" s="143">
        <v>0</v>
      </c>
      <c r="J38" s="143">
        <v>8.7500000000000008E-3</v>
      </c>
      <c r="K38" s="143">
        <v>1.4499999999999999E-2</v>
      </c>
      <c r="L38" s="144">
        <v>0</v>
      </c>
      <c r="M38" s="144">
        <v>0</v>
      </c>
      <c r="N38" s="144">
        <v>0</v>
      </c>
      <c r="O38" s="144">
        <v>0</v>
      </c>
      <c r="P38" s="144">
        <v>0</v>
      </c>
      <c r="Q38" s="144">
        <v>0</v>
      </c>
      <c r="R38" s="144">
        <v>0</v>
      </c>
      <c r="S38" s="145">
        <v>0</v>
      </c>
    </row>
    <row r="39" spans="3:24">
      <c r="C39" s="97" t="s">
        <v>275</v>
      </c>
      <c r="D39" s="91" t="s">
        <v>307</v>
      </c>
      <c r="E39" s="143">
        <v>0.02</v>
      </c>
      <c r="F39" s="143">
        <f t="shared" si="0"/>
        <v>0.02</v>
      </c>
      <c r="G39" s="143">
        <v>0</v>
      </c>
      <c r="H39" s="143" t="s">
        <v>310</v>
      </c>
      <c r="I39" s="143">
        <v>0</v>
      </c>
      <c r="J39" s="143">
        <v>7.4999999999999997E-3</v>
      </c>
      <c r="K39" s="143">
        <v>1.4499999999999999E-2</v>
      </c>
      <c r="L39" s="144">
        <v>0</v>
      </c>
      <c r="M39" s="144">
        <v>0</v>
      </c>
      <c r="N39" s="144">
        <v>0</v>
      </c>
      <c r="O39" s="144">
        <v>0</v>
      </c>
      <c r="P39" s="144">
        <v>0</v>
      </c>
      <c r="Q39" s="144">
        <v>0</v>
      </c>
      <c r="R39" s="144">
        <v>0</v>
      </c>
      <c r="S39" s="145">
        <v>0</v>
      </c>
    </row>
    <row r="40" spans="3:24">
      <c r="C40" s="97" t="s">
        <v>275</v>
      </c>
      <c r="D40" s="91" t="s">
        <v>308</v>
      </c>
      <c r="E40" s="143">
        <v>2.5000000000000001E-2</v>
      </c>
      <c r="F40" s="143">
        <f t="shared" si="0"/>
        <v>2.5000000000000001E-2</v>
      </c>
      <c r="G40" s="143">
        <v>0</v>
      </c>
      <c r="H40" s="143" t="s">
        <v>310</v>
      </c>
      <c r="I40" s="143">
        <v>0</v>
      </c>
      <c r="J40" s="143">
        <v>6.2500000000000003E-3</v>
      </c>
      <c r="K40" s="143">
        <v>1.4499999999999999E-2</v>
      </c>
      <c r="L40" s="144">
        <v>0</v>
      </c>
      <c r="M40" s="144">
        <v>0</v>
      </c>
      <c r="N40" s="144">
        <v>0</v>
      </c>
      <c r="O40" s="144">
        <v>0</v>
      </c>
      <c r="P40" s="144">
        <v>0</v>
      </c>
      <c r="Q40" s="144">
        <v>0</v>
      </c>
      <c r="R40" s="144">
        <v>0</v>
      </c>
      <c r="S40" s="145">
        <v>0</v>
      </c>
    </row>
    <row r="41" spans="3:24">
      <c r="C41" s="97" t="s">
        <v>275</v>
      </c>
      <c r="D41" s="91" t="s">
        <v>309</v>
      </c>
      <c r="E41" s="143">
        <v>0.03</v>
      </c>
      <c r="F41" s="143">
        <f t="shared" si="0"/>
        <v>0.03</v>
      </c>
      <c r="G41" s="143">
        <v>0</v>
      </c>
      <c r="H41" s="143" t="s">
        <v>310</v>
      </c>
      <c r="I41" s="143">
        <v>0</v>
      </c>
      <c r="J41" s="143">
        <v>5.0000000000000001E-3</v>
      </c>
      <c r="K41" s="143">
        <v>1.4499999999999999E-2</v>
      </c>
      <c r="L41" s="144">
        <v>0</v>
      </c>
      <c r="M41" s="144">
        <v>0</v>
      </c>
      <c r="N41" s="144">
        <v>0</v>
      </c>
      <c r="O41" s="144">
        <v>0</v>
      </c>
      <c r="P41" s="144">
        <v>0</v>
      </c>
      <c r="Q41" s="144">
        <v>0</v>
      </c>
      <c r="R41" s="144">
        <v>0</v>
      </c>
      <c r="S41" s="145">
        <v>0</v>
      </c>
    </row>
    <row r="42" spans="3:24">
      <c r="C42" s="97" t="s">
        <v>276</v>
      </c>
      <c r="D42" s="91" t="s">
        <v>277</v>
      </c>
      <c r="E42" s="143">
        <v>2.5000000000000001E-2</v>
      </c>
      <c r="F42" s="143">
        <f t="shared" si="0"/>
        <v>2.5000000000000001E-2</v>
      </c>
      <c r="G42" s="143">
        <v>0.1</v>
      </c>
      <c r="H42" s="143" t="s">
        <v>310</v>
      </c>
      <c r="I42" s="143">
        <v>1.01</v>
      </c>
      <c r="J42" s="143">
        <v>0</v>
      </c>
      <c r="K42" s="143">
        <v>8.9999999999999993E-3</v>
      </c>
      <c r="L42" s="144">
        <v>0.03</v>
      </c>
      <c r="M42" s="144">
        <v>0.02</v>
      </c>
      <c r="N42" s="144">
        <v>0.01</v>
      </c>
      <c r="O42" s="144">
        <v>0</v>
      </c>
      <c r="P42" s="144">
        <v>0</v>
      </c>
      <c r="Q42" s="144">
        <v>0</v>
      </c>
      <c r="R42" s="144">
        <v>0</v>
      </c>
      <c r="S42" s="145">
        <v>0</v>
      </c>
    </row>
    <row r="43" spans="3:24">
      <c r="C43" s="97" t="s">
        <v>276</v>
      </c>
      <c r="D43" s="91" t="s">
        <v>278</v>
      </c>
      <c r="E43" s="143">
        <v>3.5000000000000003E-2</v>
      </c>
      <c r="F43" s="143">
        <f t="shared" si="0"/>
        <v>3.5000000000000003E-2</v>
      </c>
      <c r="G43" s="143">
        <v>0.15</v>
      </c>
      <c r="H43" s="143" t="s">
        <v>310</v>
      </c>
      <c r="I43" s="143">
        <v>1</v>
      </c>
      <c r="J43" s="143">
        <v>0</v>
      </c>
      <c r="K43" s="143">
        <v>8.9999999999999993E-3</v>
      </c>
      <c r="L43" s="144">
        <v>0.05</v>
      </c>
      <c r="M43" s="144">
        <v>0.04</v>
      </c>
      <c r="N43" s="144">
        <v>0.03</v>
      </c>
      <c r="O43" s="144">
        <v>0.02</v>
      </c>
      <c r="P43" s="144">
        <v>0.01</v>
      </c>
      <c r="Q43" s="144">
        <v>0</v>
      </c>
      <c r="R43" s="144">
        <v>0</v>
      </c>
      <c r="S43" s="145">
        <v>0</v>
      </c>
    </row>
    <row r="44" spans="3:24">
      <c r="C44" s="97" t="s">
        <v>279</v>
      </c>
      <c r="D44" s="91" t="s">
        <v>280</v>
      </c>
      <c r="E44" s="143">
        <v>2.5000000000000001E-2</v>
      </c>
      <c r="F44" s="143">
        <f t="shared" si="0"/>
        <v>2.5000000000000001E-2</v>
      </c>
      <c r="G44" s="143">
        <v>0.1</v>
      </c>
      <c r="H44" s="143" t="s">
        <v>310</v>
      </c>
      <c r="I44" s="143">
        <v>1.01</v>
      </c>
      <c r="J44" s="143">
        <v>2.5000000000000001E-3</v>
      </c>
      <c r="K44" s="143">
        <v>1.15E-2</v>
      </c>
      <c r="L44" s="144">
        <v>0.03</v>
      </c>
      <c r="M44" s="144">
        <v>0.02</v>
      </c>
      <c r="N44" s="144">
        <v>0.01</v>
      </c>
      <c r="O44" s="144">
        <v>0</v>
      </c>
      <c r="P44" s="144">
        <v>0</v>
      </c>
      <c r="Q44" s="144">
        <v>0</v>
      </c>
      <c r="R44" s="144">
        <v>0</v>
      </c>
      <c r="S44" s="145">
        <v>0</v>
      </c>
    </row>
    <row r="45" spans="3:24">
      <c r="C45" s="97" t="s">
        <v>279</v>
      </c>
      <c r="D45" s="91" t="s">
        <v>281</v>
      </c>
      <c r="E45" s="143">
        <v>3.5000000000000003E-2</v>
      </c>
      <c r="F45" s="143">
        <f t="shared" si="0"/>
        <v>3.5000000000000003E-2</v>
      </c>
      <c r="G45" s="143">
        <v>0.15</v>
      </c>
      <c r="H45" s="143" t="s">
        <v>310</v>
      </c>
      <c r="I45" s="143">
        <v>1</v>
      </c>
      <c r="J45" s="143">
        <v>2.5000000000000001E-3</v>
      </c>
      <c r="K45" s="143">
        <v>1.15E-2</v>
      </c>
      <c r="L45" s="144">
        <v>0.05</v>
      </c>
      <c r="M45" s="144">
        <v>0.04</v>
      </c>
      <c r="N45" s="144">
        <v>0.03</v>
      </c>
      <c r="O45" s="144">
        <v>0.02</v>
      </c>
      <c r="P45" s="144">
        <v>0.01</v>
      </c>
      <c r="Q45" s="144">
        <v>0</v>
      </c>
      <c r="R45" s="144">
        <v>0</v>
      </c>
      <c r="S45" s="145">
        <v>0</v>
      </c>
    </row>
    <row r="46" spans="3:24">
      <c r="C46" s="97" t="s">
        <v>282</v>
      </c>
      <c r="D46" s="91" t="s">
        <v>283</v>
      </c>
      <c r="E46" s="143">
        <v>2.5000000000000001E-2</v>
      </c>
      <c r="F46" s="143">
        <f t="shared" si="0"/>
        <v>2.5000000000000001E-2</v>
      </c>
      <c r="G46" s="143">
        <v>0.1</v>
      </c>
      <c r="H46" s="143" t="s">
        <v>310</v>
      </c>
      <c r="I46" s="143">
        <v>1.01</v>
      </c>
      <c r="J46" s="143">
        <v>5.0000000000000001E-3</v>
      </c>
      <c r="K46" s="143">
        <v>1.4E-2</v>
      </c>
      <c r="L46" s="144">
        <v>0.03</v>
      </c>
      <c r="M46" s="144">
        <v>0.02</v>
      </c>
      <c r="N46" s="144">
        <v>0.01</v>
      </c>
      <c r="O46" s="144">
        <v>0</v>
      </c>
      <c r="P46" s="144">
        <v>0</v>
      </c>
      <c r="Q46" s="144">
        <v>0</v>
      </c>
      <c r="R46" s="144">
        <v>0</v>
      </c>
      <c r="S46" s="145">
        <v>0</v>
      </c>
    </row>
    <row r="47" spans="3:24" ht="15.75" thickBot="1">
      <c r="C47" s="98" t="s">
        <v>282</v>
      </c>
      <c r="D47" s="99" t="s">
        <v>284</v>
      </c>
      <c r="E47" s="146">
        <v>3.5000000000000003E-2</v>
      </c>
      <c r="F47" s="146">
        <f t="shared" si="0"/>
        <v>3.5000000000000003E-2</v>
      </c>
      <c r="G47" s="146">
        <v>0.15</v>
      </c>
      <c r="H47" s="146" t="s">
        <v>310</v>
      </c>
      <c r="I47" s="146">
        <v>1</v>
      </c>
      <c r="J47" s="146">
        <v>5.0000000000000001E-3</v>
      </c>
      <c r="K47" s="146">
        <v>1.4E-2</v>
      </c>
      <c r="L47" s="242">
        <v>0.05</v>
      </c>
      <c r="M47" s="242">
        <v>0.04</v>
      </c>
      <c r="N47" s="242">
        <v>0.03</v>
      </c>
      <c r="O47" s="242">
        <v>0.02</v>
      </c>
      <c r="P47" s="242">
        <v>0.01</v>
      </c>
      <c r="Q47" s="242">
        <v>0</v>
      </c>
      <c r="R47" s="242">
        <v>0</v>
      </c>
      <c r="S47" s="243">
        <v>0</v>
      </c>
    </row>
    <row r="48" spans="3:24">
      <c r="C48" s="102"/>
      <c r="D48" s="103"/>
      <c r="E48" s="101"/>
    </row>
    <row r="49" spans="3:8">
      <c r="C49" s="102"/>
      <c r="D49" s="103"/>
      <c r="E49" s="101"/>
    </row>
    <row r="50" spans="3:8">
      <c r="C50" s="2" t="s">
        <v>54</v>
      </c>
      <c r="D50" s="1"/>
      <c r="E50" s="1"/>
    </row>
    <row r="51" spans="3:8">
      <c r="C51" s="1" t="s">
        <v>55</v>
      </c>
      <c r="D51" s="109">
        <v>7.1999999999999995E-2</v>
      </c>
      <c r="E51" s="1" t="s">
        <v>56</v>
      </c>
      <c r="F51" s="172" t="s">
        <v>57</v>
      </c>
      <c r="G51" t="s">
        <v>58</v>
      </c>
    </row>
    <row r="52" spans="3:8">
      <c r="C52" s="1" t="s">
        <v>59</v>
      </c>
      <c r="D52" s="109">
        <v>7.1999999999999995E-2</v>
      </c>
      <c r="E52" s="1" t="s">
        <v>56</v>
      </c>
    </row>
    <row r="53" spans="3:8">
      <c r="C53" s="1" t="s">
        <v>60</v>
      </c>
      <c r="D53" s="109">
        <v>4.2500000000000003E-2</v>
      </c>
      <c r="E53" s="1" t="s">
        <v>56</v>
      </c>
      <c r="F53" s="20"/>
    </row>
    <row r="54" spans="3:8">
      <c r="C54" s="1" t="s">
        <v>61</v>
      </c>
      <c r="D54" s="109">
        <v>3.2000000000000001E-2</v>
      </c>
      <c r="E54" s="1" t="s">
        <v>56</v>
      </c>
    </row>
    <row r="56" spans="3:8" ht="15.75" thickBot="1"/>
    <row r="57" spans="3:8" ht="15.75" thickBot="1">
      <c r="C57" s="113" t="s">
        <v>62</v>
      </c>
      <c r="D57" s="114" t="s">
        <v>55</v>
      </c>
      <c r="E57" s="114" t="s">
        <v>59</v>
      </c>
      <c r="F57" s="114" t="s">
        <v>63</v>
      </c>
      <c r="G57" s="115" t="s">
        <v>61</v>
      </c>
    </row>
    <row r="58" spans="3:8" ht="15.75" thickBot="1">
      <c r="C58" s="113" t="s">
        <v>54</v>
      </c>
      <c r="D58" s="193">
        <f>D51</f>
        <v>7.1999999999999995E-2</v>
      </c>
      <c r="E58" s="193">
        <f>D52</f>
        <v>7.1999999999999995E-2</v>
      </c>
      <c r="F58" s="193">
        <f>D53</f>
        <v>4.2500000000000003E-2</v>
      </c>
      <c r="G58" s="194">
        <f>D54</f>
        <v>3.2000000000000001E-2</v>
      </c>
    </row>
    <row r="59" spans="3:8">
      <c r="C59" s="110" t="s">
        <v>64</v>
      </c>
      <c r="D59" s="147">
        <v>0.3</v>
      </c>
      <c r="E59" s="147">
        <v>0</v>
      </c>
      <c r="F59" s="147">
        <v>0.7</v>
      </c>
      <c r="G59" s="148">
        <v>0</v>
      </c>
      <c r="H59" s="24">
        <f>1-SUM(D59:G59)</f>
        <v>0</v>
      </c>
    </row>
    <row r="60" spans="3:8">
      <c r="C60" s="111" t="s">
        <v>65</v>
      </c>
      <c r="D60" s="149">
        <v>0.5</v>
      </c>
      <c r="E60" s="149">
        <v>0</v>
      </c>
      <c r="F60" s="149">
        <v>0.5</v>
      </c>
      <c r="G60" s="150">
        <v>0</v>
      </c>
      <c r="H60" s="24">
        <f>1-SUM(D60:G60)</f>
        <v>0</v>
      </c>
    </row>
    <row r="61" spans="3:8">
      <c r="C61" s="111" t="s">
        <v>66</v>
      </c>
      <c r="D61" s="149">
        <v>0.75</v>
      </c>
      <c r="E61" s="149">
        <v>0</v>
      </c>
      <c r="F61" s="149">
        <v>0.25</v>
      </c>
      <c r="G61" s="150">
        <v>0</v>
      </c>
      <c r="H61" s="24">
        <f>1-SUM(D61:G61)</f>
        <v>0</v>
      </c>
    </row>
    <row r="62" spans="3:8">
      <c r="C62" s="111" t="s">
        <v>67</v>
      </c>
      <c r="D62" s="149">
        <v>1</v>
      </c>
      <c r="E62" s="149">
        <v>0</v>
      </c>
      <c r="F62" s="149">
        <v>0</v>
      </c>
      <c r="G62" s="150">
        <v>0</v>
      </c>
      <c r="H62" s="24">
        <f t="shared" ref="H62:H71" si="1">1-SUM(D62:G62)</f>
        <v>0</v>
      </c>
    </row>
    <row r="63" spans="3:8">
      <c r="C63" s="111" t="s">
        <v>68</v>
      </c>
      <c r="D63" s="149">
        <v>0</v>
      </c>
      <c r="E63" s="149">
        <v>0</v>
      </c>
      <c r="F63" s="149">
        <v>1</v>
      </c>
      <c r="G63" s="150">
        <v>0</v>
      </c>
      <c r="H63" s="24">
        <f t="shared" si="1"/>
        <v>0</v>
      </c>
    </row>
    <row r="64" spans="3:8">
      <c r="C64" s="111" t="s">
        <v>69</v>
      </c>
      <c r="D64" s="149">
        <v>0</v>
      </c>
      <c r="E64" s="149">
        <v>0</v>
      </c>
      <c r="F64" s="149">
        <v>1</v>
      </c>
      <c r="G64" s="150">
        <v>0</v>
      </c>
      <c r="H64" s="24">
        <f t="shared" si="1"/>
        <v>0</v>
      </c>
    </row>
    <row r="65" spans="3:8">
      <c r="C65" s="111" t="s">
        <v>70</v>
      </c>
      <c r="D65" s="149">
        <v>0.75</v>
      </c>
      <c r="E65" s="149">
        <v>0</v>
      </c>
      <c r="F65" s="149">
        <v>0.25</v>
      </c>
      <c r="G65" s="150">
        <v>0</v>
      </c>
      <c r="H65" s="24">
        <f t="shared" si="1"/>
        <v>0</v>
      </c>
    </row>
    <row r="66" spans="3:8">
      <c r="C66" s="111" t="s">
        <v>71</v>
      </c>
      <c r="D66" s="149">
        <v>0.5</v>
      </c>
      <c r="E66" s="149">
        <v>0</v>
      </c>
      <c r="F66" s="149">
        <v>0.5</v>
      </c>
      <c r="G66" s="150">
        <v>0</v>
      </c>
      <c r="H66" s="24">
        <f t="shared" si="1"/>
        <v>0</v>
      </c>
    </row>
    <row r="67" spans="3:8">
      <c r="C67" s="111" t="s">
        <v>72</v>
      </c>
      <c r="D67" s="149">
        <v>0.15</v>
      </c>
      <c r="E67" s="149">
        <v>0</v>
      </c>
      <c r="F67" s="149">
        <v>0.85</v>
      </c>
      <c r="G67" s="150">
        <v>0</v>
      </c>
      <c r="H67" s="24">
        <f t="shared" si="1"/>
        <v>0</v>
      </c>
    </row>
    <row r="68" spans="3:8">
      <c r="C68" s="111" t="s">
        <v>73</v>
      </c>
      <c r="D68" s="149">
        <v>1</v>
      </c>
      <c r="E68" s="149">
        <v>0</v>
      </c>
      <c r="F68" s="149">
        <v>0</v>
      </c>
      <c r="G68" s="150">
        <v>0</v>
      </c>
      <c r="H68" s="24">
        <f t="shared" si="1"/>
        <v>0</v>
      </c>
    </row>
    <row r="69" spans="3:8">
      <c r="C69" s="111" t="s">
        <v>74</v>
      </c>
      <c r="D69" s="149">
        <v>1</v>
      </c>
      <c r="E69" s="149">
        <v>0</v>
      </c>
      <c r="F69" s="149">
        <v>0</v>
      </c>
      <c r="G69" s="150">
        <v>0</v>
      </c>
      <c r="H69" s="24">
        <f t="shared" si="1"/>
        <v>0</v>
      </c>
    </row>
    <row r="70" spans="3:8">
      <c r="C70" s="111" t="s">
        <v>75</v>
      </c>
      <c r="D70" s="149">
        <v>1</v>
      </c>
      <c r="E70" s="149">
        <v>0</v>
      </c>
      <c r="F70" s="149">
        <v>0</v>
      </c>
      <c r="G70" s="150">
        <v>0</v>
      </c>
      <c r="H70" s="24">
        <f t="shared" si="1"/>
        <v>0</v>
      </c>
    </row>
    <row r="71" spans="3:8" ht="15.75" thickBot="1">
      <c r="C71" s="112" t="s">
        <v>76</v>
      </c>
      <c r="D71" s="151">
        <v>0</v>
      </c>
      <c r="E71" s="151">
        <v>0</v>
      </c>
      <c r="F71" s="151">
        <v>0</v>
      </c>
      <c r="G71" s="152">
        <v>1</v>
      </c>
      <c r="H71" s="24">
        <f t="shared" si="1"/>
        <v>0</v>
      </c>
    </row>
    <row r="72" spans="3:8">
      <c r="C72" s="1"/>
      <c r="D72" s="101"/>
      <c r="E72" s="101"/>
      <c r="F72" s="101"/>
      <c r="G72" s="101"/>
      <c r="H72" s="24"/>
    </row>
    <row r="75" spans="3:8" ht="15.75" thickBot="1">
      <c r="F75" s="20"/>
    </row>
    <row r="76" spans="3:8" ht="27.75" thickBot="1">
      <c r="C76" s="113" t="s">
        <v>62</v>
      </c>
      <c r="D76" s="114" t="s">
        <v>77</v>
      </c>
      <c r="E76" s="114" t="s">
        <v>78</v>
      </c>
      <c r="F76" s="115" t="s">
        <v>79</v>
      </c>
      <c r="G76" s="170" t="s">
        <v>80</v>
      </c>
    </row>
    <row r="77" spans="3:8">
      <c r="C77" s="111" t="s">
        <v>64</v>
      </c>
      <c r="D77" s="149">
        <v>6.4999999999999997E-3</v>
      </c>
      <c r="E77" s="116">
        <f t="shared" ref="E77:E85" si="2">SUMPRODUCT($D$58:$G$58,D59:G59)</f>
        <v>5.1349999999999993E-2</v>
      </c>
      <c r="F77" s="117">
        <f>(1+E77)^(1/12)-1</f>
        <v>4.1816398110932074E-3</v>
      </c>
      <c r="G77" s="176">
        <v>2.5000000000000001E-3</v>
      </c>
      <c r="H77" t="s">
        <v>81</v>
      </c>
    </row>
    <row r="78" spans="3:8">
      <c r="C78" s="111" t="s">
        <v>65</v>
      </c>
      <c r="D78" s="149">
        <v>7.4999999999999997E-3</v>
      </c>
      <c r="E78" s="116">
        <f t="shared" si="2"/>
        <v>5.7249999999999995E-2</v>
      </c>
      <c r="F78" s="117">
        <f t="shared" ref="F78:F89" si="3">(1+E78)^(1/12)-1</f>
        <v>4.6500445051051997E-3</v>
      </c>
      <c r="G78" s="176">
        <v>2.5000000000000001E-3</v>
      </c>
    </row>
    <row r="79" spans="3:8">
      <c r="C79" s="111" t="s">
        <v>66</v>
      </c>
      <c r="D79" s="149">
        <v>8.5000000000000006E-3</v>
      </c>
      <c r="E79" s="116">
        <f t="shared" si="2"/>
        <v>6.4624999999999988E-2</v>
      </c>
      <c r="F79" s="117">
        <f t="shared" si="3"/>
        <v>5.232192399942992E-3</v>
      </c>
      <c r="G79" s="176">
        <v>2.5000000000000001E-3</v>
      </c>
    </row>
    <row r="80" spans="3:8">
      <c r="C80" s="111" t="s">
        <v>67</v>
      </c>
      <c r="D80" s="118"/>
      <c r="E80" s="116">
        <f t="shared" si="2"/>
        <v>7.1999999999999995E-2</v>
      </c>
      <c r="F80" s="117">
        <f t="shared" si="3"/>
        <v>5.8106552987937654E-3</v>
      </c>
      <c r="G80" s="176">
        <v>4.4999999999999997E-3</v>
      </c>
    </row>
    <row r="81" spans="3:7">
      <c r="C81" s="111" t="s">
        <v>68</v>
      </c>
      <c r="D81" s="118"/>
      <c r="E81" s="116">
        <f t="shared" si="2"/>
        <v>4.2500000000000003E-2</v>
      </c>
      <c r="F81" s="117">
        <f t="shared" si="3"/>
        <v>3.474495003497502E-3</v>
      </c>
      <c r="G81" s="176">
        <v>2.2000000000000001E-3</v>
      </c>
    </row>
    <row r="82" spans="3:7">
      <c r="C82" s="111" t="s">
        <v>69</v>
      </c>
      <c r="D82" s="118"/>
      <c r="E82" s="116">
        <f t="shared" si="2"/>
        <v>4.2500000000000003E-2</v>
      </c>
      <c r="F82" s="117">
        <f t="shared" si="3"/>
        <v>3.474495003497502E-3</v>
      </c>
      <c r="G82" s="176">
        <v>2.7000000000000001E-3</v>
      </c>
    </row>
    <row r="83" spans="3:7">
      <c r="C83" s="111" t="s">
        <v>70</v>
      </c>
      <c r="D83" s="118"/>
      <c r="E83" s="116">
        <f t="shared" si="2"/>
        <v>6.4624999999999988E-2</v>
      </c>
      <c r="F83" s="117">
        <f t="shared" si="3"/>
        <v>5.232192399942992E-3</v>
      </c>
      <c r="G83" s="176">
        <v>6.4999999999999997E-3</v>
      </c>
    </row>
    <row r="84" spans="3:7">
      <c r="C84" s="111" t="s">
        <v>71</v>
      </c>
      <c r="D84" s="118"/>
      <c r="E84" s="116">
        <f t="shared" si="2"/>
        <v>5.7249999999999995E-2</v>
      </c>
      <c r="F84" s="117">
        <f t="shared" si="3"/>
        <v>4.6500445051051997E-3</v>
      </c>
      <c r="G84" s="176">
        <v>5.8999999999999999E-3</v>
      </c>
    </row>
    <row r="85" spans="3:7">
      <c r="C85" s="111" t="s">
        <v>72</v>
      </c>
      <c r="D85" s="118"/>
      <c r="E85" s="116">
        <f t="shared" si="2"/>
        <v>4.6925000000000001E-2</v>
      </c>
      <c r="F85" s="117">
        <f t="shared" si="3"/>
        <v>3.8287523572662074E-3</v>
      </c>
      <c r="G85" s="176">
        <v>4.8999999999999998E-3</v>
      </c>
    </row>
    <row r="86" spans="3:7">
      <c r="C86" s="111" t="s">
        <v>73</v>
      </c>
      <c r="D86" s="118"/>
      <c r="E86" s="116">
        <f t="shared" ref="E86:E88" si="4">SUMPRODUCT($D$58:$G$58,D68:G68)</f>
        <v>7.1999999999999995E-2</v>
      </c>
      <c r="F86" s="117">
        <f t="shared" ref="F86:F88" si="5">(1+E86)^(1/12)-1</f>
        <v>5.8106552987937654E-3</v>
      </c>
      <c r="G86" s="176">
        <v>5.0000000000000001E-4</v>
      </c>
    </row>
    <row r="87" spans="3:7">
      <c r="C87" s="111" t="s">
        <v>74</v>
      </c>
      <c r="D87" s="118"/>
      <c r="E87" s="116">
        <f t="shared" si="4"/>
        <v>7.1999999999999995E-2</v>
      </c>
      <c r="F87" s="117">
        <f t="shared" si="5"/>
        <v>5.8106552987937654E-3</v>
      </c>
      <c r="G87" s="176">
        <v>1.5E-3</v>
      </c>
    </row>
    <row r="88" spans="3:7">
      <c r="C88" s="111" t="s">
        <v>75</v>
      </c>
      <c r="D88" s="118"/>
      <c r="E88" s="116">
        <f t="shared" si="4"/>
        <v>7.1999999999999995E-2</v>
      </c>
      <c r="F88" s="117">
        <f t="shared" si="5"/>
        <v>5.8106552987937654E-3</v>
      </c>
      <c r="G88" s="176">
        <v>8.9999999999999998E-4</v>
      </c>
    </row>
    <row r="89" spans="3:7" ht="15.75" thickBot="1">
      <c r="C89" s="112" t="s">
        <v>76</v>
      </c>
      <c r="D89" s="119"/>
      <c r="E89" s="120">
        <f>SUMPRODUCT($D$58:$G$58,D71:G71)</f>
        <v>3.2000000000000001E-2</v>
      </c>
      <c r="F89" s="121">
        <f t="shared" si="3"/>
        <v>2.6283369587845051E-3</v>
      </c>
      <c r="G89" s="177">
        <v>1.6000000000000001E-3</v>
      </c>
    </row>
    <row r="90" spans="3:7">
      <c r="C90" s="1"/>
      <c r="D90" s="101"/>
      <c r="E90" s="101"/>
      <c r="F90" s="101"/>
    </row>
    <row r="91" spans="3:7">
      <c r="C91" s="1"/>
      <c r="D91" s="101"/>
      <c r="E91" s="101"/>
      <c r="F91" s="101"/>
    </row>
    <row r="93" spans="3:7" ht="15.75" thickBot="1"/>
    <row r="94" spans="3:7" ht="15.75" thickBot="1">
      <c r="C94" s="122" t="s">
        <v>82</v>
      </c>
      <c r="D94" s="123" t="s">
        <v>83</v>
      </c>
      <c r="E94" s="124" t="s">
        <v>84</v>
      </c>
    </row>
    <row r="95" spans="3:7">
      <c r="C95" s="26" t="s">
        <v>85</v>
      </c>
      <c r="D95" s="175">
        <v>0.06</v>
      </c>
      <c r="E95" s="104">
        <f>+D95/12</f>
        <v>5.0000000000000001E-3</v>
      </c>
    </row>
    <row r="96" spans="3:7">
      <c r="C96" s="27" t="s">
        <v>86</v>
      </c>
      <c r="D96" s="173">
        <f>4%</f>
        <v>0.04</v>
      </c>
      <c r="E96" s="105">
        <f>+D96/12</f>
        <v>3.3333333333333335E-3</v>
      </c>
    </row>
    <row r="97" spans="3:6" ht="15.75" thickBot="1">
      <c r="C97" s="28" t="s">
        <v>87</v>
      </c>
      <c r="D97" s="174">
        <v>0.05</v>
      </c>
      <c r="E97" s="106">
        <f>+D97/12</f>
        <v>4.1666666666666666E-3</v>
      </c>
    </row>
    <row r="98" spans="3:6" ht="15.75" thickBot="1"/>
    <row r="99" spans="3:6" ht="15.75" thickBot="1">
      <c r="D99" s="188" t="s">
        <v>88</v>
      </c>
      <c r="E99" s="187" t="s">
        <v>89</v>
      </c>
    </row>
    <row r="100" spans="3:6" ht="15.75" thickBot="1">
      <c r="C100" s="197" t="s">
        <v>270</v>
      </c>
      <c r="D100" s="195">
        <v>0</v>
      </c>
      <c r="E100" s="241">
        <v>4.4999999999999998E-2</v>
      </c>
    </row>
    <row r="101" spans="3:6" ht="15.75" thickBot="1">
      <c r="C101" s="197" t="s">
        <v>271</v>
      </c>
      <c r="D101" s="195">
        <v>0</v>
      </c>
      <c r="E101" s="196">
        <v>0.15</v>
      </c>
    </row>
    <row r="104" spans="3:6" ht="15.75" thickBot="1"/>
    <row r="105" spans="3:6" ht="15.75" thickBot="1">
      <c r="C105" s="122" t="s">
        <v>90</v>
      </c>
      <c r="D105" s="213" t="s">
        <v>91</v>
      </c>
    </row>
    <row r="106" spans="3:6">
      <c r="C106" s="212" t="s">
        <v>92</v>
      </c>
      <c r="D106" s="207">
        <v>0.38</v>
      </c>
    </row>
    <row r="107" spans="3:6">
      <c r="C107" s="208" t="s">
        <v>93</v>
      </c>
      <c r="D107" s="209">
        <v>0.25</v>
      </c>
    </row>
    <row r="108" spans="3:6" ht="15.75" thickBot="1">
      <c r="C108" s="210" t="s">
        <v>94</v>
      </c>
      <c r="D108" s="211">
        <v>0</v>
      </c>
    </row>
    <row r="110" spans="3:6" ht="15.75" thickBot="1">
      <c r="C110" s="254" t="s">
        <v>330</v>
      </c>
    </row>
    <row r="111" spans="3:6" ht="15.75" thickBot="1">
      <c r="C111" s="122" t="s">
        <v>331</v>
      </c>
      <c r="D111" s="213" t="s">
        <v>332</v>
      </c>
      <c r="F111">
        <v>1000000</v>
      </c>
    </row>
    <row r="112" spans="3:6">
      <c r="C112" s="251">
        <v>0</v>
      </c>
      <c r="D112" s="207">
        <v>0</v>
      </c>
      <c r="F112" s="20">
        <f>VLOOKUP(F111, $C$112:$D$114, 2, TRUE)</f>
        <v>0.01</v>
      </c>
    </row>
    <row r="113" spans="3:4">
      <c r="C113" s="252">
        <v>100000</v>
      </c>
      <c r="D113" s="209">
        <v>5.0000000000000001E-3</v>
      </c>
    </row>
    <row r="114" spans="3:4" ht="15.75" thickBot="1">
      <c r="C114" s="253">
        <v>500000</v>
      </c>
      <c r="D114" s="211">
        <v>0.01</v>
      </c>
    </row>
  </sheetData>
  <mergeCells count="1">
    <mergeCell ref="E5:F5"/>
  </mergeCells>
  <phoneticPr fontId="21" type="noConversion"/>
  <hyperlinks>
    <hyperlink ref="F51" r:id="rId1" display="https://web.actuaries.ie/sites/default/files/asp/ASP LA-8/ASP LA-8 V1.18 final.pdf" xr:uid="{65133ADC-91D8-4F75-9246-921BF453F7DE}"/>
  </hyperlinks>
  <pageMargins left="0.7" right="0.7" top="0.75" bottom="0.75" header="0.3" footer="0.3"/>
  <pageSetup paperSize="9" orientation="portrait" horizontalDpi="90" verticalDpi="9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87345-6DCE-4D7C-A155-508A5FBBE4F4}">
  <sheetPr codeName="Sheet1">
    <pageSetUpPr autoPageBreaks="0"/>
  </sheetPr>
  <dimension ref="A1:BK674"/>
  <sheetViews>
    <sheetView topLeftCell="A36" zoomScaleNormal="100" workbookViewId="0">
      <selection activeCell="C63" sqref="C63"/>
    </sheetView>
  </sheetViews>
  <sheetFormatPr defaultColWidth="21.140625" defaultRowHeight="13.5"/>
  <cols>
    <col min="1" max="1" width="15" style="1" customWidth="1"/>
    <col min="2" max="2" width="38.28515625" style="1" bestFit="1" customWidth="1"/>
    <col min="3" max="3" width="26.140625" style="1" customWidth="1"/>
    <col min="4" max="6" width="21.140625" style="1"/>
    <col min="7" max="8" width="23.85546875" style="1" bestFit="1" customWidth="1"/>
    <col min="9" max="10" width="23.85546875" style="1" customWidth="1"/>
    <col min="11" max="13" width="21.140625" style="1"/>
    <col min="14" max="14" width="17.140625" style="1" customWidth="1"/>
    <col min="15" max="15" width="19.42578125" style="1" bestFit="1" customWidth="1"/>
    <col min="16" max="16" width="19.85546875" style="1" customWidth="1"/>
    <col min="17" max="17" width="15.85546875" style="1" customWidth="1"/>
    <col min="18" max="18" width="12.85546875" style="1" customWidth="1"/>
    <col min="19" max="19" width="13" style="1" customWidth="1"/>
    <col min="20" max="20" width="22.140625" style="1" bestFit="1" customWidth="1"/>
    <col min="21" max="21" width="18.42578125" style="1" bestFit="1" customWidth="1"/>
    <col min="22" max="22" width="15.28515625" style="1" bestFit="1" customWidth="1"/>
    <col min="23" max="23" width="18.42578125" style="1" bestFit="1" customWidth="1"/>
    <col min="24" max="28" width="18.42578125" style="1" customWidth="1"/>
    <col min="29" max="29" width="10.7109375" style="1" bestFit="1" customWidth="1"/>
    <col min="30" max="30" width="10.7109375" style="1" customWidth="1"/>
    <col min="31" max="31" width="15.7109375" style="1" bestFit="1" customWidth="1"/>
    <col min="32" max="32" width="21.5703125" style="1" bestFit="1" customWidth="1"/>
    <col min="33" max="33" width="21.5703125" style="1" customWidth="1"/>
    <col min="34" max="34" width="8.5703125" style="1" bestFit="1" customWidth="1"/>
    <col min="35" max="38" width="2" style="1" bestFit="1" customWidth="1"/>
    <col min="39" max="45" width="3" style="1" bestFit="1" customWidth="1"/>
    <col min="46" max="46" width="16.85546875" style="1" bestFit="1" customWidth="1"/>
    <col min="47" max="47" width="10" style="1" bestFit="1" customWidth="1"/>
    <col min="48" max="54" width="15.7109375" style="1" customWidth="1"/>
    <col min="55" max="16384" width="21.140625" style="1"/>
  </cols>
  <sheetData>
    <row r="1" spans="1:48">
      <c r="A1" s="1" t="s">
        <v>27</v>
      </c>
    </row>
    <row r="2" spans="1:48" ht="14.25" thickBot="1"/>
    <row r="3" spans="1:48">
      <c r="B3" s="259" t="s">
        <v>95</v>
      </c>
      <c r="C3" s="8" t="s">
        <v>39</v>
      </c>
      <c r="D3" s="10" t="s">
        <v>41</v>
      </c>
      <c r="E3" s="10" t="s">
        <v>45</v>
      </c>
      <c r="F3" s="10" t="s">
        <v>49</v>
      </c>
      <c r="G3" s="10" t="s">
        <v>96</v>
      </c>
      <c r="H3" s="10" t="s">
        <v>51</v>
      </c>
      <c r="L3" s="8" t="s">
        <v>97</v>
      </c>
      <c r="M3" s="10" t="s">
        <v>97</v>
      </c>
    </row>
    <row r="4" spans="1:48" ht="51.75" thickBot="1">
      <c r="B4" s="260"/>
      <c r="C4" s="9" t="s">
        <v>98</v>
      </c>
      <c r="D4" s="11" t="s">
        <v>99</v>
      </c>
      <c r="E4" s="11" t="s">
        <v>100</v>
      </c>
      <c r="F4" s="11" t="s">
        <v>101</v>
      </c>
      <c r="G4" s="11" t="s">
        <v>231</v>
      </c>
      <c r="H4" s="11" t="s">
        <v>234</v>
      </c>
      <c r="J4" s="3"/>
      <c r="L4" s="9" t="s">
        <v>103</v>
      </c>
      <c r="M4" s="11" t="s">
        <v>104</v>
      </c>
    </row>
    <row r="5" spans="1:48" ht="14.25" thickBot="1">
      <c r="B5" s="7">
        <v>1</v>
      </c>
      <c r="C5" s="12">
        <f>SUMPRODUCT($I$75:$I$674,$AH$75:$AH$674)+SUMPRODUCT($O$75:$O$674,$AH$75:$AH$674)</f>
        <v>100000</v>
      </c>
      <c r="D5" s="12">
        <f>SUMPRODUCT($M$75:$M$674,$AH$75:$AH$674)+SUMPRODUCT($S$75:$S$674,$AH$75:$AH$674)</f>
        <v>5890.9783497054632</v>
      </c>
      <c r="E5" s="239">
        <f>-SUMPRODUCT($N$75:$N$674,$AH$75:$AH$674)-SUMPRODUCT($T$75:$T$674,$AH$75:$AH$674)+INDEX($AF$75:$AF$674,MATCH($B5*12,$C$75:$C$674,0))-$J$75-SUMPRODUCT($P$75:$P$674,$AH$75:$AH$674)</f>
        <v>8147.017868581007</v>
      </c>
      <c r="F5" s="12">
        <f>-SUMPRODUCT($AC$75:$AC$674,$AH$75:$AH$674)+INDEX($AG$75:$AG$674,MATCH($B5*12,$C$75:$C$674,0))</f>
        <v>0</v>
      </c>
      <c r="G5" s="12">
        <f>-SUMPRODUCT($AD$75:$AD$674,$AH$75:$AH$674)</f>
        <v>0</v>
      </c>
      <c r="H5" s="12">
        <f t="shared" ref="H5:H16" si="0">INDEX($K$75:$K$674,MATCH($B5+1,$B$75:$B$674,0))+INDEX($Q$75:$Q$674,MATCH($B5+1,$B$75:$B$674,0))-INDEX($AF$75:$AF$674,MATCH($B5*12,$C$75:$C$674,0))-INDEX($AG$75:$AG$674,MATCH($B5*12,$C$75:$C$674,0))</f>
        <v>97743.96048112445</v>
      </c>
      <c r="I5" s="3"/>
      <c r="J5" s="22"/>
      <c r="L5" s="12">
        <f>C5</f>
        <v>100000</v>
      </c>
      <c r="M5" s="12">
        <f t="shared" ref="M5:M16" si="1">-SUMIF($B$75:$B$674,B5,$AE$75:$AE$674)</f>
        <v>4252.7270854331027</v>
      </c>
      <c r="N5" s="23">
        <f t="shared" ref="N5:N16" si="2">M5/H5</f>
        <v>4.350884765155752E-2</v>
      </c>
    </row>
    <row r="6" spans="1:48" ht="14.25" thickBot="1">
      <c r="B6" s="7">
        <v>2</v>
      </c>
      <c r="C6" s="12">
        <f>SUMPRODUCT($I$75:$I$674,$AI$75:$AI$674)+SUMPRODUCT($O$75:$O$674,$AI$75:$AI$674)</f>
        <v>100000</v>
      </c>
      <c r="D6" s="12">
        <f>SUMPRODUCT($M$75:$M$674,$AI$75:$AI$674)+SUMPRODUCT($S$75:$S$674,$AI$75:$AI$674)</f>
        <v>12008.093650855291</v>
      </c>
      <c r="E6" s="239">
        <f>-SUMPRODUCT($N$75:$N$674,$AI$75:$AI$674)-SUMPRODUCT($T$75:$T$674,$AI$75:$AI$674)+INDEX($AF$75:$AF$674,MATCH($B6*12,$C$75:$C$674,0))-$J$75-SUMPRODUCT($P$75:$P$674,$AI$75:$AI$674)</f>
        <v>9359.1124281596058</v>
      </c>
      <c r="F6" s="12">
        <f>-SUMPRODUCT($AC$75:$AC$674,$AI$75:$AI$674)+INDEX($AG$75:$AG$674,MATCH($B6*12,$C$75:$C$674,0))</f>
        <v>1006.6128646243606</v>
      </c>
      <c r="G6" s="12">
        <f>-SUMPRODUCT($AD$75:$AD$674,$AI$75:$AI$674)</f>
        <v>0</v>
      </c>
      <c r="H6" s="12">
        <f t="shared" si="0"/>
        <v>101642.36835807133</v>
      </c>
      <c r="I6" s="3"/>
      <c r="J6" s="22"/>
      <c r="L6" s="12">
        <f>C6-C5</f>
        <v>0</v>
      </c>
      <c r="M6" s="12">
        <f t="shared" si="1"/>
        <v>262.53680803264871</v>
      </c>
      <c r="N6" s="23">
        <f t="shared" si="2"/>
        <v>2.5829465829423572E-3</v>
      </c>
    </row>
    <row r="7" spans="1:48" ht="14.25" thickBot="1">
      <c r="B7" s="7">
        <v>3</v>
      </c>
      <c r="C7" s="12">
        <f>SUMPRODUCT($I$75:$I$674,$AJ$75:$AJ$674)+SUMPRODUCT($O$75:$O$674,$AJ$75:$AJ$674)</f>
        <v>100000</v>
      </c>
      <c r="D7" s="12">
        <f>SUMPRODUCT($M$75:$M$674,$AJ$75:$AJ$674)+SUMPRODUCT($S$75:$S$674,$AJ$75:$AJ$674)</f>
        <v>18365.262549751831</v>
      </c>
      <c r="E7" s="239">
        <f>-SUMPRODUCT($N$75:$N$674,$AJ$75:$AJ$674)-SUMPRODUCT($T$75:$T$674,$AJ$75:$AJ$674)+INDEX($AF$75:$AF$674,MATCH($B7*12,$C$75:$C$674,0))-$J$75-SUMPRODUCT($P$75:$P$674,$AJ$75:$AJ$674)</f>
        <v>10576.812227324646</v>
      </c>
      <c r="F7" s="12">
        <f>-SUMPRODUCT($AC$75:$AC$674,$AJ$75:$AJ$674)+INDEX($AG$75:$AG$674,MATCH($B7*12,$C$75:$C$674,0))</f>
        <v>2959.6111225223435</v>
      </c>
      <c r="G7" s="12">
        <f>-SUMPRODUCT($AD$75:$AD$674,$AJ$75:$AJ$674)</f>
        <v>0</v>
      </c>
      <c r="H7" s="12">
        <f t="shared" si="0"/>
        <v>104828.83919990488</v>
      </c>
      <c r="I7" s="3"/>
      <c r="J7" s="22"/>
      <c r="L7" s="12">
        <f t="shared" ref="L7:L16" si="3">C7-C6</f>
        <v>0</v>
      </c>
      <c r="M7" s="12">
        <f t="shared" si="1"/>
        <v>272.83952462478629</v>
      </c>
      <c r="N7" s="23">
        <f t="shared" si="2"/>
        <v>2.6027143552023028E-3</v>
      </c>
    </row>
    <row r="8" spans="1:48" ht="14.25" thickBot="1">
      <c r="B8" s="7">
        <v>4</v>
      </c>
      <c r="C8" s="12">
        <f>SUMPRODUCT($I$75:$I$674,$AK$75:$AK$674)+SUMPRODUCT($O$75:$O$674,$AK$75:$AK$674)</f>
        <v>100000</v>
      </c>
      <c r="D8" s="12">
        <f>SUMPRODUCT($M$75:$M$674,$AK$75:$AK$674)+SUMPRODUCT($S$75:$S$674,$AK$75:$AK$674)</f>
        <v>24971.905455681841</v>
      </c>
      <c r="E8" s="239">
        <f>-SUMPRODUCT($N$75:$N$674,$AK$75:$AK$674)-SUMPRODUCT($T$75:$T$674,$AK$75:$AK$674)+INDEX($AF$75:$AF$674,MATCH($B8*12,$C$75:$C$674,0))-$J$75-SUMPRODUCT($P$75:$P$674,$AK$75:$AK$674)</f>
        <v>11798.690562383632</v>
      </c>
      <c r="F8" s="12">
        <f>-SUMPRODUCT($AC$75:$AC$674,$AK$75:$AK$674)+INDEX($AG$75:$AG$674,MATCH($B8*12,$C$75:$C$674,0))</f>
        <v>5005.8216594533415</v>
      </c>
      <c r="G8" s="12">
        <f>-SUMPRODUCT($AD$75:$AD$674,$AK$75:$AK$674)</f>
        <v>0</v>
      </c>
      <c r="H8" s="12">
        <f t="shared" si="0"/>
        <v>108167.39323384492</v>
      </c>
      <c r="I8" s="3"/>
      <c r="J8" s="22"/>
      <c r="L8" s="12">
        <f t="shared" si="3"/>
        <v>0</v>
      </c>
      <c r="M8" s="12">
        <f t="shared" si="1"/>
        <v>283.54655012116211</v>
      </c>
      <c r="N8" s="23">
        <f t="shared" si="2"/>
        <v>2.6213680633697858E-3</v>
      </c>
    </row>
    <row r="9" spans="1:48" ht="14.25" thickBot="1">
      <c r="B9" s="7">
        <v>5</v>
      </c>
      <c r="C9" s="12">
        <f>SUMPRODUCT($I$75:$I$674,$AL$75:$AL$674)+SUMPRODUCT($O$75:$O$674,$AL$75:$AL$674)</f>
        <v>100000</v>
      </c>
      <c r="D9" s="12">
        <f>SUMPRODUCT($M$75:$M$674,$AL$75:$AL$674)+SUMPRODUCT($S$75:$S$674,$AL$75:$AL$674)</f>
        <v>31837.812462502377</v>
      </c>
      <c r="E9" s="239">
        <f>-SUMPRODUCT($N$75:$N$674,$AL$75:$AL$674)-SUMPRODUCT($T$75:$T$674,$AL$75:$AL$674)+INDEX($AF$75:$AF$674,MATCH($B9*12,$C$75:$C$674,0))-$J$75-SUMPRODUCT($P$75:$P$674,$AL$75:$AL$674)</f>
        <v>13023.200121428697</v>
      </c>
      <c r="F9" s="12">
        <f>-SUMPRODUCT($AC$75:$AC$674,$AL$75:$AL$674)+INDEX($AG$75:$AG$674,MATCH($B9*12,$C$75:$C$674,0))</f>
        <v>7149.5526896080137</v>
      </c>
      <c r="G9" s="12">
        <f>-SUMPRODUCT($AD$75:$AD$674,$AL$75:$AL$674)</f>
        <v>0</v>
      </c>
      <c r="H9" s="12">
        <f t="shared" si="0"/>
        <v>111665.05965146571</v>
      </c>
      <c r="I9" s="3"/>
      <c r="J9" s="22"/>
      <c r="L9" s="12">
        <f t="shared" si="3"/>
        <v>0</v>
      </c>
      <c r="M9" s="12">
        <f t="shared" si="1"/>
        <v>294.67375079244243</v>
      </c>
      <c r="N9" s="23">
        <f t="shared" si="2"/>
        <v>2.6389073870751708E-3</v>
      </c>
      <c r="AV9" s="2"/>
    </row>
    <row r="10" spans="1:48" ht="14.25" thickBot="1">
      <c r="B10" s="7">
        <v>10</v>
      </c>
      <c r="C10" s="12">
        <f>SUMPRODUCT($I$75:$I$674,$AM$75:$AM$674)+SUMPRODUCT($O$75:$O$674,$AM$75:$AM$674)</f>
        <v>100000</v>
      </c>
      <c r="D10" s="12">
        <f>SUMPRODUCT($M$75:$M$674,$AM$75:$AM$674)+SUMPRODUCT($S$75:$S$674,$AM$75:$AM$674)</f>
        <v>68827.77199155507</v>
      </c>
      <c r="E10" s="12">
        <f>-SUMPRODUCT($N$75:$N$674,$AM$75:$AM$674)-SUMPRODUCT($T$75:$T$674,$AM$75:$AM$674)-$J$75-SUMPRODUCT($P$75:$P$674,$AM$75:$AM$674)</f>
        <v>24397.543160851255</v>
      </c>
      <c r="F10" s="12">
        <f>-SUMPRODUCT($AC$75:$AC$674,$AM$75:$AM$674)+INDEX($AG$75:$AG$674,MATCH($B10*12,$C$75:$C$674,0))</f>
        <v>16883.486955667486</v>
      </c>
      <c r="G10" s="12">
        <f>-SUMPRODUCT($AD$75:$AD$674,$AM$75:$AM$674)</f>
        <v>0</v>
      </c>
      <c r="H10" s="12">
        <f t="shared" si="0"/>
        <v>127546.74187503642</v>
      </c>
      <c r="I10" s="3"/>
      <c r="J10" s="22"/>
      <c r="L10" s="12">
        <f t="shared" si="3"/>
        <v>0</v>
      </c>
      <c r="M10" s="12">
        <f t="shared" si="1"/>
        <v>322.24030681514859</v>
      </c>
      <c r="N10" s="23">
        <f t="shared" si="2"/>
        <v>2.5264487518690416E-3</v>
      </c>
      <c r="AV10" s="107"/>
    </row>
    <row r="11" spans="1:48" ht="14.25" thickBot="1">
      <c r="A11" s="6"/>
      <c r="B11" s="7">
        <v>15</v>
      </c>
      <c r="C11" s="12">
        <f>SUMPRODUCT($I$75:$I$674,$AN$75:$AN$674)+SUMPRODUCT($O$75:$O$674,$AN$75:$AN$674)</f>
        <v>100000</v>
      </c>
      <c r="D11" s="12">
        <f>SUMPRODUCT($M$75:$M$674,$AN$75:$AN$674)+SUMPRODUCT($S$75:$S$674,$AN$75:$AN$674)</f>
        <v>111026.64562265617</v>
      </c>
      <c r="E11" s="12">
        <f>-SUMPRODUCT($N$75:$N$674,$AN$75:$AN$674)-SUMPRODUCT($T$75:$T$674,$AN$75:$AN$674)-$J$75-SUMPRODUCT($P$75:$P$674,$AN$75:$AN$674)</f>
        <v>38742.769492514875</v>
      </c>
      <c r="F11" s="12">
        <f>-SUMPRODUCT($AC$75:$AC$674,$AN$75:$AN$674)+INDEX($AG$75:$AG$674,MATCH($B11*12,$C$75:$C$674,0))</f>
        <v>27467.87292945369</v>
      </c>
      <c r="G11" s="12">
        <f>-SUMPRODUCT($AD$75:$AD$674,$AN$75:$AN$674)</f>
        <v>0</v>
      </c>
      <c r="H11" s="12">
        <f t="shared" si="0"/>
        <v>144816.00320068758</v>
      </c>
      <c r="I11" s="3"/>
      <c r="J11" s="22"/>
      <c r="L11" s="12">
        <f t="shared" si="3"/>
        <v>0</v>
      </c>
      <c r="M11" s="12">
        <f t="shared" si="1"/>
        <v>390.62971764299698</v>
      </c>
      <c r="N11" s="23">
        <f t="shared" si="2"/>
        <v>2.6974209273104856E-3</v>
      </c>
      <c r="AV11" s="107"/>
    </row>
    <row r="12" spans="1:48" ht="14.25" thickBot="1">
      <c r="A12" s="6"/>
      <c r="B12" s="7">
        <v>20</v>
      </c>
      <c r="C12" s="12">
        <f>SUMPRODUCT($I$75:$I$674,$AO$75:$AO$674)+SUMPRODUCT($O$75:$O$674,$AO$75:$AO$674)</f>
        <v>100000</v>
      </c>
      <c r="D12" s="12">
        <f>SUMPRODUCT($M$75:$M$674,$AO$75:$AO$674)+SUMPRODUCT($S$75:$S$674,$AO$75:$AO$674)</f>
        <v>157982.00864967349</v>
      </c>
      <c r="E12" s="12">
        <f>-SUMPRODUCT($N$75:$N$674,$AO$75:$AO$674)-SUMPRODUCT($T$75:$T$674,$AO$75:$AO$674)-$J$75-SUMPRODUCT($P$75:$P$674,$AO$75:$AO$674)</f>
        <v>54704.932748255233</v>
      </c>
      <c r="F12" s="12">
        <f>-SUMPRODUCT($AC$75:$AC$674,$AO$75:$AO$674)+INDEX($AG$75:$AG$674,MATCH($B12*12,$C$75:$C$674,0))</f>
        <v>39245.288842538925</v>
      </c>
      <c r="G12" s="12">
        <f>-SUMPRODUCT($AD$75:$AD$674,$AO$75:$AO$674)</f>
        <v>0</v>
      </c>
      <c r="H12" s="12">
        <f t="shared" si="0"/>
        <v>164031.7870588793</v>
      </c>
      <c r="I12" s="3"/>
      <c r="J12" s="22"/>
      <c r="L12" s="12">
        <f t="shared" si="3"/>
        <v>0</v>
      </c>
      <c r="M12" s="12">
        <f t="shared" si="1"/>
        <v>425.84135461583651</v>
      </c>
      <c r="N12" s="23">
        <f t="shared" si="2"/>
        <v>2.5960904422932399E-3</v>
      </c>
      <c r="AV12" s="107"/>
    </row>
    <row r="13" spans="1:48" ht="14.25" thickBot="1">
      <c r="A13" s="6"/>
      <c r="B13" s="7">
        <v>25</v>
      </c>
      <c r="C13" s="12">
        <f>SUMPRODUCT($I$75:$I$674,$AP$75:$AP$674)+SUMPRODUCT($O$75:$O$674,$AP$75:$AP$674)</f>
        <v>100000</v>
      </c>
      <c r="D13" s="12">
        <f>SUMPRODUCT($M$75:$M$674,$AP$75:$AP$674)+SUMPRODUCT($S$75:$S$674,$AP$75:$AP$674)</f>
        <v>212536.52852639896</v>
      </c>
      <c r="E13" s="12">
        <f>-SUMPRODUCT($N$75:$N$674,$AP$75:$AP$674)-SUMPRODUCT($T$75:$T$674,$AP$75:$AP$674)-$J$75-SUMPRODUCT($P$75:$P$674,$AP$75:$AP$674)</f>
        <v>73250.378816040437</v>
      </c>
      <c r="F13" s="12">
        <f>-SUMPRODUCT($AC$75:$AC$674,$AP$75:$AP$674)+INDEX($AG$75:$AG$674,MATCH($B13*12,$C$75:$C$674,0))</f>
        <v>52928.736889936234</v>
      </c>
      <c r="G13" s="12">
        <f>-SUMPRODUCT($AD$75:$AD$674,$AP$75:$AP$674)</f>
        <v>0</v>
      </c>
      <c r="H13" s="12">
        <f t="shared" si="0"/>
        <v>186357.41282042227</v>
      </c>
      <c r="I13" s="3"/>
      <c r="J13" s="22"/>
      <c r="L13" s="12">
        <f t="shared" si="3"/>
        <v>0</v>
      </c>
      <c r="M13" s="12">
        <f t="shared" si="1"/>
        <v>464.22699326419644</v>
      </c>
      <c r="N13" s="23">
        <f t="shared" si="2"/>
        <v>2.4910572981152882E-3</v>
      </c>
      <c r="AV13" s="107"/>
    </row>
    <row r="14" spans="1:48" ht="14.25" thickBot="1">
      <c r="B14" s="7">
        <v>30</v>
      </c>
      <c r="C14" s="12">
        <f>SUMPRODUCT($I$75:$I$674,$AQ$75:$AQ$674)+SUMPRODUCT($O$75:$O$674,$AQ$75:$AQ$674)</f>
        <v>100000</v>
      </c>
      <c r="D14" s="12">
        <f>SUMPRODUCT($M$75:$M$674,$AQ$75:$AQ$674)+SUMPRODUCT($S$75:$S$674,$AQ$75:$AQ$674)</f>
        <v>273329.22208642424</v>
      </c>
      <c r="E14" s="12">
        <f>-SUMPRODUCT($N$75:$N$674,$AQ$75:$AQ$674)-SUMPRODUCT($T$75:$T$674,$AQ$75:$AQ$674)-$J$75-SUMPRODUCT($P$75:$P$674,$AQ$75:$AQ$674)</f>
        <v>93916.45052339739</v>
      </c>
      <c r="F14" s="12">
        <f>-SUMPRODUCT($AC$75:$AC$674,$AQ$75:$AQ$674)+INDEX($AG$75:$AG$674,MATCH($B14*12,$C$75:$C$674,0))</f>
        <v>68176.85319395017</v>
      </c>
      <c r="G14" s="12">
        <f>-SUMPRODUCT($AD$75:$AD$674,$AQ$75:$AQ$674)</f>
        <v>0</v>
      </c>
      <c r="H14" s="12">
        <f t="shared" si="0"/>
        <v>211235.91836907659</v>
      </c>
      <c r="I14" s="3"/>
      <c r="J14" s="22"/>
      <c r="L14" s="12">
        <f t="shared" si="3"/>
        <v>0</v>
      </c>
      <c r="M14" s="12">
        <f t="shared" si="1"/>
        <v>562.75039300119533</v>
      </c>
      <c r="N14" s="23">
        <f t="shared" si="2"/>
        <v>2.6640847699866271E-3</v>
      </c>
      <c r="AV14" s="107"/>
    </row>
    <row r="15" spans="1:48" ht="14.25" thickBot="1">
      <c r="B15" s="7">
        <v>35</v>
      </c>
      <c r="C15" s="12">
        <f>SUMPRODUCT($I$75:$I$674,$AR$75:$AR$674)+SUMPRODUCT($O$75:$O$674,$AR$75:$AR$674)</f>
        <v>100000</v>
      </c>
      <c r="D15" s="12">
        <f>SUMPRODUCT($M$75:$M$674,$AR$75:$AR$674)+SUMPRODUCT($S$75:$S$674,$AR$75:$AR$674)</f>
        <v>342400.49899177795</v>
      </c>
      <c r="E15" s="12">
        <f>-SUMPRODUCT($N$75:$N$674,$AR$75:$AR$674)-SUMPRODUCT($T$75:$T$674,$AR$75:$AR$674)-$J$75-SUMPRODUCT($P$75:$P$674,$AR$75:$AR$674)</f>
        <v>117396.77155959785</v>
      </c>
      <c r="F15" s="12">
        <f>-SUMPRODUCT($AC$75:$AC$674,$AR$75:$AR$674)+INDEX($AG$75:$AG$674,MATCH($B15*12,$C$75:$C$674,0))</f>
        <v>85501.416424228388</v>
      </c>
      <c r="G15" s="12">
        <f>-SUMPRODUCT($AD$75:$AD$674,$AR$75:$AR$674)</f>
        <v>0</v>
      </c>
      <c r="H15" s="12">
        <f t="shared" si="0"/>
        <v>239502.31100795162</v>
      </c>
      <c r="I15" s="3"/>
      <c r="J15" s="22"/>
      <c r="L15" s="12">
        <f t="shared" si="3"/>
        <v>0</v>
      </c>
      <c r="M15" s="12">
        <f t="shared" si="1"/>
        <v>613.47710848061126</v>
      </c>
      <c r="N15" s="23">
        <f t="shared" si="2"/>
        <v>2.5614663420105515E-3</v>
      </c>
      <c r="AV15" s="107"/>
    </row>
    <row r="16" spans="1:48" ht="14.25" thickBot="1">
      <c r="B16" s="7">
        <v>40</v>
      </c>
      <c r="C16" s="12">
        <f>SUMPRODUCT($I$75:$I$674,$AS$75:$AS$674)+SUMPRODUCT($O$75:$O$674,$AS$75:$AS$674)</f>
        <v>100000</v>
      </c>
      <c r="D16" s="12">
        <f>SUMPRODUCT($M$75:$M$674,$AS$75:$AS$674)+SUMPRODUCT($S$75:$S$674,$AS$75:$AS$674)</f>
        <v>422738.19241135719</v>
      </c>
      <c r="E16" s="12">
        <f>-SUMPRODUCT($N$75:$N$674,$AS$75:$AS$674)-SUMPRODUCT($T$75:$T$674,$AS$75:$AS$674)-$J$75-SUMPRODUCT($P$75:$P$674,$AS$75:$AS$674)</f>
        <v>144707.03593163766</v>
      </c>
      <c r="F16" s="12">
        <f>-SUMPRODUCT($AC$75:$AC$674,$AS$75:$AS$674)+INDEX($AG$75:$AG$674,MATCH($B16*12,$C$75:$C$674,0))</f>
        <v>105651.83946229343</v>
      </c>
      <c r="G16" s="12">
        <f>-SUMPRODUCT($AD$75:$AD$674,$AS$75:$AS$674)</f>
        <v>0</v>
      </c>
      <c r="H16" s="12">
        <f t="shared" si="0"/>
        <v>272379.31701742613</v>
      </c>
      <c r="I16" s="3"/>
      <c r="J16" s="22"/>
      <c r="L16" s="12">
        <f t="shared" si="3"/>
        <v>0</v>
      </c>
      <c r="M16" s="12">
        <f t="shared" si="1"/>
        <v>743.67602251475387</v>
      </c>
      <c r="N16" s="23">
        <f t="shared" si="2"/>
        <v>2.7302954962148442E-3</v>
      </c>
      <c r="AV16" s="107"/>
    </row>
    <row r="17" spans="2:48">
      <c r="AV17" s="107"/>
    </row>
    <row r="18" spans="2:48">
      <c r="G18" s="3"/>
      <c r="AV18" s="107"/>
    </row>
    <row r="19" spans="2:48" ht="14.25" thickBot="1">
      <c r="G19" s="3"/>
      <c r="AV19" s="107"/>
    </row>
    <row r="20" spans="2:48">
      <c r="G20" s="261" t="str">
        <f>IF(T24&lt;&gt;1,"Percentage Invested is not equal to 100%","")</f>
        <v/>
      </c>
      <c r="H20" s="262"/>
      <c r="I20" s="262"/>
      <c r="J20" s="262"/>
      <c r="K20" s="262"/>
      <c r="L20" s="262"/>
      <c r="M20" s="263"/>
      <c r="AV20" s="107"/>
    </row>
    <row r="21" spans="2:48" ht="14.25" thickBot="1">
      <c r="B21" s="2"/>
      <c r="G21" s="264"/>
      <c r="H21" s="265"/>
      <c r="I21" s="265"/>
      <c r="J21" s="265"/>
      <c r="K21" s="265"/>
      <c r="L21" s="265"/>
      <c r="M21" s="266"/>
      <c r="AU21" s="40"/>
      <c r="AV21" s="40"/>
    </row>
    <row r="22" spans="2:48" ht="14.25" thickBot="1">
      <c r="G22" s="3"/>
    </row>
    <row r="23" spans="2:48" ht="41.25" thickBot="1">
      <c r="B23" s="2" t="s">
        <v>105</v>
      </c>
      <c r="F23" s="181" t="s">
        <v>106</v>
      </c>
      <c r="G23" s="182" t="s">
        <v>64</v>
      </c>
      <c r="H23" s="182" t="s">
        <v>65</v>
      </c>
      <c r="I23" s="182" t="s">
        <v>66</v>
      </c>
      <c r="J23" s="182" t="s">
        <v>67</v>
      </c>
      <c r="K23" s="182" t="s">
        <v>68</v>
      </c>
      <c r="L23" s="182" t="s">
        <v>69</v>
      </c>
      <c r="M23" s="182" t="s">
        <v>70</v>
      </c>
      <c r="N23" s="182" t="s">
        <v>71</v>
      </c>
      <c r="O23" s="182" t="s">
        <v>72</v>
      </c>
      <c r="P23" s="182" t="s">
        <v>73</v>
      </c>
      <c r="Q23" s="182" t="s">
        <v>74</v>
      </c>
      <c r="R23" s="182" t="s">
        <v>75</v>
      </c>
      <c r="S23" s="183" t="s">
        <v>76</v>
      </c>
      <c r="T23" s="113" t="s">
        <v>83</v>
      </c>
      <c r="U23" s="115" t="s">
        <v>107</v>
      </c>
    </row>
    <row r="24" spans="2:48" ht="15">
      <c r="B24" s="1" t="s">
        <v>34</v>
      </c>
      <c r="C24" s="25" t="s">
        <v>290</v>
      </c>
      <c r="F24" s="32" t="s">
        <v>110</v>
      </c>
      <c r="G24" s="57">
        <v>0</v>
      </c>
      <c r="H24" s="57">
        <v>0.75</v>
      </c>
      <c r="I24" s="57">
        <v>0</v>
      </c>
      <c r="J24" s="57">
        <v>0</v>
      </c>
      <c r="K24" s="57">
        <v>0</v>
      </c>
      <c r="L24" s="57">
        <v>0</v>
      </c>
      <c r="M24" s="57">
        <v>0</v>
      </c>
      <c r="N24" s="57">
        <v>0</v>
      </c>
      <c r="O24" s="57">
        <v>0</v>
      </c>
      <c r="P24" s="57">
        <v>0</v>
      </c>
      <c r="Q24" s="57">
        <v>0</v>
      </c>
      <c r="R24" s="57">
        <v>0.25</v>
      </c>
      <c r="S24" s="58">
        <v>0</v>
      </c>
      <c r="T24" s="108">
        <f>SUM(G24:S24)</f>
        <v>1</v>
      </c>
      <c r="U24" s="41"/>
    </row>
    <row r="25" spans="2:48">
      <c r="B25" s="1" t="s">
        <v>258</v>
      </c>
      <c r="C25" s="25" t="s">
        <v>92</v>
      </c>
      <c r="F25" s="49" t="s">
        <v>112</v>
      </c>
      <c r="G25" s="55">
        <f t="shared" ref="G25:M25" si="4">VLOOKUP(G$23,Fund_Rates_Table,3,FALSE)</f>
        <v>5.1349999999999993E-2</v>
      </c>
      <c r="H25" s="55">
        <f t="shared" si="4"/>
        <v>5.7249999999999995E-2</v>
      </c>
      <c r="I25" s="55">
        <f t="shared" si="4"/>
        <v>6.4624999999999988E-2</v>
      </c>
      <c r="J25" s="55">
        <f t="shared" si="4"/>
        <v>7.1999999999999995E-2</v>
      </c>
      <c r="K25" s="55">
        <f t="shared" si="4"/>
        <v>4.2500000000000003E-2</v>
      </c>
      <c r="L25" s="55">
        <f t="shared" si="4"/>
        <v>4.2500000000000003E-2</v>
      </c>
      <c r="M25" s="55">
        <f t="shared" si="4"/>
        <v>6.4624999999999988E-2</v>
      </c>
      <c r="N25" s="55">
        <f t="shared" ref="N25:S25" si="5">VLOOKUP(N$23,Fund_Rates_Table,3,FALSE)</f>
        <v>5.7249999999999995E-2</v>
      </c>
      <c r="O25" s="55">
        <f t="shared" si="5"/>
        <v>4.6925000000000001E-2</v>
      </c>
      <c r="P25" s="55">
        <f t="shared" si="5"/>
        <v>7.1999999999999995E-2</v>
      </c>
      <c r="Q25" s="55">
        <f t="shared" si="5"/>
        <v>7.1999999999999995E-2</v>
      </c>
      <c r="R25" s="55">
        <f t="shared" si="5"/>
        <v>7.1999999999999995E-2</v>
      </c>
      <c r="S25" s="48">
        <f t="shared" si="5"/>
        <v>3.2000000000000001E-2</v>
      </c>
      <c r="T25" s="51">
        <f>MIN(SUMPRODUCT($G$24:$S$24,G25:S25))</f>
        <v>6.0937499999999992E-2</v>
      </c>
      <c r="U25" s="48">
        <f>(1+T25)^(1/12)-1</f>
        <v>4.9415821427223339E-3</v>
      </c>
    </row>
    <row r="26" spans="2:48">
      <c r="B26" s="1" t="s">
        <v>111</v>
      </c>
      <c r="C26" s="17">
        <v>45917</v>
      </c>
      <c r="F26" s="49" t="s">
        <v>114</v>
      </c>
      <c r="G26" s="55">
        <f t="shared" ref="G26:S26" si="6">VLOOKUP(G$23,Fund_Rates_Table,5,FALSE)</f>
        <v>2.5000000000000001E-3</v>
      </c>
      <c r="H26" s="55">
        <f t="shared" si="6"/>
        <v>2.5000000000000001E-3</v>
      </c>
      <c r="I26" s="55">
        <f t="shared" si="6"/>
        <v>2.5000000000000001E-3</v>
      </c>
      <c r="J26" s="55">
        <f t="shared" si="6"/>
        <v>4.4999999999999997E-3</v>
      </c>
      <c r="K26" s="55">
        <f t="shared" si="6"/>
        <v>2.2000000000000001E-3</v>
      </c>
      <c r="L26" s="55">
        <f t="shared" si="6"/>
        <v>2.7000000000000001E-3</v>
      </c>
      <c r="M26" s="55">
        <f t="shared" si="6"/>
        <v>6.4999999999999997E-3</v>
      </c>
      <c r="N26" s="55">
        <f t="shared" si="6"/>
        <v>5.8999999999999999E-3</v>
      </c>
      <c r="O26" s="55">
        <f t="shared" si="6"/>
        <v>4.8999999999999998E-3</v>
      </c>
      <c r="P26" s="55">
        <f t="shared" si="6"/>
        <v>5.0000000000000001E-4</v>
      </c>
      <c r="Q26" s="55">
        <f t="shared" si="6"/>
        <v>1.5E-3</v>
      </c>
      <c r="R26" s="55">
        <f t="shared" si="6"/>
        <v>8.9999999999999998E-4</v>
      </c>
      <c r="S26" s="55">
        <f t="shared" si="6"/>
        <v>1.6000000000000001E-3</v>
      </c>
      <c r="T26" s="51">
        <f>SUMPRODUCT($G$24:$S$24,G26:S26)</f>
        <v>2.0999999999999999E-3</v>
      </c>
      <c r="U26" s="48"/>
    </row>
    <row r="27" spans="2:48">
      <c r="B27" s="1" t="s">
        <v>113</v>
      </c>
      <c r="C27" s="17">
        <v>23251</v>
      </c>
      <c r="D27" s="272">
        <f>DATEDIF(C27, Start_Date, "y")</f>
        <v>62</v>
      </c>
      <c r="F27" s="49" t="s">
        <v>116</v>
      </c>
      <c r="G27" s="43" t="s">
        <v>117</v>
      </c>
      <c r="H27" s="43" t="s">
        <v>145</v>
      </c>
      <c r="I27" s="43" t="s">
        <v>117</v>
      </c>
      <c r="J27" s="44"/>
      <c r="K27" s="44"/>
      <c r="L27" s="44"/>
      <c r="M27" s="44"/>
      <c r="N27" s="44"/>
      <c r="O27" s="44"/>
      <c r="P27" s="44"/>
      <c r="Q27" s="44"/>
      <c r="R27" s="44"/>
      <c r="S27" s="45"/>
      <c r="T27" s="52"/>
      <c r="U27" s="53"/>
    </row>
    <row r="28" spans="2:48" ht="14.25" thickBot="1">
      <c r="B28" s="1" t="s">
        <v>115</v>
      </c>
      <c r="C28" s="4">
        <v>100000</v>
      </c>
      <c r="F28" s="36" t="s">
        <v>77</v>
      </c>
      <c r="G28" s="56">
        <f>IF(G27="yes",VLOOKUP(G$23,Fund_Rates_Table,2,FALSE),0)</f>
        <v>0</v>
      </c>
      <c r="H28" s="56">
        <f>IF(H27="yes",VLOOKUP(H$23,Fund_Rates_Table,2,FALSE),0)</f>
        <v>7.4999999999999997E-3</v>
      </c>
      <c r="I28" s="56">
        <f>IF(I27="yes",VLOOKUP(I$23,Fund_Rates_Table,2,FALSE),0)</f>
        <v>0</v>
      </c>
      <c r="J28" s="46"/>
      <c r="K28" s="46"/>
      <c r="L28" s="46"/>
      <c r="M28" s="46"/>
      <c r="N28" s="46"/>
      <c r="O28" s="46"/>
      <c r="P28" s="46"/>
      <c r="Q28" s="46"/>
      <c r="R28" s="46"/>
      <c r="S28" s="47"/>
      <c r="T28" s="54">
        <f>SUMPRODUCT($G$24:$S$24,G28:S28)</f>
        <v>5.6249999999999998E-3</v>
      </c>
      <c r="U28" s="50">
        <f>1-(1-T28)^(1/12)</f>
        <v>4.6996285701861318E-4</v>
      </c>
    </row>
    <row r="29" spans="2:48" ht="14.25" thickBot="1">
      <c r="B29" s="225" t="s">
        <v>128</v>
      </c>
      <c r="C29" s="217" t="s">
        <v>117</v>
      </c>
      <c r="F29" s="59" t="s">
        <v>120</v>
      </c>
      <c r="G29" s="60" t="str">
        <f t="shared" ref="G29:R29" si="7">IF(G24="","",G23)</f>
        <v>Strategy Select 30</v>
      </c>
      <c r="H29" s="60" t="str">
        <f t="shared" si="7"/>
        <v>Strategy Select 50</v>
      </c>
      <c r="I29" s="60" t="str">
        <f t="shared" si="7"/>
        <v>Strategy Select 75</v>
      </c>
      <c r="J29" s="60" t="str">
        <f t="shared" si="7"/>
        <v>Allianz Best Styles Global Equity SRI</v>
      </c>
      <c r="K29" s="60" t="str">
        <f t="shared" si="7"/>
        <v>Allianz Advanced Fixed Income Short Duration</v>
      </c>
      <c r="L29" s="60" t="str">
        <f t="shared" si="7"/>
        <v>Allianz Advanced Fixed Income Euro</v>
      </c>
      <c r="M29" s="60" t="str">
        <f t="shared" si="7"/>
        <v>Allianz Dynamic Multi Asset Strategy SRI 75</v>
      </c>
      <c r="N29" s="60" t="str">
        <f t="shared" si="7"/>
        <v>Allianz Dynamic Multi Asset Strategy SRI 50</v>
      </c>
      <c r="O29" s="60" t="str">
        <f t="shared" si="7"/>
        <v>Allianz Dynamic Multi Asset Strategy SRI 15</v>
      </c>
      <c r="P29" s="60" t="str">
        <f t="shared" si="7"/>
        <v>HSBC EURO STOXX 50 UCITS ETF</v>
      </c>
      <c r="Q29" s="60" t="str">
        <f t="shared" si="7"/>
        <v>HSBC MSCI World UCITS ETF</v>
      </c>
      <c r="R29" s="60" t="str">
        <f t="shared" si="7"/>
        <v>HSBC S&amp;P 500 UCITS ETF</v>
      </c>
      <c r="S29" s="61" t="str">
        <f>IF(S24="","",S23)</f>
        <v>Allianz Euro Cash</v>
      </c>
    </row>
    <row r="30" spans="2:48" ht="14.25" thickBot="1">
      <c r="B30" s="226" t="s">
        <v>129</v>
      </c>
      <c r="C30" s="233" t="str">
        <f>IF(Reg_Income_Flag="Yes","No","Yes")</f>
        <v>Yes</v>
      </c>
    </row>
    <row r="31" spans="2:48" ht="14.25" thickBot="1">
      <c r="B31" s="226" t="s">
        <v>131</v>
      </c>
      <c r="C31" s="234" t="s">
        <v>322</v>
      </c>
      <c r="D31" s="219" t="s">
        <v>130</v>
      </c>
      <c r="I31" s="14"/>
      <c r="J31" s="113" t="s">
        <v>108</v>
      </c>
      <c r="K31" s="115" t="s">
        <v>109</v>
      </c>
    </row>
    <row r="32" spans="2:48">
      <c r="B32" s="226" t="s">
        <v>132</v>
      </c>
      <c r="C32" s="233" cm="1">
        <f t="array" ref="C32">_xlfn.IFS(RP_PremFreq = "Monthly", 12, RP_PremFreq = "Quarterly", 4, RP_PremFreq = "Half-Yearly", 2, RP_PremFreq = "Annual", 1, TRUE, 0)</f>
        <v>12</v>
      </c>
      <c r="I32" s="14"/>
      <c r="J32" s="62" t="str" cm="1">
        <f t="array" ref="J32">IFERROR(INDEX($G$29:$S$29, SMALL(IF($G$29:$S$29&lt;&gt;"", COLUMN($G$29:$S$29)-COLUMN($G$29)+1), ROW(A1))), "")</f>
        <v>Strategy Select 30</v>
      </c>
      <c r="K32" s="63">
        <f t="shared" ref="K32:K44" si="8">IFERROR(HLOOKUP($J32,$G$23:$S$24,2,FALSE),"")</f>
        <v>0</v>
      </c>
    </row>
    <row r="33" spans="2:11">
      <c r="B33" s="226" t="s">
        <v>133</v>
      </c>
      <c r="C33" s="228">
        <v>6000</v>
      </c>
      <c r="I33" s="14"/>
      <c r="J33" s="52" t="str" cm="1">
        <f t="array" ref="J33">IFERROR(INDEX($G$29:$S$29, SMALL(IF($G$29:$S$29&lt;&gt;"", COLUMN($G$29:$S$29)-COLUMN($G$29)+1), ROW(A2))), "")</f>
        <v>Strategy Select 50</v>
      </c>
      <c r="K33" s="64">
        <f t="shared" si="8"/>
        <v>0.75</v>
      </c>
    </row>
    <row r="34" spans="2:11">
      <c r="B34" s="232" t="s">
        <v>134</v>
      </c>
      <c r="C34" s="235">
        <v>0</v>
      </c>
      <c r="D34" s="1" t="s">
        <v>316</v>
      </c>
      <c r="J34" s="52" t="str" cm="1">
        <f t="array" ref="J34">IFERROR(INDEX($G$29:$S$29, SMALL(IF($G$29:$S$29&lt;&gt;"", COLUMN($G$29:$S$29)-COLUMN($G$29)+1), ROW(A3))), "")</f>
        <v>Strategy Select 75</v>
      </c>
      <c r="K34" s="64">
        <f t="shared" si="8"/>
        <v>0</v>
      </c>
    </row>
    <row r="35" spans="2:11" ht="12.75" customHeight="1">
      <c r="B35" s="1" t="s">
        <v>118</v>
      </c>
      <c r="C35" s="86">
        <f>(C26-C27)/365.25</f>
        <v>62.056125941136209</v>
      </c>
      <c r="J35" s="52" t="str" cm="1">
        <f t="array" ref="J35">IFERROR(INDEX($G$29:$S$29, SMALL(IF($G$29:$S$29&lt;&gt;"", COLUMN($G$29:$S$29)-COLUMN($G$29)+1), ROW(A4))), "")</f>
        <v>Allianz Best Styles Global Equity SRI</v>
      </c>
      <c r="K35" s="64">
        <f t="shared" si="8"/>
        <v>0</v>
      </c>
    </row>
    <row r="36" spans="2:11">
      <c r="B36" s="1" t="s">
        <v>119</v>
      </c>
      <c r="C36" s="100">
        <v>0.06</v>
      </c>
      <c r="D36" s="1" t="s">
        <v>57</v>
      </c>
      <c r="J36" s="52" t="str" cm="1">
        <f t="array" ref="J36">IFERROR(INDEX($G$29:$S$29, SMALL(IF($G$29:$S$29&lt;&gt;"", COLUMN($G$29:$S$29)-COLUMN($G$29)+1), ROW(A5))), "")</f>
        <v>Allianz Advanced Fixed Income Short Duration</v>
      </c>
      <c r="K36" s="64">
        <f t="shared" si="8"/>
        <v>0</v>
      </c>
    </row>
    <row r="37" spans="2:11">
      <c r="B37" s="1" t="s">
        <v>260</v>
      </c>
      <c r="C37" s="30">
        <f>Weighted_RateOfReturn_Annual</f>
        <v>6.0937499999999992E-2</v>
      </c>
      <c r="D37" s="30">
        <f>(1+C37)^(1/12)-1</f>
        <v>4.9415821427223339E-3</v>
      </c>
      <c r="F37" s="6"/>
      <c r="J37" s="52" t="str" cm="1">
        <f t="array" ref="J37">IFERROR(INDEX($G$29:$S$29, SMALL(IF($G$29:$S$29&lt;&gt;"", COLUMN($G$29:$S$29)-COLUMN($G$29)+1), ROW(A6))), "")</f>
        <v>Allianz Advanced Fixed Income Euro</v>
      </c>
      <c r="K37" s="64">
        <f t="shared" si="8"/>
        <v>0</v>
      </c>
    </row>
    <row r="38" spans="2:11">
      <c r="B38" s="1" t="s">
        <v>261</v>
      </c>
      <c r="C38" s="100">
        <f>MIN(RateOfReturn_Max,C37)</f>
        <v>0.06</v>
      </c>
      <c r="D38" s="30">
        <f>(1+Growth_Rate_1)^(1/12)-1</f>
        <v>4.8675505653430484E-3</v>
      </c>
      <c r="J38" s="52" t="str" cm="1">
        <f t="array" ref="J38">IFERROR(INDEX($G$29:$S$29, SMALL(IF($G$29:$S$29&lt;&gt;"", COLUMN($G$29:$S$29)-COLUMN($G$29)+1), ROW(A7))), "")</f>
        <v>Allianz Dynamic Multi Asset Strategy SRI 75</v>
      </c>
      <c r="K38" s="64">
        <f t="shared" si="8"/>
        <v>0</v>
      </c>
    </row>
    <row r="39" spans="2:11" ht="14.25" thickBot="1">
      <c r="B39" s="1" t="s">
        <v>121</v>
      </c>
      <c r="C39" s="76" t="str">
        <f>IF(OR(G27="Yes",H27="Yes",I27="Yes"),"On","Off")</f>
        <v>On</v>
      </c>
      <c r="J39" s="52" t="str" cm="1">
        <f t="array" ref="J39">IFERROR(INDEX($G$29:$S$29, SMALL(IF($G$29:$S$29&lt;&gt;"", COLUMN($G$29:$S$29)-COLUMN($G$29)+1), ROW(A8))), "")</f>
        <v>Allianz Dynamic Multi Asset Strategy SRI 50</v>
      </c>
      <c r="K39" s="64">
        <f t="shared" si="8"/>
        <v>0</v>
      </c>
    </row>
    <row r="40" spans="2:11" ht="14.25" thickBot="1">
      <c r="B40" s="225" t="s">
        <v>122</v>
      </c>
      <c r="C40" s="217" t="s">
        <v>117</v>
      </c>
      <c r="E40" s="267" t="str">
        <f>IF(AND(Reg_Income_Flag="Yes",RP_Flag="Yes"),"Regular premium contributions switched off as Regular Income Flag is turned on","")</f>
        <v/>
      </c>
      <c r="F40" s="268"/>
      <c r="G40" s="268"/>
      <c r="H40" s="269"/>
      <c r="J40" s="52" t="str" cm="1">
        <f t="array" ref="J40">IFERROR(INDEX($G$29:$S$29, SMALL(IF($G$29:$S$29&lt;&gt;"", COLUMN($G$29:$S$29)-COLUMN($G$29)+1), ROW(A9))), "")</f>
        <v>Allianz Dynamic Multi Asset Strategy SRI 15</v>
      </c>
      <c r="K40" s="64">
        <f t="shared" si="8"/>
        <v>0</v>
      </c>
    </row>
    <row r="41" spans="2:11" ht="27.75" thickBot="1">
      <c r="B41" s="226" t="s">
        <v>123</v>
      </c>
      <c r="C41" s="227" t="s">
        <v>272</v>
      </c>
      <c r="E41" s="267" t="str">
        <f>IF(AND(Income_Type="Fixed Percent",Custom_Reg_Inc_Perc_annual=0),"Must input Customer Regular Income % if Regular Income Type = Fixed Percent","")</f>
        <v/>
      </c>
      <c r="F41" s="268"/>
      <c r="G41" s="268"/>
      <c r="H41" s="269"/>
      <c r="J41" s="52" t="str" cm="1">
        <f t="array" ref="J41">IFERROR(INDEX($G$29:$S$29, SMALL(IF($G$29:$S$29&lt;&gt;"", COLUMN($G$29:$S$29)-COLUMN($G$29)+1), ROW(A10))), "")</f>
        <v>HSBC EURO STOXX 50 UCITS ETF</v>
      </c>
      <c r="K41" s="64">
        <f t="shared" si="8"/>
        <v>0</v>
      </c>
    </row>
    <row r="42" spans="2:11">
      <c r="B42" s="226" t="s">
        <v>124</v>
      </c>
      <c r="C42" s="228">
        <v>100000</v>
      </c>
      <c r="J42" s="52" t="str" cm="1">
        <f t="array" ref="J42">IFERROR(INDEX($G$29:$S$29, SMALL(IF($G$29:$S$29&lt;&gt;"", COLUMN($G$29:$S$29)-COLUMN($G$29)+1), ROW(A11))), "")</f>
        <v>HSBC MSCI World UCITS ETF</v>
      </c>
      <c r="K42" s="64">
        <f t="shared" si="8"/>
        <v>0</v>
      </c>
    </row>
    <row r="43" spans="2:11">
      <c r="B43" s="226" t="s">
        <v>125</v>
      </c>
      <c r="C43" s="229">
        <v>0.05</v>
      </c>
      <c r="J43" s="52" t="str" cm="1">
        <f t="array" ref="J43">IFERROR(INDEX($G$29:$S$29, SMALL(IF($G$29:$S$29&lt;&gt;"", COLUMN($G$29:$S$29)-COLUMN($G$29)+1), ROW(A12))), "")</f>
        <v>HSBC S&amp;P 500 UCITS ETF</v>
      </c>
      <c r="K43" s="64">
        <f t="shared" si="8"/>
        <v>0.25</v>
      </c>
    </row>
    <row r="44" spans="2:11" ht="14.25" thickBot="1">
      <c r="B44" s="226" t="s">
        <v>126</v>
      </c>
      <c r="C44" s="230">
        <f>IF(Income_Type="Fixed Percent",Custom_Reg_Inc_Perc_annual*SinglePrem,
IF(Income_Type="Monetary Amount (with Escalation)",$C$42,"error"))</f>
        <v>100000</v>
      </c>
      <c r="J44" s="65" t="str" cm="1">
        <f t="array" ref="J44">IFERROR(INDEX($G$29:$S$29, SMALL(IF($G$29:$S$29&lt;&gt;"", COLUMN($G$29:$S$29)-COLUMN($G$29)+1), ROW(A13))), "")</f>
        <v>Allianz Euro Cash</v>
      </c>
      <c r="K44" s="66">
        <f t="shared" si="8"/>
        <v>0</v>
      </c>
    </row>
    <row r="45" spans="2:11">
      <c r="B45" s="226" t="s">
        <v>127</v>
      </c>
      <c r="C45" s="218">
        <v>0</v>
      </c>
      <c r="D45" s="1" t="s">
        <v>315</v>
      </c>
    </row>
    <row r="46" spans="2:11">
      <c r="B46" s="226" t="s">
        <v>311</v>
      </c>
      <c r="C46" s="231">
        <v>10</v>
      </c>
      <c r="D46" s="2" t="s">
        <v>314</v>
      </c>
    </row>
    <row r="47" spans="2:11">
      <c r="B47" s="226" t="s">
        <v>312</v>
      </c>
      <c r="C47" s="245">
        <v>2025</v>
      </c>
      <c r="D47" s="1" t="str">
        <f>IF(Start_Date&gt;=DATE(C47, C46, 1), "Regular income start date must be later than the policy start date", "RP Start Date is OK")</f>
        <v>RP Start Date is OK</v>
      </c>
    </row>
    <row r="48" spans="2:11">
      <c r="B48" s="232" t="s">
        <v>313</v>
      </c>
      <c r="C48" s="248">
        <f>IFERROR(DATEDIF(C26, DATE(C47, C46, 1), "M")+1, "N/A")</f>
        <v>1</v>
      </c>
      <c r="D48" s="246"/>
      <c r="E48" s="246"/>
      <c r="F48" s="247"/>
    </row>
    <row r="49" spans="2:55">
      <c r="B49" s="1" t="s">
        <v>135</v>
      </c>
      <c r="C49" s="218">
        <v>0.01</v>
      </c>
    </row>
    <row r="50" spans="2:55">
      <c r="B50" s="1" t="s">
        <v>90</v>
      </c>
      <c r="C50" s="100">
        <f>VLOOKUP(Policyholder_Type,Parameters!$C$106:$D$108,2,FALSE)</f>
        <v>0.38</v>
      </c>
    </row>
    <row r="51" spans="2:55" ht="15">
      <c r="B51" s="1" t="s">
        <v>141</v>
      </c>
      <c r="C51" s="29">
        <v>0</v>
      </c>
      <c r="J51"/>
    </row>
    <row r="52" spans="2:55">
      <c r="B52" s="1" t="s">
        <v>142</v>
      </c>
      <c r="C52" s="171" t="str">
        <f>IFERROR(INDEX(B75:B673,MATCH(0,X76:X674,0)),"")</f>
        <v/>
      </c>
      <c r="P52" s="19"/>
      <c r="Q52" s="19"/>
    </row>
    <row r="53" spans="2:55">
      <c r="B53" s="1" t="s">
        <v>143</v>
      </c>
      <c r="C53" s="221">
        <f>IF(Fund_Zero_Year&lt;&gt;"",0,20)</f>
        <v>20</v>
      </c>
      <c r="P53" s="19"/>
      <c r="Q53" s="19"/>
    </row>
    <row r="54" spans="2:55">
      <c r="B54" s="1" t="s">
        <v>136</v>
      </c>
      <c r="C54" s="16">
        <f>T26</f>
        <v>2.0999999999999999E-3</v>
      </c>
      <c r="D54" s="16">
        <f>1-(1-C54)^(1/12)</f>
        <v>1.7516866383360252E-4</v>
      </c>
    </row>
    <row r="55" spans="2:55">
      <c r="B55" s="1" t="s">
        <v>137</v>
      </c>
      <c r="C55" s="16">
        <f>VLOOKUP(Product_Code,Product_Parameters,8,FALSE)</f>
        <v>1.2E-2</v>
      </c>
      <c r="D55" s="16">
        <f>1-(1-C55)^(1/12)</f>
        <v>1.0055425391276573E-3</v>
      </c>
    </row>
    <row r="56" spans="2:55">
      <c r="B56" s="1" t="s">
        <v>138</v>
      </c>
      <c r="C56" s="16">
        <f>Weighted_Guarantee_Charge</f>
        <v>5.6249999999999998E-3</v>
      </c>
      <c r="D56" s="16">
        <f>1-(1-C56)^(1/12)</f>
        <v>4.6996285701861318E-4</v>
      </c>
    </row>
    <row r="57" spans="2:55" ht="27">
      <c r="B57" s="161" t="s">
        <v>139</v>
      </c>
      <c r="C57" s="162">
        <v>1</v>
      </c>
      <c r="BA57" s="42"/>
      <c r="BB57" s="42"/>
      <c r="BC57" s="185"/>
    </row>
    <row r="58" spans="2:55">
      <c r="B58" s="1" t="s">
        <v>249</v>
      </c>
      <c r="C58" s="16">
        <f>VLOOKUP(Product_Code,Product_Parameters,3,FALSE)*Commission_Uplift_Factor</f>
        <v>0.04</v>
      </c>
      <c r="BA58" s="42"/>
      <c r="BB58" s="42"/>
      <c r="BC58" s="185"/>
    </row>
    <row r="59" spans="2:55">
      <c r="B59" s="1" t="s">
        <v>250</v>
      </c>
      <c r="C59" s="16">
        <f>VLOOKUP(Product_Code,Product_Parameters,4,FALSE)*Commission_Uplift_Factor</f>
        <v>0</v>
      </c>
      <c r="BA59" s="42"/>
      <c r="BB59" s="42"/>
      <c r="BC59" s="185"/>
    </row>
    <row r="60" spans="2:55">
      <c r="B60" s="1" t="s">
        <v>140</v>
      </c>
      <c r="C60" s="16">
        <f>VLOOKUP(Product_Code,Product_Parameters,7,FALSE)</f>
        <v>2.5000000000000001E-3</v>
      </c>
      <c r="D60" s="73">
        <f>1-(1-C60)^(1/12)</f>
        <v>2.0857243058891584E-4</v>
      </c>
      <c r="BA60" s="42"/>
      <c r="BB60" s="42"/>
      <c r="BC60" s="185"/>
    </row>
    <row r="61" spans="2:55">
      <c r="B61" s="1" t="s">
        <v>144</v>
      </c>
      <c r="C61" s="162" t="s">
        <v>117</v>
      </c>
      <c r="BA61" s="42"/>
      <c r="BB61" s="42"/>
      <c r="BC61" s="185"/>
    </row>
    <row r="62" spans="2:55">
      <c r="B62" s="1" t="s">
        <v>259</v>
      </c>
      <c r="C62" s="162">
        <v>0.01</v>
      </c>
      <c r="BA62" s="42"/>
      <c r="BB62" s="42"/>
      <c r="BC62" s="185"/>
    </row>
    <row r="63" spans="2:55" ht="14.25" thickBot="1">
      <c r="B63" s="1" t="s">
        <v>150</v>
      </c>
      <c r="C63" s="162" t="s">
        <v>117</v>
      </c>
      <c r="BA63" s="42"/>
      <c r="BB63" s="42"/>
      <c r="BC63" s="185"/>
    </row>
    <row r="64" spans="2:55" ht="14.25" thickBot="1">
      <c r="B64" s="1" t="s">
        <v>262</v>
      </c>
      <c r="C64" s="186">
        <v>0.01</v>
      </c>
      <c r="E64" s="256" t="str">
        <f>IF(ROUND(MOD(adj_upfront_commission/0.25%,1), 8)=0,"","Please enter a value that is a multiple of 0.25%")</f>
        <v/>
      </c>
      <c r="F64" s="257"/>
      <c r="G64" s="257"/>
      <c r="H64" s="258"/>
      <c r="L64" s="214"/>
      <c r="M64" s="214"/>
      <c r="BA64" s="42"/>
      <c r="BB64" s="42"/>
      <c r="BC64" s="185"/>
    </row>
    <row r="65" spans="1:63">
      <c r="B65" s="1" t="s">
        <v>329</v>
      </c>
      <c r="C65" s="162" t="s">
        <v>117</v>
      </c>
      <c r="E65" s="250"/>
      <c r="F65" s="250"/>
      <c r="G65" s="250"/>
      <c r="H65" s="250"/>
      <c r="L65" s="214"/>
      <c r="M65" s="214"/>
      <c r="BA65" s="42"/>
      <c r="BB65" s="42"/>
      <c r="BC65" s="185"/>
    </row>
    <row r="66" spans="1:63">
      <c r="B66" s="1" t="s">
        <v>263</v>
      </c>
      <c r="C66" s="16" cm="1">
        <f t="array" ref="C66">_xlfn.IFS(Altered_Initial_Commission_Indicator="No",upfront_commission,AND(Altered_Initial_Commission_Indicator="Yes",E64=""),adj_upfront_commission,TRUE,NA())</f>
        <v>0.04</v>
      </c>
      <c r="E66" s="244"/>
      <c r="F66" s="244"/>
      <c r="G66" s="244"/>
      <c r="H66" s="244"/>
      <c r="BA66" s="42"/>
      <c r="BB66" s="42"/>
      <c r="BC66" s="185"/>
    </row>
    <row r="67" spans="1:63" ht="14.25" thickBot="1">
      <c r="B67" s="1" t="s">
        <v>151</v>
      </c>
      <c r="C67" s="16">
        <f>1+(upfront_commission-new_upfront_commission)+IF(_xlfn.XLOOKUP(Product_Code, Parameters!$D$7:$D$47, Parameters!$I$7:$I$47)=0, 0, _xlfn.XLOOKUP(Product_Code, Parameters!$D$7:$D$47, Parameters!$I$7:$I$47)-1)+IF(Tiered_Bonus_Commission_Applies="No",0,VLOOKUP(SinglePrem,Parameters!$C$112:$D$114,2,TRUE))</f>
        <v>1</v>
      </c>
      <c r="BA67" s="42"/>
      <c r="BB67" s="42"/>
      <c r="BC67" s="185"/>
    </row>
    <row r="68" spans="1:63" ht="14.25" thickBot="1">
      <c r="B68" s="1" t="s">
        <v>269</v>
      </c>
      <c r="C68" s="16">
        <f>VLOOKUP(Product_Code,Product_Parameters,6,FALSE)</f>
        <v>0</v>
      </c>
      <c r="R68" s="214"/>
      <c r="AU68" s="19"/>
      <c r="AW68" s="1" t="s">
        <v>146</v>
      </c>
      <c r="AX68" s="32" t="s">
        <v>147</v>
      </c>
      <c r="AY68" s="33">
        <f>IRR(BA75:BA674,0)</f>
        <v>4.825500857738918E-3</v>
      </c>
      <c r="AZ68" s="34">
        <f>IRR(BB75:BB674,0)</f>
        <v>3.170809081497028E-3</v>
      </c>
      <c r="BA68" s="35" t="s">
        <v>148</v>
      </c>
      <c r="BB68" s="42"/>
      <c r="BC68" s="185"/>
    </row>
    <row r="69" spans="1:63" ht="14.25" thickBot="1">
      <c r="R69" s="214"/>
      <c r="AU69" s="19"/>
      <c r="AX69" s="49"/>
      <c r="AY69" s="236"/>
      <c r="AZ69" s="237"/>
      <c r="BA69" s="36"/>
      <c r="BB69" s="42"/>
      <c r="BC69" s="185"/>
    </row>
    <row r="70" spans="1:63" ht="14.25" thickBot="1">
      <c r="R70" s="214"/>
      <c r="AU70" s="19"/>
      <c r="AX70" s="49"/>
      <c r="AY70" s="236"/>
      <c r="AZ70" s="237"/>
      <c r="BA70" s="36"/>
      <c r="BB70" s="42"/>
      <c r="BC70" s="185"/>
    </row>
    <row r="71" spans="1:63" ht="14.25" thickBot="1">
      <c r="R71" s="19"/>
      <c r="AC71" s="19"/>
      <c r="AD71" s="19"/>
      <c r="AX71" s="36" t="s">
        <v>149</v>
      </c>
      <c r="AY71" s="37">
        <f>(1+AY68)^12-1</f>
        <v>5.946784111490655E-2</v>
      </c>
      <c r="AZ71" s="38">
        <f>(1+AZ68)^12-1</f>
        <v>3.8720338734644866E-2</v>
      </c>
      <c r="BA71" s="180">
        <f>AY71-AZ71</f>
        <v>2.0747502380261684E-2</v>
      </c>
      <c r="BB71" s="42"/>
      <c r="BC71" s="185"/>
    </row>
    <row r="72" spans="1:63">
      <c r="C72" s="240"/>
      <c r="L72" s="214"/>
      <c r="N72" s="19"/>
      <c r="T72" s="14"/>
      <c r="Y72" s="214"/>
      <c r="Z72" s="214"/>
      <c r="BA72" s="42"/>
      <c r="BB72" s="42"/>
      <c r="BC72" s="185"/>
    </row>
    <row r="73" spans="1:63">
      <c r="B73" s="2" t="s">
        <v>152</v>
      </c>
      <c r="G73" s="19"/>
      <c r="N73" s="14"/>
      <c r="P73" s="214"/>
      <c r="R73" s="19"/>
    </row>
    <row r="74" spans="1:63" s="220" customFormat="1" ht="40.5">
      <c r="A74" s="220" t="s">
        <v>153</v>
      </c>
      <c r="B74" s="220" t="s">
        <v>154</v>
      </c>
      <c r="C74" s="220" t="s">
        <v>155</v>
      </c>
      <c r="D74" s="220" t="s">
        <v>156</v>
      </c>
      <c r="E74" s="220" t="s">
        <v>157</v>
      </c>
      <c r="F74" s="220" t="s">
        <v>158</v>
      </c>
      <c r="G74" s="220" t="s">
        <v>159</v>
      </c>
      <c r="H74" s="220" t="s">
        <v>160</v>
      </c>
      <c r="I74" s="220" t="s">
        <v>161</v>
      </c>
      <c r="J74" s="220" t="s">
        <v>162</v>
      </c>
      <c r="K74" s="220" t="s">
        <v>163</v>
      </c>
      <c r="L74" s="220" t="s">
        <v>164</v>
      </c>
      <c r="M74" s="220" t="s">
        <v>165</v>
      </c>
      <c r="N74" s="220" t="s">
        <v>166</v>
      </c>
      <c r="O74" s="220" t="s">
        <v>167</v>
      </c>
      <c r="P74" s="220" t="s">
        <v>162</v>
      </c>
      <c r="Q74" s="220" t="s">
        <v>168</v>
      </c>
      <c r="R74" s="220" t="s">
        <v>169</v>
      </c>
      <c r="S74" s="220" t="s">
        <v>170</v>
      </c>
      <c r="T74" s="220" t="s">
        <v>171</v>
      </c>
      <c r="U74" s="220" t="s">
        <v>172</v>
      </c>
      <c r="V74" s="220" t="s">
        <v>173</v>
      </c>
      <c r="W74" s="220" t="s">
        <v>229</v>
      </c>
      <c r="X74" s="220" t="s">
        <v>174</v>
      </c>
      <c r="Y74" s="220" t="s">
        <v>175</v>
      </c>
      <c r="Z74" s="220" t="s">
        <v>176</v>
      </c>
      <c r="AA74" s="220" t="s">
        <v>177</v>
      </c>
      <c r="AB74" s="220" t="s">
        <v>178</v>
      </c>
      <c r="AC74" s="220" t="s">
        <v>179</v>
      </c>
      <c r="AD74" s="220" t="s">
        <v>230</v>
      </c>
      <c r="AE74" s="220" t="s">
        <v>31</v>
      </c>
      <c r="AF74" s="220" t="s">
        <v>32</v>
      </c>
      <c r="AG74" s="220" t="s">
        <v>180</v>
      </c>
      <c r="AH74" s="220">
        <f>$B$5</f>
        <v>1</v>
      </c>
      <c r="AI74" s="220">
        <f>$B$6</f>
        <v>2</v>
      </c>
      <c r="AJ74" s="220">
        <f>$B$7</f>
        <v>3</v>
      </c>
      <c r="AK74" s="220">
        <f>$B$8</f>
        <v>4</v>
      </c>
      <c r="AL74" s="220">
        <f>$B$9</f>
        <v>5</v>
      </c>
      <c r="AM74" s="220">
        <f>$B$10</f>
        <v>10</v>
      </c>
      <c r="AN74" s="220">
        <f>$B$11</f>
        <v>15</v>
      </c>
      <c r="AO74" s="220">
        <v>20</v>
      </c>
      <c r="AP74" s="220">
        <v>25</v>
      </c>
      <c r="AQ74" s="220">
        <v>30</v>
      </c>
      <c r="AR74" s="220">
        <v>35</v>
      </c>
      <c r="AS74" s="220">
        <v>40</v>
      </c>
      <c r="AT74" s="220" t="s">
        <v>181</v>
      </c>
      <c r="AV74" s="220" t="s">
        <v>182</v>
      </c>
      <c r="AW74" s="220" t="s">
        <v>183</v>
      </c>
      <c r="AX74" s="220" t="s">
        <v>184</v>
      </c>
      <c r="AY74" s="220" t="s">
        <v>185</v>
      </c>
      <c r="AZ74" s="220" t="s">
        <v>186</v>
      </c>
      <c r="BA74" s="220" t="s">
        <v>187</v>
      </c>
      <c r="BB74" s="220" t="s">
        <v>188</v>
      </c>
      <c r="BD74" s="220" t="s">
        <v>252</v>
      </c>
      <c r="BE74" s="220" t="s">
        <v>251</v>
      </c>
      <c r="BF74" s="220" t="s">
        <v>253</v>
      </c>
      <c r="BG74" s="220" t="s">
        <v>254</v>
      </c>
      <c r="BH74" s="220" t="s">
        <v>255</v>
      </c>
      <c r="BI74" s="220" t="s">
        <v>256</v>
      </c>
      <c r="BJ74" s="220" t="s">
        <v>135</v>
      </c>
      <c r="BK74" s="220" t="s">
        <v>257</v>
      </c>
    </row>
    <row r="75" spans="1:63">
      <c r="A75" s="164">
        <f>$C$35</f>
        <v>62.056125941136209</v>
      </c>
      <c r="B75" s="44">
        <v>1</v>
      </c>
      <c r="C75" s="163">
        <v>1</v>
      </c>
      <c r="D75" s="13">
        <f>Growth_Rate_1_Monthly</f>
        <v>4.8675505653430484E-3</v>
      </c>
      <c r="E75" s="15">
        <f t="shared" ref="E75:E138" si="9">IF(Gtee_Flag="on",1,0)</f>
        <v>1</v>
      </c>
      <c r="F75" s="15">
        <f>IF(MOD(C75,96)=0,1,0)</f>
        <v>0</v>
      </c>
      <c r="G75" s="15">
        <f t="shared" ref="G75:G138" si="10">IF(AND(RP_Flag = "Yes",RP_Allowed="Yes"),IF(RP_PremFreq = "Annual",IF(MOD(C75-1, 12) = 0, 1, 0), IF(RP_PremFreq = "Half-Yearly", IF(MOD(C75-1, 6) = 0, 1, 0), IF(RP_PremFreq = "Quarterly", IF(MOD(C75-1, 3) = 0, 1, 0), IF(RP_PremFreq = "Monthly", IF(MOD(C75-1, 1) = 0, 1, 0), "Error")))),0)</f>
        <v>0</v>
      </c>
      <c r="H75" s="73">
        <f t="shared" ref="H75:H138" si="11">IF(ISERROR(VLOOKUP(Product_Code,Product_Parameters,B75+8,FALSE)),0,VLOOKUP(Product_Code,Product_Parameters,B75+8,FALSE))</f>
        <v>0.05</v>
      </c>
      <c r="I75" s="5">
        <f>SinglePrem</f>
        <v>100000</v>
      </c>
      <c r="J75" s="5">
        <f>I75*(new_allocation_rate-1)</f>
        <v>0</v>
      </c>
      <c r="L75" s="5">
        <f>I75+J75</f>
        <v>100000</v>
      </c>
      <c r="M75" s="5">
        <f>(K75+L75)*D75</f>
        <v>486.75505653430486</v>
      </c>
      <c r="N75" s="5">
        <f t="shared" ref="N75:N138" si="12">-(($K75+(L75)+M75/2)*(External_Fund_Charge_Monthly+Fund_Charge_Monthly+Gtee_Charge_Monthly*$E75))-I75*Government_Levy</f>
        <v>-1165.46914297068</v>
      </c>
      <c r="O75" s="5">
        <f t="shared" ref="O75:O138" si="13">(Reg_Contrib/Contrib_Per_Year)*(1+RP_Escalation_Rate)^(B75-1)*G75</f>
        <v>0</v>
      </c>
      <c r="P75" s="5">
        <f t="shared" ref="P75:P138" si="14">O75*(RP_Allocation_Rate-1)</f>
        <v>0</v>
      </c>
      <c r="R75" s="5">
        <f>O75+P75</f>
        <v>0</v>
      </c>
      <c r="S75" s="5">
        <f t="shared" ref="S75:S138" si="15">(Q75+R75)*D75</f>
        <v>0</v>
      </c>
      <c r="T75" s="5">
        <f t="shared" ref="T75:T138" si="16">-(($Q75+(R75)+S75/2)*(External_Fund_Charge_Monthly+Fund_Charge_Monthly+Gtee_Charge_Monthly*$E75))-O75*Government_Levy</f>
        <v>0</v>
      </c>
      <c r="U75" s="74">
        <f t="shared" ref="U75:U138" si="17">IF(OR(Reg_Income_Flag="No",Income_Type="Fixed Percent"),0,IF(C75&gt;=Regular_Income_Start_Month,
MIN(Regular_Income_Amount/12*(1+Income_Escalation_Rate_Annual)^($B75-1),AU75),0))</f>
        <v>0</v>
      </c>
      <c r="V75" s="75">
        <f>IF(Reg_Income_Flag="No",0,MAX(IF(C75&gt;=Regular_Income_Start_Month,
MIN(IF(Income_Type="Fixed Percent",$C$43,0)/12*(K75+L75+M75+N75),AU75),0),0))</f>
        <v>0</v>
      </c>
      <c r="W75" s="5">
        <f t="shared" ref="W75:W138" si="18">-MAX(U75:V75)</f>
        <v>0</v>
      </c>
      <c r="X75" s="5">
        <f t="shared" ref="X75:X138" si="19">SUM(K75:N75,Q75:T75)</f>
        <v>99321.285913563624</v>
      </c>
      <c r="Y75" s="71">
        <f>I75+O75</f>
        <v>100000</v>
      </c>
      <c r="Z75" s="215">
        <f t="shared" ref="Z75:Z138" si="20">IFERROR(SUM(K75:N75)/X75,0)</f>
        <v>1</v>
      </c>
      <c r="AA75" s="216">
        <f>IFERROR(-W75/X75,0)</f>
        <v>0</v>
      </c>
      <c r="AB75" s="71">
        <v>0</v>
      </c>
      <c r="AC75" s="72">
        <f t="shared" ref="AC75:AC138" si="21">IF(Y75=0,0,-IF(F75=1,1,AA75)*(MAX(X75+AB75-Y75,0)*Exit_Tax_Rate-AB75))</f>
        <v>0</v>
      </c>
      <c r="AD75" s="72">
        <f t="shared" ref="AD75:AD138" si="22">W75-IF(F75=1,AA75,1)*AC75</f>
        <v>0</v>
      </c>
      <c r="AE75" s="71">
        <f>-(($K75+I75+M75/2+N75/2+W75/2+$Q75+O75+S75/2+T75/2))*(Ongoing_Commission_Monthly)-(I75*new_upfront_commission)-(SUM($O$75:$O$86)*RP_upfront_commission)</f>
        <v>-4020.7864625355501</v>
      </c>
      <c r="AF75" s="70">
        <f>SUM(K75:N75,SUM(AC75:AD75)*Z75)*$H75</f>
        <v>4966.0642956781812</v>
      </c>
      <c r="AG75" s="70">
        <f t="shared" ref="AG75:AG138" si="23">IF(F75=1,0,MAX(X75+AB75+AC75+AD75-AF75-Y75,0)*Exit_Tax_Rate-AB75)</f>
        <v>0</v>
      </c>
      <c r="AH75" s="1">
        <f t="shared" ref="AH75:AS84" si="24">IF($B75&lt;=AH$74,1,0)</f>
        <v>1</v>
      </c>
      <c r="AI75" s="1">
        <f t="shared" si="24"/>
        <v>1</v>
      </c>
      <c r="AJ75" s="1">
        <f t="shared" si="24"/>
        <v>1</v>
      </c>
      <c r="AK75" s="1">
        <f t="shared" si="24"/>
        <v>1</v>
      </c>
      <c r="AL75" s="1">
        <f t="shared" si="24"/>
        <v>1</v>
      </c>
      <c r="AM75" s="1">
        <f t="shared" si="24"/>
        <v>1</v>
      </c>
      <c r="AN75" s="1">
        <f t="shared" si="24"/>
        <v>1</v>
      </c>
      <c r="AO75" s="1">
        <f t="shared" si="24"/>
        <v>1</v>
      </c>
      <c r="AP75" s="1">
        <f t="shared" si="24"/>
        <v>1</v>
      </c>
      <c r="AQ75" s="1">
        <f t="shared" si="24"/>
        <v>1</v>
      </c>
      <c r="AR75" s="1">
        <f t="shared" si="24"/>
        <v>1</v>
      </c>
      <c r="AS75" s="1">
        <f t="shared" si="24"/>
        <v>1</v>
      </c>
      <c r="AT75" s="39">
        <f t="shared" ref="AT75:AT138" si="25">SUM(K75:N75,Q75:T75,W75,AC75)</f>
        <v>99321.285913563624</v>
      </c>
      <c r="AU75" s="39">
        <f>MAX(0,SUM(K75:N75)-$C$51)</f>
        <v>99321.285913563624</v>
      </c>
      <c r="AV75" s="39"/>
      <c r="AW75" s="3">
        <f t="shared" ref="AW75:AW138" si="26">C75</f>
        <v>1</v>
      </c>
      <c r="AX75" s="31">
        <f>I75+K75+O75+Q75</f>
        <v>100000</v>
      </c>
      <c r="AY75" s="75">
        <f t="shared" ref="AY75:AY138" si="27">IF(OR(AND(B75=Fund_Zero_Year,BD76=0,BD75&gt;0),C75=$C$53*12),-BH75,IF(AND(B75+1=Fund_Zero_Year,BD76=0,BD75&gt;0),-BH75,0))</f>
        <v>0</v>
      </c>
      <c r="AZ75" s="75">
        <f t="shared" ref="AZ75:AZ138" si="28">IF(OR(AND(B75=Fund_Zero_Year,BD76=0,BD75&gt;0),C75=$C$53*12),-BD75,IF(AND(B75+1=Fund_Zero_Year,BD76=0,BD75&gt;0),-BD75,0))</f>
        <v>0</v>
      </c>
      <c r="BA75" s="75">
        <f t="shared" ref="BA75:BA138" si="29">AY75+AX75+IF(OR(B75&gt;Fund_Zero_Year,BD75=0,C75&gt;MAX($C$53,$C$52)*12),0,W75)</f>
        <v>100000</v>
      </c>
      <c r="BB75" s="75">
        <f t="shared" ref="BB75:BB138" si="30">AZ75+AX75+IF(OR(B75&gt;Fund_Zero_Year,BD75=0,C75&gt;MAX($C$53,$C$52)*12),0,W75)</f>
        <v>100000</v>
      </c>
      <c r="BD75" s="31">
        <f>L75+R75</f>
        <v>100000</v>
      </c>
      <c r="BE75" s="214">
        <f t="shared" ref="BE75:BE138" si="31">BD75*D75</f>
        <v>486.75505653430486</v>
      </c>
      <c r="BF75" s="214">
        <f>-(BD75+BE75/2)*(External_Fund_Charge_Monthly+Fund_Charge_Monthly+Gtee_Charge_Monthly*$E75)-(I75+O75)*Government_Levy</f>
        <v>-1165.46914297068</v>
      </c>
      <c r="BG75" s="224">
        <f>W75</f>
        <v>0</v>
      </c>
      <c r="BH75" s="19">
        <f>I75+O75</f>
        <v>100000</v>
      </c>
      <c r="BI75" s="214">
        <f t="shared" ref="BI75:BI138" si="32">BH75*D75</f>
        <v>486.75505653430486</v>
      </c>
      <c r="BJ75" s="214">
        <f t="shared" ref="BJ75:BJ138" si="33">-(I75+O75)*Government_Levy</f>
        <v>-1000</v>
      </c>
      <c r="BK75" s="19">
        <f>W75</f>
        <v>0</v>
      </c>
    </row>
    <row r="76" spans="1:63">
      <c r="A76" s="165">
        <f t="shared" ref="A76:A139" si="34">$C$35+C75/12</f>
        <v>62.139459274469544</v>
      </c>
      <c r="B76" s="69">
        <f t="shared" ref="B76:B139" si="35">INT((C76-1)/12)+1</f>
        <v>1</v>
      </c>
      <c r="C76" s="70">
        <f t="shared" ref="C76:C139" si="36">C75+1</f>
        <v>2</v>
      </c>
      <c r="D76" s="13">
        <f t="shared" ref="D76:D138" si="37">Growth_Rate_1_Monthly</f>
        <v>4.8675505653430484E-3</v>
      </c>
      <c r="E76" s="15">
        <f t="shared" si="9"/>
        <v>1</v>
      </c>
      <c r="F76" s="15">
        <f t="shared" ref="F76:F139" si="38">IF(MOD(C76,96)=0,1,0)</f>
        <v>0</v>
      </c>
      <c r="G76" s="15">
        <f t="shared" si="10"/>
        <v>0</v>
      </c>
      <c r="H76" s="73">
        <f t="shared" si="11"/>
        <v>0.05</v>
      </c>
      <c r="I76" s="189"/>
      <c r="J76" s="189"/>
      <c r="K76" s="5">
        <f>SUM(K75:N75)+AD75+AC75*Z75</f>
        <v>99321.285913563624</v>
      </c>
      <c r="M76" s="5">
        <f t="shared" ref="M76:M138" si="39">(K76+L76)*D76</f>
        <v>483.4513813991652</v>
      </c>
      <c r="N76" s="5">
        <f t="shared" si="12"/>
        <v>-164.34608058863236</v>
      </c>
      <c r="O76" s="5">
        <f t="shared" si="13"/>
        <v>0</v>
      </c>
      <c r="P76" s="5">
        <f t="shared" si="14"/>
        <v>0</v>
      </c>
      <c r="Q76" s="5">
        <f>SUM(Q75:T75)+SUM(AC75)*(1-Z75)</f>
        <v>0</v>
      </c>
      <c r="R76" s="5">
        <f t="shared" ref="R76:R139" si="40">O76+P76</f>
        <v>0</v>
      </c>
      <c r="S76" s="5">
        <f t="shared" si="15"/>
        <v>0</v>
      </c>
      <c r="T76" s="5">
        <f t="shared" si="16"/>
        <v>0</v>
      </c>
      <c r="U76" s="74">
        <f t="shared" si="17"/>
        <v>0</v>
      </c>
      <c r="V76" s="75">
        <f t="shared" ref="V76:V138" si="41">IF(Reg_Income_Flag="No",0,MAX(IF(C76&gt;=Regular_Income_Start_Month,
MIN(IF(Income_Type="Fixed Percent",$C$43,0)/12*(K76+L76+M76+N76+Q76+R76+S76+T76),AU76),0),0))</f>
        <v>0</v>
      </c>
      <c r="W76" s="5">
        <f t="shared" si="18"/>
        <v>0</v>
      </c>
      <c r="X76" s="5">
        <f t="shared" si="19"/>
        <v>99640.391214374162</v>
      </c>
      <c r="Y76" s="5">
        <f t="shared" ref="Y76:Y139" si="42">I76+O76+Y75*(1-AA75)</f>
        <v>100000</v>
      </c>
      <c r="Z76" s="215">
        <f t="shared" si="20"/>
        <v>1</v>
      </c>
      <c r="AA76" s="216">
        <f t="shared" ref="AA76:AA139" si="43">IFERROR(-W76/X76,0)</f>
        <v>0</v>
      </c>
      <c r="AB76" s="72">
        <f>-IF(F75=1,AC75*(1-AA75),0)+AB75*(1-AA75)</f>
        <v>0</v>
      </c>
      <c r="AC76" s="72">
        <f t="shared" si="21"/>
        <v>0</v>
      </c>
      <c r="AD76" s="72">
        <f t="shared" si="22"/>
        <v>0</v>
      </c>
      <c r="AE76" s="72">
        <f>-(($K76+I76+M76/2+N76/2+W76/2+$Q76+O76+S76/2+T76/2))*(Ongoing_Commission_Monthly)</f>
        <v>-20.748960296310539</v>
      </c>
      <c r="AF76" s="70">
        <f t="shared" ref="AF76:AF138" si="44">SUM(K76:N76,SUM(AC76:AD76)*Z76)*$H76</f>
        <v>4982.0195607187088</v>
      </c>
      <c r="AG76" s="70">
        <f t="shared" si="23"/>
        <v>0</v>
      </c>
      <c r="AH76" s="1">
        <f t="shared" si="24"/>
        <v>1</v>
      </c>
      <c r="AI76" s="1">
        <f t="shared" si="24"/>
        <v>1</v>
      </c>
      <c r="AJ76" s="1">
        <f t="shared" si="24"/>
        <v>1</v>
      </c>
      <c r="AK76" s="1">
        <f t="shared" si="24"/>
        <v>1</v>
      </c>
      <c r="AL76" s="1">
        <f t="shared" si="24"/>
        <v>1</v>
      </c>
      <c r="AM76" s="1">
        <f t="shared" si="24"/>
        <v>1</v>
      </c>
      <c r="AN76" s="1">
        <f t="shared" si="24"/>
        <v>1</v>
      </c>
      <c r="AO76" s="1">
        <f t="shared" si="24"/>
        <v>1</v>
      </c>
      <c r="AP76" s="1">
        <f t="shared" si="24"/>
        <v>1</v>
      </c>
      <c r="AQ76" s="1">
        <f t="shared" si="24"/>
        <v>1</v>
      </c>
      <c r="AR76" s="1">
        <f t="shared" si="24"/>
        <v>1</v>
      </c>
      <c r="AS76" s="1">
        <f t="shared" si="24"/>
        <v>1</v>
      </c>
      <c r="AT76" s="39">
        <f t="shared" si="25"/>
        <v>99640.391214374162</v>
      </c>
      <c r="AU76" s="39">
        <f t="shared" ref="AU76:AU139" si="45">MAX(0,SUM(K76:N76)-$C$51)</f>
        <v>99640.391214374162</v>
      </c>
      <c r="AV76" s="39"/>
      <c r="AW76" s="3">
        <f t="shared" si="26"/>
        <v>2</v>
      </c>
      <c r="AX76" s="69">
        <f t="shared" ref="AX76:AX139" si="46">IF(OR(B76&gt;Fund_Zero_Year,SUM(K76,Q76)=0,C76&gt;$C$53*12),0,I76+O76)</f>
        <v>0</v>
      </c>
      <c r="AY76" s="75">
        <f t="shared" si="27"/>
        <v>0</v>
      </c>
      <c r="AZ76" s="75">
        <f t="shared" si="28"/>
        <v>0</v>
      </c>
      <c r="BA76" s="75">
        <f t="shared" si="29"/>
        <v>0</v>
      </c>
      <c r="BB76" s="75">
        <f t="shared" si="30"/>
        <v>0</v>
      </c>
      <c r="BC76" s="14"/>
      <c r="BD76" s="214">
        <f t="shared" ref="BD76:BD139" si="47">SUM(BD75:BG75)+L76+R76</f>
        <v>99321.285913563624</v>
      </c>
      <c r="BE76" s="214">
        <f t="shared" si="31"/>
        <v>483.4513813991652</v>
      </c>
      <c r="BF76" s="214">
        <f t="shared" ref="BF76:BF138" si="48">-(BD76+BE76/2)*(External_Fund_Charge_Monthly+Fund_Charge_Monthly+Gtee_Charge_Monthly*$E76)-(I76+O76)*Government_Levy</f>
        <v>-164.34608058863236</v>
      </c>
      <c r="BG76" s="224">
        <f t="shared" ref="BG76" si="49">W76</f>
        <v>0</v>
      </c>
      <c r="BH76" s="19">
        <f t="shared" ref="BH76:BH139" si="50">SUM(BH75:BK75)+L76+R76</f>
        <v>99486.755056534312</v>
      </c>
      <c r="BI76" s="214">
        <f t="shared" si="32"/>
        <v>484.25681081957896</v>
      </c>
      <c r="BJ76" s="214">
        <f t="shared" si="33"/>
        <v>0</v>
      </c>
      <c r="BK76" s="19">
        <f>W76</f>
        <v>0</v>
      </c>
    </row>
    <row r="77" spans="1:63">
      <c r="A77" s="165">
        <f t="shared" si="34"/>
        <v>62.222792607802873</v>
      </c>
      <c r="B77" s="69">
        <f t="shared" si="35"/>
        <v>1</v>
      </c>
      <c r="C77" s="70">
        <f t="shared" si="36"/>
        <v>3</v>
      </c>
      <c r="D77" s="13">
        <f t="shared" si="37"/>
        <v>4.8675505653430484E-3</v>
      </c>
      <c r="E77" s="15">
        <f t="shared" si="9"/>
        <v>1</v>
      </c>
      <c r="F77" s="15">
        <f t="shared" si="38"/>
        <v>0</v>
      </c>
      <c r="G77" s="15">
        <f t="shared" si="10"/>
        <v>0</v>
      </c>
      <c r="H77" s="73">
        <f t="shared" si="11"/>
        <v>0.05</v>
      </c>
      <c r="I77" s="189"/>
      <c r="J77" s="189"/>
      <c r="K77" s="5">
        <f>SUM(K76:N76)+AD76+AC76*Z76</f>
        <v>99640.391214374162</v>
      </c>
      <c r="M77" s="5">
        <f t="shared" si="39"/>
        <v>485.00464258652949</v>
      </c>
      <c r="N77" s="5">
        <f t="shared" si="12"/>
        <v>-164.87410139505758</v>
      </c>
      <c r="O77" s="5">
        <f t="shared" si="13"/>
        <v>0</v>
      </c>
      <c r="P77" s="5">
        <f t="shared" si="14"/>
        <v>0</v>
      </c>
      <c r="Q77" s="5">
        <f t="shared" ref="Q77:Q140" si="51">SUM(Q76:T76)+SUM(AC76)*(1-Z76)</f>
        <v>0</v>
      </c>
      <c r="R77" s="5">
        <f t="shared" si="40"/>
        <v>0</v>
      </c>
      <c r="S77" s="5">
        <f t="shared" si="15"/>
        <v>0</v>
      </c>
      <c r="T77" s="5">
        <f t="shared" si="16"/>
        <v>0</v>
      </c>
      <c r="U77" s="74">
        <f t="shared" si="17"/>
        <v>0</v>
      </c>
      <c r="V77" s="75">
        <f t="shared" si="41"/>
        <v>0</v>
      </c>
      <c r="W77" s="5">
        <f t="shared" si="18"/>
        <v>0</v>
      </c>
      <c r="X77" s="5">
        <f t="shared" si="19"/>
        <v>99960.521755565627</v>
      </c>
      <c r="Y77" s="5">
        <f t="shared" si="42"/>
        <v>100000</v>
      </c>
      <c r="Z77" s="215">
        <f t="shared" si="20"/>
        <v>1</v>
      </c>
      <c r="AA77" s="216">
        <f t="shared" si="43"/>
        <v>0</v>
      </c>
      <c r="AB77" s="72">
        <f t="shared" ref="AB77:AB140" si="52">-IF(F76=1,AC76*(1-AA76),0)+AB76*(1-AA76)</f>
        <v>0</v>
      </c>
      <c r="AC77" s="72">
        <f t="shared" si="21"/>
        <v>0</v>
      </c>
      <c r="AD77" s="72">
        <f t="shared" si="22"/>
        <v>0</v>
      </c>
      <c r="AE77" s="72">
        <f t="shared" ref="AE77:AE139" si="53">-(($K77+I77+M77/2+N77/2+W77/2+$Q77+O77+S77/2+T77/2))*(Ongoing_Commission_Monthly)</f>
        <v>-20.815623782953502</v>
      </c>
      <c r="AF77" s="70">
        <f t="shared" si="44"/>
        <v>4998.0260877782821</v>
      </c>
      <c r="AG77" s="70">
        <f t="shared" si="23"/>
        <v>0</v>
      </c>
      <c r="AH77" s="1">
        <f t="shared" si="24"/>
        <v>1</v>
      </c>
      <c r="AI77" s="1">
        <f t="shared" si="24"/>
        <v>1</v>
      </c>
      <c r="AJ77" s="1">
        <f t="shared" si="24"/>
        <v>1</v>
      </c>
      <c r="AK77" s="1">
        <f t="shared" si="24"/>
        <v>1</v>
      </c>
      <c r="AL77" s="1">
        <f t="shared" si="24"/>
        <v>1</v>
      </c>
      <c r="AM77" s="1">
        <f t="shared" si="24"/>
        <v>1</v>
      </c>
      <c r="AN77" s="1">
        <f t="shared" si="24"/>
        <v>1</v>
      </c>
      <c r="AO77" s="1">
        <f t="shared" si="24"/>
        <v>1</v>
      </c>
      <c r="AP77" s="1">
        <f t="shared" si="24"/>
        <v>1</v>
      </c>
      <c r="AQ77" s="1">
        <f t="shared" si="24"/>
        <v>1</v>
      </c>
      <c r="AR77" s="1">
        <f t="shared" si="24"/>
        <v>1</v>
      </c>
      <c r="AS77" s="1">
        <f t="shared" si="24"/>
        <v>1</v>
      </c>
      <c r="AT77" s="39">
        <f t="shared" si="25"/>
        <v>99960.521755565627</v>
      </c>
      <c r="AU77" s="39">
        <f t="shared" si="45"/>
        <v>99960.521755565627</v>
      </c>
      <c r="AV77" s="39"/>
      <c r="AW77" s="3">
        <f t="shared" si="26"/>
        <v>3</v>
      </c>
      <c r="AX77" s="69">
        <f t="shared" si="46"/>
        <v>0</v>
      </c>
      <c r="AY77" s="75">
        <f t="shared" si="27"/>
        <v>0</v>
      </c>
      <c r="AZ77" s="75">
        <f t="shared" si="28"/>
        <v>0</v>
      </c>
      <c r="BA77" s="75">
        <f t="shared" si="29"/>
        <v>0</v>
      </c>
      <c r="BB77" s="75">
        <f t="shared" si="30"/>
        <v>0</v>
      </c>
      <c r="BD77" s="214">
        <f t="shared" si="47"/>
        <v>99640.391214374162</v>
      </c>
      <c r="BE77" s="214">
        <f t="shared" si="31"/>
        <v>485.00464258652949</v>
      </c>
      <c r="BF77" s="214">
        <f t="shared" si="48"/>
        <v>-164.87410139505758</v>
      </c>
      <c r="BG77" s="224">
        <f t="shared" ref="BG77:BG140" si="54">W77</f>
        <v>0</v>
      </c>
      <c r="BH77" s="19">
        <f t="shared" si="50"/>
        <v>99971.011867353896</v>
      </c>
      <c r="BI77" s="214">
        <f t="shared" si="32"/>
        <v>486.61395533285508</v>
      </c>
      <c r="BJ77" s="214">
        <f t="shared" si="33"/>
        <v>0</v>
      </c>
      <c r="BK77" s="19">
        <f t="shared" ref="BK77:BK140" si="55">W77</f>
        <v>0</v>
      </c>
    </row>
    <row r="78" spans="1:63">
      <c r="A78" s="165">
        <f t="shared" si="34"/>
        <v>62.306125941136209</v>
      </c>
      <c r="B78" s="69">
        <f t="shared" si="35"/>
        <v>1</v>
      </c>
      <c r="C78" s="70">
        <f t="shared" si="36"/>
        <v>4</v>
      </c>
      <c r="D78" s="13">
        <f t="shared" si="37"/>
        <v>4.8675505653430484E-3</v>
      </c>
      <c r="E78" s="15">
        <f t="shared" si="9"/>
        <v>1</v>
      </c>
      <c r="F78" s="15">
        <f t="shared" si="38"/>
        <v>0</v>
      </c>
      <c r="G78" s="15">
        <f t="shared" si="10"/>
        <v>0</v>
      </c>
      <c r="H78" s="73">
        <f t="shared" si="11"/>
        <v>0.05</v>
      </c>
      <c r="I78" s="189"/>
      <c r="J78" s="189"/>
      <c r="K78" s="5">
        <f t="shared" ref="K78:K141" si="56">SUM(K77:N77)+AD77+AC77*Z77</f>
        <v>99960.521755565627</v>
      </c>
      <c r="M78" s="5">
        <f t="shared" si="39"/>
        <v>486.56289418328959</v>
      </c>
      <c r="N78" s="5">
        <f t="shared" si="12"/>
        <v>-165.4038186579545</v>
      </c>
      <c r="O78" s="5">
        <f t="shared" si="13"/>
        <v>0</v>
      </c>
      <c r="P78" s="5">
        <f t="shared" si="14"/>
        <v>0</v>
      </c>
      <c r="Q78" s="5">
        <f t="shared" si="51"/>
        <v>0</v>
      </c>
      <c r="R78" s="5">
        <f t="shared" si="40"/>
        <v>0</v>
      </c>
      <c r="S78" s="5">
        <f t="shared" si="15"/>
        <v>0</v>
      </c>
      <c r="T78" s="5">
        <f t="shared" si="16"/>
        <v>0</v>
      </c>
      <c r="U78" s="74">
        <f t="shared" si="17"/>
        <v>0</v>
      </c>
      <c r="V78" s="75">
        <f t="shared" si="41"/>
        <v>0</v>
      </c>
      <c r="W78" s="5">
        <f t="shared" si="18"/>
        <v>0</v>
      </c>
      <c r="X78" s="5">
        <f t="shared" si="19"/>
        <v>100281.68083109095</v>
      </c>
      <c r="Y78" s="5">
        <f t="shared" si="42"/>
        <v>100000</v>
      </c>
      <c r="Z78" s="215">
        <f t="shared" si="20"/>
        <v>1</v>
      </c>
      <c r="AA78" s="216">
        <f t="shared" si="43"/>
        <v>0</v>
      </c>
      <c r="AB78" s="72">
        <f t="shared" si="52"/>
        <v>0</v>
      </c>
      <c r="AC78" s="72">
        <f t="shared" si="21"/>
        <v>0</v>
      </c>
      <c r="AD78" s="72">
        <f t="shared" si="22"/>
        <v>0</v>
      </c>
      <c r="AE78" s="72">
        <f t="shared" si="53"/>
        <v>-20.882501449988528</v>
      </c>
      <c r="AF78" s="70">
        <f t="shared" si="44"/>
        <v>5014.0840415545481</v>
      </c>
      <c r="AG78" s="70">
        <f t="shared" si="23"/>
        <v>0</v>
      </c>
      <c r="AH78" s="1">
        <f t="shared" si="24"/>
        <v>1</v>
      </c>
      <c r="AI78" s="1">
        <f t="shared" si="24"/>
        <v>1</v>
      </c>
      <c r="AJ78" s="1">
        <f t="shared" si="24"/>
        <v>1</v>
      </c>
      <c r="AK78" s="1">
        <f t="shared" si="24"/>
        <v>1</v>
      </c>
      <c r="AL78" s="1">
        <f t="shared" si="24"/>
        <v>1</v>
      </c>
      <c r="AM78" s="1">
        <f t="shared" si="24"/>
        <v>1</v>
      </c>
      <c r="AN78" s="1">
        <f t="shared" si="24"/>
        <v>1</v>
      </c>
      <c r="AO78" s="1">
        <f t="shared" si="24"/>
        <v>1</v>
      </c>
      <c r="AP78" s="1">
        <f t="shared" si="24"/>
        <v>1</v>
      </c>
      <c r="AQ78" s="1">
        <f t="shared" si="24"/>
        <v>1</v>
      </c>
      <c r="AR78" s="1">
        <f t="shared" si="24"/>
        <v>1</v>
      </c>
      <c r="AS78" s="1">
        <f t="shared" si="24"/>
        <v>1</v>
      </c>
      <c r="AT78" s="39">
        <f t="shared" si="25"/>
        <v>100281.68083109095</v>
      </c>
      <c r="AU78" s="39">
        <f t="shared" si="45"/>
        <v>100281.68083109095</v>
      </c>
      <c r="AV78" s="39"/>
      <c r="AW78" s="3">
        <f t="shared" si="26"/>
        <v>4</v>
      </c>
      <c r="AX78" s="69">
        <f t="shared" si="46"/>
        <v>0</v>
      </c>
      <c r="AY78" s="75">
        <f t="shared" si="27"/>
        <v>0</v>
      </c>
      <c r="AZ78" s="75">
        <f t="shared" si="28"/>
        <v>0</v>
      </c>
      <c r="BA78" s="75">
        <f t="shared" si="29"/>
        <v>0</v>
      </c>
      <c r="BB78" s="75">
        <f t="shared" si="30"/>
        <v>0</v>
      </c>
      <c r="BD78" s="214">
        <f t="shared" si="47"/>
        <v>99960.521755565627</v>
      </c>
      <c r="BE78" s="214">
        <f t="shared" si="31"/>
        <v>486.56289418328959</v>
      </c>
      <c r="BF78" s="214">
        <f t="shared" si="48"/>
        <v>-165.4038186579545</v>
      </c>
      <c r="BG78" s="224">
        <f t="shared" si="54"/>
        <v>0</v>
      </c>
      <c r="BH78" s="19">
        <f t="shared" si="50"/>
        <v>100457.62582268675</v>
      </c>
      <c r="BI78" s="214">
        <f t="shared" si="32"/>
        <v>488.98257336623931</v>
      </c>
      <c r="BJ78" s="214">
        <f t="shared" si="33"/>
        <v>0</v>
      </c>
      <c r="BK78" s="19">
        <f t="shared" si="55"/>
        <v>0</v>
      </c>
    </row>
    <row r="79" spans="1:63">
      <c r="A79" s="165">
        <f t="shared" si="34"/>
        <v>62.389459274469544</v>
      </c>
      <c r="B79" s="69">
        <f t="shared" si="35"/>
        <v>1</v>
      </c>
      <c r="C79" s="70">
        <f t="shared" si="36"/>
        <v>5</v>
      </c>
      <c r="D79" s="13">
        <f t="shared" si="37"/>
        <v>4.8675505653430484E-3</v>
      </c>
      <c r="E79" s="15">
        <f t="shared" si="9"/>
        <v>1</v>
      </c>
      <c r="F79" s="15">
        <f t="shared" si="38"/>
        <v>0</v>
      </c>
      <c r="G79" s="15">
        <f t="shared" si="10"/>
        <v>0</v>
      </c>
      <c r="H79" s="73">
        <f t="shared" si="11"/>
        <v>0.05</v>
      </c>
      <c r="I79" s="189"/>
      <c r="J79" s="189"/>
      <c r="K79" s="5">
        <f t="shared" si="56"/>
        <v>100281.68083109095</v>
      </c>
      <c r="M79" s="5">
        <f t="shared" si="39"/>
        <v>488.12615222292794</v>
      </c>
      <c r="N79" s="5">
        <f t="shared" si="12"/>
        <v>-165.9352378277988</v>
      </c>
      <c r="O79" s="5">
        <f t="shared" si="13"/>
        <v>0</v>
      </c>
      <c r="P79" s="5">
        <f t="shared" si="14"/>
        <v>0</v>
      </c>
      <c r="Q79" s="5">
        <f t="shared" si="51"/>
        <v>0</v>
      </c>
      <c r="R79" s="5">
        <f t="shared" si="40"/>
        <v>0</v>
      </c>
      <c r="S79" s="5">
        <f t="shared" si="15"/>
        <v>0</v>
      </c>
      <c r="T79" s="5">
        <f t="shared" si="16"/>
        <v>0</v>
      </c>
      <c r="U79" s="74">
        <f t="shared" si="17"/>
        <v>0</v>
      </c>
      <c r="V79" s="75">
        <f t="shared" si="41"/>
        <v>0</v>
      </c>
      <c r="W79" s="5">
        <f t="shared" si="18"/>
        <v>0</v>
      </c>
      <c r="X79" s="5">
        <f t="shared" si="19"/>
        <v>100603.87174548609</v>
      </c>
      <c r="Y79" s="5">
        <f t="shared" si="42"/>
        <v>100000</v>
      </c>
      <c r="Z79" s="215">
        <f t="shared" si="20"/>
        <v>1</v>
      </c>
      <c r="AA79" s="216">
        <f t="shared" si="43"/>
        <v>0</v>
      </c>
      <c r="AB79" s="72">
        <f t="shared" si="52"/>
        <v>0</v>
      </c>
      <c r="AC79" s="72">
        <f t="shared" si="21"/>
        <v>0</v>
      </c>
      <c r="AD79" s="72">
        <f t="shared" si="22"/>
        <v>0</v>
      </c>
      <c r="AE79" s="72">
        <f t="shared" si="53"/>
        <v>-20.949593985547057</v>
      </c>
      <c r="AF79" s="70">
        <f t="shared" si="44"/>
        <v>5030.1935872743052</v>
      </c>
      <c r="AG79" s="70">
        <f t="shared" si="23"/>
        <v>0</v>
      </c>
      <c r="AH79" s="1">
        <f t="shared" si="24"/>
        <v>1</v>
      </c>
      <c r="AI79" s="1">
        <f t="shared" si="24"/>
        <v>1</v>
      </c>
      <c r="AJ79" s="1">
        <f t="shared" si="24"/>
        <v>1</v>
      </c>
      <c r="AK79" s="1">
        <f t="shared" si="24"/>
        <v>1</v>
      </c>
      <c r="AL79" s="1">
        <f t="shared" si="24"/>
        <v>1</v>
      </c>
      <c r="AM79" s="1">
        <f t="shared" si="24"/>
        <v>1</v>
      </c>
      <c r="AN79" s="1">
        <f t="shared" si="24"/>
        <v>1</v>
      </c>
      <c r="AO79" s="1">
        <f t="shared" si="24"/>
        <v>1</v>
      </c>
      <c r="AP79" s="1">
        <f t="shared" si="24"/>
        <v>1</v>
      </c>
      <c r="AQ79" s="1">
        <f t="shared" si="24"/>
        <v>1</v>
      </c>
      <c r="AR79" s="1">
        <f t="shared" si="24"/>
        <v>1</v>
      </c>
      <c r="AS79" s="1">
        <f t="shared" si="24"/>
        <v>1</v>
      </c>
      <c r="AT79" s="39">
        <f t="shared" si="25"/>
        <v>100603.87174548609</v>
      </c>
      <c r="AU79" s="39">
        <f t="shared" si="45"/>
        <v>100603.87174548609</v>
      </c>
      <c r="AV79" s="39"/>
      <c r="AW79" s="3">
        <f t="shared" si="26"/>
        <v>5</v>
      </c>
      <c r="AX79" s="69">
        <f t="shared" si="46"/>
        <v>0</v>
      </c>
      <c r="AY79" s="75">
        <f t="shared" si="27"/>
        <v>0</v>
      </c>
      <c r="AZ79" s="75">
        <f t="shared" si="28"/>
        <v>0</v>
      </c>
      <c r="BA79" s="75">
        <f t="shared" si="29"/>
        <v>0</v>
      </c>
      <c r="BB79" s="75">
        <f t="shared" si="30"/>
        <v>0</v>
      </c>
      <c r="BD79" s="214">
        <f t="shared" si="47"/>
        <v>100281.68083109095</v>
      </c>
      <c r="BE79" s="214">
        <f t="shared" si="31"/>
        <v>488.12615222292794</v>
      </c>
      <c r="BF79" s="214">
        <f t="shared" si="48"/>
        <v>-165.9352378277988</v>
      </c>
      <c r="BG79" s="224">
        <f t="shared" si="54"/>
        <v>0</v>
      </c>
      <c r="BH79" s="19">
        <f t="shared" si="50"/>
        <v>100946.60839605299</v>
      </c>
      <c r="BI79" s="214">
        <f t="shared" si="32"/>
        <v>491.36272076767108</v>
      </c>
      <c r="BJ79" s="214">
        <f t="shared" si="33"/>
        <v>0</v>
      </c>
      <c r="BK79" s="19">
        <f t="shared" si="55"/>
        <v>0</v>
      </c>
    </row>
    <row r="80" spans="1:63">
      <c r="A80" s="165">
        <f t="shared" si="34"/>
        <v>62.472792607802873</v>
      </c>
      <c r="B80" s="69">
        <f t="shared" si="35"/>
        <v>1</v>
      </c>
      <c r="C80" s="70">
        <f t="shared" si="36"/>
        <v>6</v>
      </c>
      <c r="D80" s="13">
        <f t="shared" si="37"/>
        <v>4.8675505653430484E-3</v>
      </c>
      <c r="E80" s="15">
        <f t="shared" si="9"/>
        <v>1</v>
      </c>
      <c r="F80" s="15">
        <f t="shared" si="38"/>
        <v>0</v>
      </c>
      <c r="G80" s="15">
        <f t="shared" si="10"/>
        <v>0</v>
      </c>
      <c r="H80" s="73">
        <f t="shared" si="11"/>
        <v>0.05</v>
      </c>
      <c r="I80" s="189"/>
      <c r="J80" s="189"/>
      <c r="K80" s="5">
        <f t="shared" si="56"/>
        <v>100603.87174548609</v>
      </c>
      <c r="M80" s="5">
        <f t="shared" si="39"/>
        <v>489.69443279044037</v>
      </c>
      <c r="N80" s="5">
        <f t="shared" si="12"/>
        <v>-166.46836437257784</v>
      </c>
      <c r="O80" s="5">
        <f t="shared" si="13"/>
        <v>0</v>
      </c>
      <c r="P80" s="5">
        <f t="shared" si="14"/>
        <v>0</v>
      </c>
      <c r="Q80" s="5">
        <f t="shared" si="51"/>
        <v>0</v>
      </c>
      <c r="R80" s="5">
        <f t="shared" si="40"/>
        <v>0</v>
      </c>
      <c r="S80" s="5">
        <f t="shared" si="15"/>
        <v>0</v>
      </c>
      <c r="T80" s="5">
        <f t="shared" si="16"/>
        <v>0</v>
      </c>
      <c r="U80" s="74">
        <f t="shared" si="17"/>
        <v>0</v>
      </c>
      <c r="V80" s="75">
        <f t="shared" si="41"/>
        <v>0</v>
      </c>
      <c r="W80" s="5">
        <f t="shared" si="18"/>
        <v>0</v>
      </c>
      <c r="X80" s="5">
        <f t="shared" si="19"/>
        <v>100927.09781390395</v>
      </c>
      <c r="Y80" s="5">
        <f t="shared" si="42"/>
        <v>100000</v>
      </c>
      <c r="Z80" s="215">
        <f t="shared" si="20"/>
        <v>1</v>
      </c>
      <c r="AA80" s="216">
        <f t="shared" si="43"/>
        <v>0</v>
      </c>
      <c r="AB80" s="72">
        <f t="shared" si="52"/>
        <v>0</v>
      </c>
      <c r="AC80" s="72">
        <f t="shared" si="21"/>
        <v>0</v>
      </c>
      <c r="AD80" s="72">
        <f t="shared" si="22"/>
        <v>0</v>
      </c>
      <c r="AE80" s="72">
        <f t="shared" si="53"/>
        <v>-21.016902079971395</v>
      </c>
      <c r="AF80" s="70">
        <f t="shared" si="44"/>
        <v>5046.3548906951983</v>
      </c>
      <c r="AG80" s="70">
        <f t="shared" si="23"/>
        <v>0</v>
      </c>
      <c r="AH80" s="1">
        <f t="shared" si="24"/>
        <v>1</v>
      </c>
      <c r="AI80" s="1">
        <f t="shared" si="24"/>
        <v>1</v>
      </c>
      <c r="AJ80" s="1">
        <f t="shared" si="24"/>
        <v>1</v>
      </c>
      <c r="AK80" s="1">
        <f t="shared" si="24"/>
        <v>1</v>
      </c>
      <c r="AL80" s="1">
        <f t="shared" si="24"/>
        <v>1</v>
      </c>
      <c r="AM80" s="1">
        <f t="shared" si="24"/>
        <v>1</v>
      </c>
      <c r="AN80" s="1">
        <f t="shared" si="24"/>
        <v>1</v>
      </c>
      <c r="AO80" s="1">
        <f t="shared" si="24"/>
        <v>1</v>
      </c>
      <c r="AP80" s="1">
        <f t="shared" si="24"/>
        <v>1</v>
      </c>
      <c r="AQ80" s="1">
        <f t="shared" si="24"/>
        <v>1</v>
      </c>
      <c r="AR80" s="1">
        <f t="shared" si="24"/>
        <v>1</v>
      </c>
      <c r="AS80" s="1">
        <f t="shared" si="24"/>
        <v>1</v>
      </c>
      <c r="AT80" s="39">
        <f t="shared" si="25"/>
        <v>100927.09781390395</v>
      </c>
      <c r="AU80" s="39">
        <f t="shared" si="45"/>
        <v>100927.09781390395</v>
      </c>
      <c r="AV80" s="39"/>
      <c r="AW80" s="3">
        <f t="shared" si="26"/>
        <v>6</v>
      </c>
      <c r="AX80" s="69">
        <f t="shared" si="46"/>
        <v>0</v>
      </c>
      <c r="AY80" s="75">
        <f t="shared" si="27"/>
        <v>0</v>
      </c>
      <c r="AZ80" s="75">
        <f t="shared" si="28"/>
        <v>0</v>
      </c>
      <c r="BA80" s="75">
        <f t="shared" si="29"/>
        <v>0</v>
      </c>
      <c r="BB80" s="75">
        <f t="shared" si="30"/>
        <v>0</v>
      </c>
      <c r="BD80" s="214">
        <f t="shared" si="47"/>
        <v>100603.87174548609</v>
      </c>
      <c r="BE80" s="214">
        <f t="shared" si="31"/>
        <v>489.69443279044037</v>
      </c>
      <c r="BF80" s="214">
        <f t="shared" si="48"/>
        <v>-166.46836437257784</v>
      </c>
      <c r="BG80" s="224">
        <f t="shared" si="54"/>
        <v>0</v>
      </c>
      <c r="BH80" s="19">
        <f t="shared" si="50"/>
        <v>101437.97111682067</v>
      </c>
      <c r="BI80" s="214">
        <f t="shared" si="32"/>
        <v>493.7544536569323</v>
      </c>
      <c r="BJ80" s="214">
        <f t="shared" si="33"/>
        <v>0</v>
      </c>
      <c r="BK80" s="19">
        <f t="shared" si="55"/>
        <v>0</v>
      </c>
    </row>
    <row r="81" spans="1:63">
      <c r="A81" s="165">
        <f t="shared" si="34"/>
        <v>62.556125941136209</v>
      </c>
      <c r="B81" s="69">
        <f t="shared" si="35"/>
        <v>1</v>
      </c>
      <c r="C81" s="70">
        <f t="shared" si="36"/>
        <v>7</v>
      </c>
      <c r="D81" s="13">
        <f t="shared" si="37"/>
        <v>4.8675505653430484E-3</v>
      </c>
      <c r="E81" s="15">
        <f t="shared" si="9"/>
        <v>1</v>
      </c>
      <c r="F81" s="15">
        <f t="shared" si="38"/>
        <v>0</v>
      </c>
      <c r="G81" s="15">
        <f t="shared" si="10"/>
        <v>0</v>
      </c>
      <c r="H81" s="73">
        <f t="shared" si="11"/>
        <v>0.05</v>
      </c>
      <c r="I81" s="189"/>
      <c r="J81" s="189"/>
      <c r="K81" s="5">
        <f t="shared" si="56"/>
        <v>100927.09781390395</v>
      </c>
      <c r="M81" s="5">
        <f t="shared" si="39"/>
        <v>491.26775202250133</v>
      </c>
      <c r="N81" s="5">
        <f t="shared" si="12"/>
        <v>-167.00320377784669</v>
      </c>
      <c r="O81" s="5">
        <f t="shared" si="13"/>
        <v>0</v>
      </c>
      <c r="P81" s="5">
        <f t="shared" si="14"/>
        <v>0</v>
      </c>
      <c r="Q81" s="5">
        <f t="shared" si="51"/>
        <v>0</v>
      </c>
      <c r="R81" s="5">
        <f t="shared" si="40"/>
        <v>0</v>
      </c>
      <c r="S81" s="5">
        <f t="shared" si="15"/>
        <v>0</v>
      </c>
      <c r="T81" s="5">
        <f t="shared" si="16"/>
        <v>0</v>
      </c>
      <c r="U81" s="74">
        <f t="shared" si="17"/>
        <v>0</v>
      </c>
      <c r="V81" s="75">
        <f t="shared" si="41"/>
        <v>0</v>
      </c>
      <c r="W81" s="5">
        <f t="shared" si="18"/>
        <v>0</v>
      </c>
      <c r="X81" s="5">
        <f t="shared" si="19"/>
        <v>101251.3623621486</v>
      </c>
      <c r="Y81" s="5">
        <f t="shared" si="42"/>
        <v>100000</v>
      </c>
      <c r="Z81" s="215">
        <f t="shared" si="20"/>
        <v>1</v>
      </c>
      <c r="AA81" s="216">
        <f t="shared" si="43"/>
        <v>0</v>
      </c>
      <c r="AB81" s="72">
        <f t="shared" si="52"/>
        <v>0</v>
      </c>
      <c r="AC81" s="72">
        <f t="shared" si="21"/>
        <v>0</v>
      </c>
      <c r="AD81" s="72">
        <f t="shared" si="22"/>
        <v>0</v>
      </c>
      <c r="AE81" s="72">
        <f t="shared" si="53"/>
        <v>-21.084426425821803</v>
      </c>
      <c r="AF81" s="70">
        <f t="shared" si="44"/>
        <v>5062.5681181074306</v>
      </c>
      <c r="AG81" s="70">
        <f t="shared" si="23"/>
        <v>0</v>
      </c>
      <c r="AH81" s="1">
        <f t="shared" si="24"/>
        <v>1</v>
      </c>
      <c r="AI81" s="1">
        <f t="shared" si="24"/>
        <v>1</v>
      </c>
      <c r="AJ81" s="1">
        <f t="shared" si="24"/>
        <v>1</v>
      </c>
      <c r="AK81" s="1">
        <f t="shared" si="24"/>
        <v>1</v>
      </c>
      <c r="AL81" s="1">
        <f t="shared" si="24"/>
        <v>1</v>
      </c>
      <c r="AM81" s="1">
        <f t="shared" si="24"/>
        <v>1</v>
      </c>
      <c r="AN81" s="1">
        <f t="shared" si="24"/>
        <v>1</v>
      </c>
      <c r="AO81" s="1">
        <f t="shared" si="24"/>
        <v>1</v>
      </c>
      <c r="AP81" s="1">
        <f t="shared" si="24"/>
        <v>1</v>
      </c>
      <c r="AQ81" s="1">
        <f t="shared" si="24"/>
        <v>1</v>
      </c>
      <c r="AR81" s="1">
        <f t="shared" si="24"/>
        <v>1</v>
      </c>
      <c r="AS81" s="1">
        <f t="shared" si="24"/>
        <v>1</v>
      </c>
      <c r="AT81" s="39">
        <f t="shared" si="25"/>
        <v>101251.3623621486</v>
      </c>
      <c r="AU81" s="39">
        <f t="shared" si="45"/>
        <v>101251.3623621486</v>
      </c>
      <c r="AV81" s="39"/>
      <c r="AW81" s="3">
        <f t="shared" si="26"/>
        <v>7</v>
      </c>
      <c r="AX81" s="69">
        <f t="shared" si="46"/>
        <v>0</v>
      </c>
      <c r="AY81" s="75">
        <f t="shared" si="27"/>
        <v>0</v>
      </c>
      <c r="AZ81" s="75">
        <f t="shared" si="28"/>
        <v>0</v>
      </c>
      <c r="BA81" s="75">
        <f t="shared" si="29"/>
        <v>0</v>
      </c>
      <c r="BB81" s="75">
        <f t="shared" si="30"/>
        <v>0</v>
      </c>
      <c r="BD81" s="214">
        <f t="shared" si="47"/>
        <v>100927.09781390395</v>
      </c>
      <c r="BE81" s="214">
        <f t="shared" si="31"/>
        <v>491.26775202250133</v>
      </c>
      <c r="BF81" s="214">
        <f t="shared" si="48"/>
        <v>-167.00320377784669</v>
      </c>
      <c r="BG81" s="224">
        <f t="shared" si="54"/>
        <v>0</v>
      </c>
      <c r="BH81" s="19">
        <f t="shared" si="50"/>
        <v>101931.7255704776</v>
      </c>
      <c r="BI81" s="214">
        <f t="shared" si="32"/>
        <v>496.1578284269707</v>
      </c>
      <c r="BJ81" s="214">
        <f t="shared" si="33"/>
        <v>0</v>
      </c>
      <c r="BK81" s="19">
        <f t="shared" si="55"/>
        <v>0</v>
      </c>
    </row>
    <row r="82" spans="1:63">
      <c r="A82" s="165">
        <f t="shared" si="34"/>
        <v>62.639459274469544</v>
      </c>
      <c r="B82" s="69">
        <f t="shared" si="35"/>
        <v>1</v>
      </c>
      <c r="C82" s="70">
        <f t="shared" si="36"/>
        <v>8</v>
      </c>
      <c r="D82" s="13">
        <f t="shared" si="37"/>
        <v>4.8675505653430484E-3</v>
      </c>
      <c r="E82" s="15">
        <f t="shared" si="9"/>
        <v>1</v>
      </c>
      <c r="F82" s="15">
        <f t="shared" si="38"/>
        <v>0</v>
      </c>
      <c r="G82" s="15">
        <f t="shared" si="10"/>
        <v>0</v>
      </c>
      <c r="H82" s="73">
        <f t="shared" si="11"/>
        <v>0.05</v>
      </c>
      <c r="I82" s="189"/>
      <c r="J82" s="189"/>
      <c r="K82" s="5">
        <f t="shared" si="56"/>
        <v>101251.3623621486</v>
      </c>
      <c r="M82" s="5">
        <f t="shared" si="39"/>
        <v>492.84612610763031</v>
      </c>
      <c r="N82" s="5">
        <f t="shared" si="12"/>
        <v>-167.53976154678486</v>
      </c>
      <c r="O82" s="5">
        <f t="shared" si="13"/>
        <v>0</v>
      </c>
      <c r="P82" s="5">
        <f t="shared" si="14"/>
        <v>0</v>
      </c>
      <c r="Q82" s="5">
        <f t="shared" si="51"/>
        <v>0</v>
      </c>
      <c r="R82" s="5">
        <f t="shared" si="40"/>
        <v>0</v>
      </c>
      <c r="S82" s="5">
        <f t="shared" si="15"/>
        <v>0</v>
      </c>
      <c r="T82" s="5">
        <f t="shared" si="16"/>
        <v>0</v>
      </c>
      <c r="U82" s="74">
        <f t="shared" si="17"/>
        <v>0</v>
      </c>
      <c r="V82" s="75">
        <f t="shared" si="41"/>
        <v>0</v>
      </c>
      <c r="W82" s="5">
        <f t="shared" si="18"/>
        <v>0</v>
      </c>
      <c r="X82" s="5">
        <f t="shared" si="19"/>
        <v>101576.66872670945</v>
      </c>
      <c r="Y82" s="5">
        <f t="shared" si="42"/>
        <v>100000</v>
      </c>
      <c r="Z82" s="215">
        <f t="shared" si="20"/>
        <v>1</v>
      </c>
      <c r="AA82" s="216">
        <f t="shared" si="43"/>
        <v>0</v>
      </c>
      <c r="AB82" s="72">
        <f t="shared" si="52"/>
        <v>0</v>
      </c>
      <c r="AC82" s="72">
        <f t="shared" si="21"/>
        <v>0</v>
      </c>
      <c r="AD82" s="72">
        <f t="shared" si="22"/>
        <v>0</v>
      </c>
      <c r="AE82" s="72">
        <f t="shared" si="53"/>
        <v>-21.152167717883657</v>
      </c>
      <c r="AF82" s="70">
        <f t="shared" si="44"/>
        <v>5078.8334363354734</v>
      </c>
      <c r="AG82" s="70">
        <f t="shared" si="23"/>
        <v>0</v>
      </c>
      <c r="AH82" s="1">
        <f t="shared" si="24"/>
        <v>1</v>
      </c>
      <c r="AI82" s="1">
        <f t="shared" si="24"/>
        <v>1</v>
      </c>
      <c r="AJ82" s="1">
        <f t="shared" si="24"/>
        <v>1</v>
      </c>
      <c r="AK82" s="1">
        <f t="shared" si="24"/>
        <v>1</v>
      </c>
      <c r="AL82" s="1">
        <f t="shared" si="24"/>
        <v>1</v>
      </c>
      <c r="AM82" s="1">
        <f t="shared" si="24"/>
        <v>1</v>
      </c>
      <c r="AN82" s="1">
        <f t="shared" si="24"/>
        <v>1</v>
      </c>
      <c r="AO82" s="1">
        <f t="shared" si="24"/>
        <v>1</v>
      </c>
      <c r="AP82" s="1">
        <f t="shared" si="24"/>
        <v>1</v>
      </c>
      <c r="AQ82" s="1">
        <f t="shared" si="24"/>
        <v>1</v>
      </c>
      <c r="AR82" s="1">
        <f t="shared" si="24"/>
        <v>1</v>
      </c>
      <c r="AS82" s="1">
        <f t="shared" si="24"/>
        <v>1</v>
      </c>
      <c r="AT82" s="39">
        <f t="shared" si="25"/>
        <v>101576.66872670945</v>
      </c>
      <c r="AU82" s="39">
        <f t="shared" si="45"/>
        <v>101576.66872670945</v>
      </c>
      <c r="AV82" s="39"/>
      <c r="AW82" s="3">
        <f t="shared" si="26"/>
        <v>8</v>
      </c>
      <c r="AX82" s="69">
        <f t="shared" si="46"/>
        <v>0</v>
      </c>
      <c r="AY82" s="75">
        <f t="shared" si="27"/>
        <v>0</v>
      </c>
      <c r="AZ82" s="75">
        <f t="shared" si="28"/>
        <v>0</v>
      </c>
      <c r="BA82" s="75">
        <f t="shared" si="29"/>
        <v>0</v>
      </c>
      <c r="BB82" s="75">
        <f t="shared" si="30"/>
        <v>0</v>
      </c>
      <c r="BD82" s="214">
        <f t="shared" si="47"/>
        <v>101251.3623621486</v>
      </c>
      <c r="BE82" s="214">
        <f t="shared" si="31"/>
        <v>492.84612610763031</v>
      </c>
      <c r="BF82" s="214">
        <f t="shared" si="48"/>
        <v>-167.53976154678486</v>
      </c>
      <c r="BG82" s="224">
        <f t="shared" si="54"/>
        <v>0</v>
      </c>
      <c r="BH82" s="19">
        <f t="shared" si="50"/>
        <v>102427.88339890457</v>
      </c>
      <c r="BI82" s="214">
        <f t="shared" si="32"/>
        <v>498.57290174522979</v>
      </c>
      <c r="BJ82" s="214">
        <f t="shared" si="33"/>
        <v>0</v>
      </c>
      <c r="BK82" s="19">
        <f t="shared" si="55"/>
        <v>0</v>
      </c>
    </row>
    <row r="83" spans="1:63">
      <c r="A83" s="165">
        <f t="shared" si="34"/>
        <v>62.722792607802873</v>
      </c>
      <c r="B83" s="69">
        <f t="shared" si="35"/>
        <v>1</v>
      </c>
      <c r="C83" s="70">
        <f t="shared" si="36"/>
        <v>9</v>
      </c>
      <c r="D83" s="13">
        <f t="shared" si="37"/>
        <v>4.8675505653430484E-3</v>
      </c>
      <c r="E83" s="15">
        <f t="shared" si="9"/>
        <v>1</v>
      </c>
      <c r="F83" s="15">
        <f t="shared" si="38"/>
        <v>0</v>
      </c>
      <c r="G83" s="15">
        <f t="shared" si="10"/>
        <v>0</v>
      </c>
      <c r="H83" s="73">
        <f t="shared" si="11"/>
        <v>0.05</v>
      </c>
      <c r="I83" s="189"/>
      <c r="J83" s="189"/>
      <c r="K83" s="5">
        <f t="shared" si="56"/>
        <v>101576.66872670945</v>
      </c>
      <c r="M83" s="5">
        <f t="shared" si="39"/>
        <v>494.42957128635817</v>
      </c>
      <c r="N83" s="5">
        <f t="shared" si="12"/>
        <v>-168.07804320025278</v>
      </c>
      <c r="O83" s="5">
        <f t="shared" si="13"/>
        <v>0</v>
      </c>
      <c r="P83" s="5">
        <f t="shared" si="14"/>
        <v>0</v>
      </c>
      <c r="Q83" s="5">
        <f t="shared" si="51"/>
        <v>0</v>
      </c>
      <c r="R83" s="5">
        <f t="shared" si="40"/>
        <v>0</v>
      </c>
      <c r="S83" s="5">
        <f t="shared" si="15"/>
        <v>0</v>
      </c>
      <c r="T83" s="5">
        <f t="shared" si="16"/>
        <v>0</v>
      </c>
      <c r="U83" s="74">
        <f t="shared" si="17"/>
        <v>0</v>
      </c>
      <c r="V83" s="75">
        <f t="shared" si="41"/>
        <v>0</v>
      </c>
      <c r="W83" s="5">
        <f t="shared" si="18"/>
        <v>0</v>
      </c>
      <c r="X83" s="5">
        <f t="shared" si="19"/>
        <v>101903.02025479556</v>
      </c>
      <c r="Y83" s="5">
        <f t="shared" si="42"/>
        <v>100000</v>
      </c>
      <c r="Z83" s="215">
        <f t="shared" si="20"/>
        <v>1</v>
      </c>
      <c r="AA83" s="216">
        <f t="shared" si="43"/>
        <v>0</v>
      </c>
      <c r="AB83" s="72">
        <f t="shared" si="52"/>
        <v>0</v>
      </c>
      <c r="AC83" s="72">
        <f t="shared" si="21"/>
        <v>0</v>
      </c>
      <c r="AD83" s="72">
        <f t="shared" si="22"/>
        <v>0</v>
      </c>
      <c r="AE83" s="72">
        <f t="shared" si="53"/>
        <v>-21.220126653174571</v>
      </c>
      <c r="AF83" s="70">
        <f t="shared" si="44"/>
        <v>5095.1510127397778</v>
      </c>
      <c r="AG83" s="70">
        <f t="shared" si="23"/>
        <v>0</v>
      </c>
      <c r="AH83" s="1">
        <f t="shared" si="24"/>
        <v>1</v>
      </c>
      <c r="AI83" s="1">
        <f t="shared" si="24"/>
        <v>1</v>
      </c>
      <c r="AJ83" s="1">
        <f t="shared" si="24"/>
        <v>1</v>
      </c>
      <c r="AK83" s="1">
        <f t="shared" si="24"/>
        <v>1</v>
      </c>
      <c r="AL83" s="1">
        <f t="shared" si="24"/>
        <v>1</v>
      </c>
      <c r="AM83" s="1">
        <f t="shared" si="24"/>
        <v>1</v>
      </c>
      <c r="AN83" s="1">
        <f t="shared" si="24"/>
        <v>1</v>
      </c>
      <c r="AO83" s="1">
        <f t="shared" si="24"/>
        <v>1</v>
      </c>
      <c r="AP83" s="1">
        <f t="shared" si="24"/>
        <v>1</v>
      </c>
      <c r="AQ83" s="1">
        <f t="shared" si="24"/>
        <v>1</v>
      </c>
      <c r="AR83" s="1">
        <f t="shared" si="24"/>
        <v>1</v>
      </c>
      <c r="AS83" s="1">
        <f t="shared" si="24"/>
        <v>1</v>
      </c>
      <c r="AT83" s="39">
        <f t="shared" si="25"/>
        <v>101903.02025479556</v>
      </c>
      <c r="AU83" s="39">
        <f t="shared" si="45"/>
        <v>101903.02025479556</v>
      </c>
      <c r="AV83" s="39"/>
      <c r="AW83" s="3">
        <f t="shared" si="26"/>
        <v>9</v>
      </c>
      <c r="AX83" s="69">
        <f t="shared" si="46"/>
        <v>0</v>
      </c>
      <c r="AY83" s="75">
        <f t="shared" si="27"/>
        <v>0</v>
      </c>
      <c r="AZ83" s="75">
        <f t="shared" si="28"/>
        <v>0</v>
      </c>
      <c r="BA83" s="75">
        <f t="shared" si="29"/>
        <v>0</v>
      </c>
      <c r="BB83" s="75">
        <f t="shared" si="30"/>
        <v>0</v>
      </c>
      <c r="BD83" s="214">
        <f t="shared" si="47"/>
        <v>101576.66872670945</v>
      </c>
      <c r="BE83" s="214">
        <f t="shared" si="31"/>
        <v>494.42957128635817</v>
      </c>
      <c r="BF83" s="214">
        <f t="shared" si="48"/>
        <v>-168.07804320025278</v>
      </c>
      <c r="BG83" s="224">
        <f t="shared" si="54"/>
        <v>0</v>
      </c>
      <c r="BH83" s="19">
        <f t="shared" si="50"/>
        <v>102926.45630064979</v>
      </c>
      <c r="BI83" s="214">
        <f t="shared" si="32"/>
        <v>500.99973055498447</v>
      </c>
      <c r="BJ83" s="214">
        <f t="shared" si="33"/>
        <v>0</v>
      </c>
      <c r="BK83" s="19">
        <f t="shared" si="55"/>
        <v>0</v>
      </c>
    </row>
    <row r="84" spans="1:63">
      <c r="A84" s="165">
        <f t="shared" si="34"/>
        <v>62.806125941136209</v>
      </c>
      <c r="B84" s="69">
        <f t="shared" si="35"/>
        <v>1</v>
      </c>
      <c r="C84" s="70">
        <f t="shared" si="36"/>
        <v>10</v>
      </c>
      <c r="D84" s="13">
        <f t="shared" si="37"/>
        <v>4.8675505653430484E-3</v>
      </c>
      <c r="E84" s="15">
        <f t="shared" si="9"/>
        <v>1</v>
      </c>
      <c r="F84" s="15">
        <f t="shared" si="38"/>
        <v>0</v>
      </c>
      <c r="G84" s="15">
        <f t="shared" si="10"/>
        <v>0</v>
      </c>
      <c r="H84" s="73">
        <f t="shared" si="11"/>
        <v>0.05</v>
      </c>
      <c r="I84" s="189"/>
      <c r="J84" s="189"/>
      <c r="K84" s="5">
        <f t="shared" si="56"/>
        <v>101903.02025479556</v>
      </c>
      <c r="M84" s="5">
        <f t="shared" si="39"/>
        <v>496.01810385139424</v>
      </c>
      <c r="N84" s="5">
        <f t="shared" si="12"/>
        <v>-168.61805427684857</v>
      </c>
      <c r="O84" s="5">
        <f t="shared" si="13"/>
        <v>0</v>
      </c>
      <c r="P84" s="5">
        <f t="shared" si="14"/>
        <v>0</v>
      </c>
      <c r="Q84" s="5">
        <f t="shared" si="51"/>
        <v>0</v>
      </c>
      <c r="R84" s="5">
        <f t="shared" si="40"/>
        <v>0</v>
      </c>
      <c r="S84" s="5">
        <f t="shared" si="15"/>
        <v>0</v>
      </c>
      <c r="T84" s="5">
        <f t="shared" si="16"/>
        <v>0</v>
      </c>
      <c r="U84" s="74">
        <f t="shared" si="17"/>
        <v>0</v>
      </c>
      <c r="V84" s="75">
        <f t="shared" si="41"/>
        <v>0</v>
      </c>
      <c r="W84" s="5">
        <f t="shared" si="18"/>
        <v>0</v>
      </c>
      <c r="X84" s="5">
        <f t="shared" si="19"/>
        <v>102230.42030437011</v>
      </c>
      <c r="Y84" s="5">
        <f t="shared" si="42"/>
        <v>100000</v>
      </c>
      <c r="Z84" s="215">
        <f t="shared" si="20"/>
        <v>1</v>
      </c>
      <c r="AA84" s="216">
        <f t="shared" si="43"/>
        <v>0</v>
      </c>
      <c r="AB84" s="72">
        <f t="shared" si="52"/>
        <v>0</v>
      </c>
      <c r="AC84" s="72">
        <f t="shared" si="21"/>
        <v>0</v>
      </c>
      <c r="AD84" s="72">
        <f t="shared" si="22"/>
        <v>0</v>
      </c>
      <c r="AE84" s="72">
        <f t="shared" si="53"/>
        <v>-21.288303930951574</v>
      </c>
      <c r="AF84" s="70">
        <f t="shared" si="44"/>
        <v>5111.5210152185064</v>
      </c>
      <c r="AG84" s="70">
        <f t="shared" si="23"/>
        <v>0</v>
      </c>
      <c r="AH84" s="1">
        <f t="shared" si="24"/>
        <v>1</v>
      </c>
      <c r="AI84" s="1">
        <f t="shared" si="24"/>
        <v>1</v>
      </c>
      <c r="AJ84" s="1">
        <f t="shared" si="24"/>
        <v>1</v>
      </c>
      <c r="AK84" s="1">
        <f t="shared" si="24"/>
        <v>1</v>
      </c>
      <c r="AL84" s="1">
        <f t="shared" si="24"/>
        <v>1</v>
      </c>
      <c r="AM84" s="1">
        <f t="shared" si="24"/>
        <v>1</v>
      </c>
      <c r="AN84" s="1">
        <f t="shared" si="24"/>
        <v>1</v>
      </c>
      <c r="AO84" s="1">
        <f t="shared" si="24"/>
        <v>1</v>
      </c>
      <c r="AP84" s="1">
        <f t="shared" si="24"/>
        <v>1</v>
      </c>
      <c r="AQ84" s="1">
        <f t="shared" si="24"/>
        <v>1</v>
      </c>
      <c r="AR84" s="1">
        <f t="shared" si="24"/>
        <v>1</v>
      </c>
      <c r="AS84" s="1">
        <f t="shared" si="24"/>
        <v>1</v>
      </c>
      <c r="AT84" s="39">
        <f t="shared" si="25"/>
        <v>102230.42030437011</v>
      </c>
      <c r="AU84" s="39">
        <f t="shared" si="45"/>
        <v>102230.42030437011</v>
      </c>
      <c r="AV84" s="39"/>
      <c r="AW84" s="3">
        <f t="shared" si="26"/>
        <v>10</v>
      </c>
      <c r="AX84" s="69">
        <f t="shared" si="46"/>
        <v>0</v>
      </c>
      <c r="AY84" s="75">
        <f t="shared" si="27"/>
        <v>0</v>
      </c>
      <c r="AZ84" s="75">
        <f t="shared" si="28"/>
        <v>0</v>
      </c>
      <c r="BA84" s="75">
        <f t="shared" si="29"/>
        <v>0</v>
      </c>
      <c r="BB84" s="75">
        <f t="shared" si="30"/>
        <v>0</v>
      </c>
      <c r="BD84" s="214">
        <f t="shared" si="47"/>
        <v>101903.02025479556</v>
      </c>
      <c r="BE84" s="214">
        <f t="shared" si="31"/>
        <v>496.01810385139424</v>
      </c>
      <c r="BF84" s="214">
        <f t="shared" si="48"/>
        <v>-168.61805427684857</v>
      </c>
      <c r="BG84" s="224">
        <f t="shared" si="54"/>
        <v>0</v>
      </c>
      <c r="BH84" s="19">
        <f t="shared" si="50"/>
        <v>103427.45603120478</v>
      </c>
      <c r="BI84" s="214">
        <f t="shared" si="32"/>
        <v>503.43837207668412</v>
      </c>
      <c r="BJ84" s="214">
        <f t="shared" si="33"/>
        <v>0</v>
      </c>
      <c r="BK84" s="19">
        <f t="shared" si="55"/>
        <v>0</v>
      </c>
    </row>
    <row r="85" spans="1:63">
      <c r="A85" s="165">
        <f t="shared" si="34"/>
        <v>62.889459274469544</v>
      </c>
      <c r="B85" s="69">
        <f t="shared" si="35"/>
        <v>1</v>
      </c>
      <c r="C85" s="70">
        <f t="shared" si="36"/>
        <v>11</v>
      </c>
      <c r="D85" s="13">
        <f t="shared" si="37"/>
        <v>4.8675505653430484E-3</v>
      </c>
      <c r="E85" s="15">
        <f t="shared" si="9"/>
        <v>1</v>
      </c>
      <c r="F85" s="15">
        <f t="shared" si="38"/>
        <v>0</v>
      </c>
      <c r="G85" s="15">
        <f t="shared" si="10"/>
        <v>0</v>
      </c>
      <c r="H85" s="73">
        <f t="shared" si="11"/>
        <v>0.05</v>
      </c>
      <c r="I85" s="189"/>
      <c r="J85" s="189"/>
      <c r="K85" s="5">
        <f t="shared" si="56"/>
        <v>102230.42030437011</v>
      </c>
      <c r="M85" s="5">
        <f t="shared" si="39"/>
        <v>497.61174014779419</v>
      </c>
      <c r="N85" s="5">
        <f t="shared" si="12"/>
        <v>-169.15980033296515</v>
      </c>
      <c r="O85" s="5">
        <f t="shared" si="13"/>
        <v>0</v>
      </c>
      <c r="P85" s="5">
        <f t="shared" si="14"/>
        <v>0</v>
      </c>
      <c r="Q85" s="5">
        <f t="shared" si="51"/>
        <v>0</v>
      </c>
      <c r="R85" s="5">
        <f t="shared" si="40"/>
        <v>0</v>
      </c>
      <c r="S85" s="5">
        <f t="shared" si="15"/>
        <v>0</v>
      </c>
      <c r="T85" s="5">
        <f t="shared" si="16"/>
        <v>0</v>
      </c>
      <c r="U85" s="74">
        <f t="shared" si="17"/>
        <v>0</v>
      </c>
      <c r="V85" s="75">
        <f t="shared" si="41"/>
        <v>0</v>
      </c>
      <c r="W85" s="5">
        <f t="shared" si="18"/>
        <v>0</v>
      </c>
      <c r="X85" s="5">
        <f t="shared" si="19"/>
        <v>102558.87224418494</v>
      </c>
      <c r="Y85" s="5">
        <f t="shared" si="42"/>
        <v>100000</v>
      </c>
      <c r="Z85" s="215">
        <f t="shared" si="20"/>
        <v>1</v>
      </c>
      <c r="AA85" s="216">
        <f t="shared" si="43"/>
        <v>0</v>
      </c>
      <c r="AB85" s="72">
        <f t="shared" si="52"/>
        <v>0</v>
      </c>
      <c r="AC85" s="72">
        <f t="shared" si="21"/>
        <v>0</v>
      </c>
      <c r="AD85" s="72">
        <f t="shared" si="22"/>
        <v>0</v>
      </c>
      <c r="AE85" s="72">
        <f t="shared" si="53"/>
        <v>-21.356700252718337</v>
      </c>
      <c r="AF85" s="70">
        <f t="shared" si="44"/>
        <v>5127.9436122092475</v>
      </c>
      <c r="AG85" s="70">
        <f t="shared" si="23"/>
        <v>0</v>
      </c>
      <c r="AH85" s="1">
        <f t="shared" ref="AH85:AS94" si="57">IF($B85&lt;=AH$74,1,0)</f>
        <v>1</v>
      </c>
      <c r="AI85" s="1">
        <f t="shared" si="57"/>
        <v>1</v>
      </c>
      <c r="AJ85" s="1">
        <f t="shared" si="57"/>
        <v>1</v>
      </c>
      <c r="AK85" s="1">
        <f t="shared" si="57"/>
        <v>1</v>
      </c>
      <c r="AL85" s="1">
        <f t="shared" si="57"/>
        <v>1</v>
      </c>
      <c r="AM85" s="1">
        <f t="shared" si="57"/>
        <v>1</v>
      </c>
      <c r="AN85" s="1">
        <f t="shared" si="57"/>
        <v>1</v>
      </c>
      <c r="AO85" s="1">
        <f t="shared" si="57"/>
        <v>1</v>
      </c>
      <c r="AP85" s="1">
        <f t="shared" si="57"/>
        <v>1</v>
      </c>
      <c r="AQ85" s="1">
        <f t="shared" si="57"/>
        <v>1</v>
      </c>
      <c r="AR85" s="1">
        <f t="shared" si="57"/>
        <v>1</v>
      </c>
      <c r="AS85" s="1">
        <f t="shared" si="57"/>
        <v>1</v>
      </c>
      <c r="AT85" s="39">
        <f t="shared" si="25"/>
        <v>102558.87224418494</v>
      </c>
      <c r="AU85" s="39">
        <f t="shared" si="45"/>
        <v>102558.87224418494</v>
      </c>
      <c r="AV85" s="39"/>
      <c r="AW85" s="3">
        <f t="shared" si="26"/>
        <v>11</v>
      </c>
      <c r="AX85" s="69">
        <f t="shared" si="46"/>
        <v>0</v>
      </c>
      <c r="AY85" s="75">
        <f t="shared" si="27"/>
        <v>0</v>
      </c>
      <c r="AZ85" s="75">
        <f t="shared" si="28"/>
        <v>0</v>
      </c>
      <c r="BA85" s="75">
        <f t="shared" si="29"/>
        <v>0</v>
      </c>
      <c r="BB85" s="75">
        <f t="shared" si="30"/>
        <v>0</v>
      </c>
      <c r="BD85" s="214">
        <f t="shared" si="47"/>
        <v>102230.42030437011</v>
      </c>
      <c r="BE85" s="214">
        <f t="shared" si="31"/>
        <v>497.61174014779419</v>
      </c>
      <c r="BF85" s="214">
        <f t="shared" si="48"/>
        <v>-169.15980033296515</v>
      </c>
      <c r="BG85" s="224">
        <f t="shared" si="54"/>
        <v>0</v>
      </c>
      <c r="BH85" s="19">
        <f t="shared" si="50"/>
        <v>103930.89440328146</v>
      </c>
      <c r="BI85" s="214">
        <f t="shared" si="32"/>
        <v>505.88888380930132</v>
      </c>
      <c r="BJ85" s="214">
        <f t="shared" si="33"/>
        <v>0</v>
      </c>
      <c r="BK85" s="19">
        <f t="shared" si="55"/>
        <v>0</v>
      </c>
    </row>
    <row r="86" spans="1:63">
      <c r="A86" s="165">
        <f t="shared" si="34"/>
        <v>62.972792607802873</v>
      </c>
      <c r="B86" s="69">
        <f t="shared" si="35"/>
        <v>1</v>
      </c>
      <c r="C86" s="70">
        <f t="shared" si="36"/>
        <v>12</v>
      </c>
      <c r="D86" s="13">
        <f t="shared" si="37"/>
        <v>4.8675505653430484E-3</v>
      </c>
      <c r="E86" s="15">
        <f t="shared" si="9"/>
        <v>1</v>
      </c>
      <c r="F86" s="15">
        <f t="shared" si="38"/>
        <v>0</v>
      </c>
      <c r="G86" s="15">
        <f t="shared" si="10"/>
        <v>0</v>
      </c>
      <c r="H86" s="73">
        <f t="shared" si="11"/>
        <v>0.05</v>
      </c>
      <c r="I86" s="189"/>
      <c r="J86" s="189"/>
      <c r="K86" s="5">
        <f t="shared" si="56"/>
        <v>102558.87224418494</v>
      </c>
      <c r="M86" s="5">
        <f t="shared" si="39"/>
        <v>499.2104965731279</v>
      </c>
      <c r="N86" s="5">
        <f t="shared" si="12"/>
        <v>-169.70328694284734</v>
      </c>
      <c r="O86" s="5">
        <f t="shared" si="13"/>
        <v>0</v>
      </c>
      <c r="P86" s="5">
        <f t="shared" si="14"/>
        <v>0</v>
      </c>
      <c r="Q86" s="5">
        <f t="shared" si="51"/>
        <v>0</v>
      </c>
      <c r="R86" s="5">
        <f t="shared" si="40"/>
        <v>0</v>
      </c>
      <c r="S86" s="5">
        <f t="shared" si="15"/>
        <v>0</v>
      </c>
      <c r="T86" s="5">
        <f t="shared" si="16"/>
        <v>0</v>
      </c>
      <c r="U86" s="74">
        <f t="shared" si="17"/>
        <v>0</v>
      </c>
      <c r="V86" s="75">
        <f t="shared" si="41"/>
        <v>0</v>
      </c>
      <c r="W86" s="5">
        <f t="shared" si="18"/>
        <v>0</v>
      </c>
      <c r="X86" s="5">
        <f t="shared" si="19"/>
        <v>102888.37945381521</v>
      </c>
      <c r="Y86" s="5">
        <f t="shared" si="42"/>
        <v>100000</v>
      </c>
      <c r="Z86" s="215">
        <f t="shared" si="20"/>
        <v>1</v>
      </c>
      <c r="AA86" s="216">
        <f t="shared" si="43"/>
        <v>0</v>
      </c>
      <c r="AB86" s="72">
        <f t="shared" si="52"/>
        <v>0</v>
      </c>
      <c r="AC86" s="72">
        <f t="shared" si="21"/>
        <v>0</v>
      </c>
      <c r="AD86" s="72">
        <f t="shared" si="22"/>
        <v>0</v>
      </c>
      <c r="AE86" s="72">
        <f t="shared" si="53"/>
        <v>-21.42531632223233</v>
      </c>
      <c r="AF86" s="70">
        <f t="shared" si="44"/>
        <v>5144.4189726907607</v>
      </c>
      <c r="AG86" s="70">
        <f t="shared" si="23"/>
        <v>0</v>
      </c>
      <c r="AH86" s="1">
        <f t="shared" si="57"/>
        <v>1</v>
      </c>
      <c r="AI86" s="1">
        <f t="shared" si="57"/>
        <v>1</v>
      </c>
      <c r="AJ86" s="1">
        <f t="shared" si="57"/>
        <v>1</v>
      </c>
      <c r="AK86" s="1">
        <f t="shared" si="57"/>
        <v>1</v>
      </c>
      <c r="AL86" s="1">
        <f t="shared" si="57"/>
        <v>1</v>
      </c>
      <c r="AM86" s="1">
        <f t="shared" si="57"/>
        <v>1</v>
      </c>
      <c r="AN86" s="1">
        <f t="shared" si="57"/>
        <v>1</v>
      </c>
      <c r="AO86" s="1">
        <f t="shared" si="57"/>
        <v>1</v>
      </c>
      <c r="AP86" s="1">
        <f t="shared" si="57"/>
        <v>1</v>
      </c>
      <c r="AQ86" s="1">
        <f t="shared" si="57"/>
        <v>1</v>
      </c>
      <c r="AR86" s="1">
        <f t="shared" si="57"/>
        <v>1</v>
      </c>
      <c r="AS86" s="1">
        <f t="shared" si="57"/>
        <v>1</v>
      </c>
      <c r="AT86" s="39">
        <f t="shared" si="25"/>
        <v>102888.37945381521</v>
      </c>
      <c r="AU86" s="39">
        <f t="shared" si="45"/>
        <v>102888.37945381521</v>
      </c>
      <c r="AV86" s="39"/>
      <c r="AW86" s="3">
        <f t="shared" si="26"/>
        <v>12</v>
      </c>
      <c r="AX86" s="69">
        <f t="shared" si="46"/>
        <v>0</v>
      </c>
      <c r="AY86" s="75">
        <f t="shared" si="27"/>
        <v>0</v>
      </c>
      <c r="AZ86" s="75">
        <f t="shared" si="28"/>
        <v>0</v>
      </c>
      <c r="BA86" s="75">
        <f t="shared" si="29"/>
        <v>0</v>
      </c>
      <c r="BB86" s="75">
        <f t="shared" si="30"/>
        <v>0</v>
      </c>
      <c r="BD86" s="214">
        <f t="shared" si="47"/>
        <v>102558.87224418494</v>
      </c>
      <c r="BE86" s="214">
        <f t="shared" si="31"/>
        <v>499.2104965731279</v>
      </c>
      <c r="BF86" s="214">
        <f t="shared" si="48"/>
        <v>-169.70328694284734</v>
      </c>
      <c r="BG86" s="224">
        <f t="shared" si="54"/>
        <v>0</v>
      </c>
      <c r="BH86" s="19">
        <f t="shared" si="50"/>
        <v>104436.78328709076</v>
      </c>
      <c r="BI86" s="214">
        <f t="shared" si="32"/>
        <v>508.35132353168808</v>
      </c>
      <c r="BJ86" s="214">
        <f t="shared" si="33"/>
        <v>0</v>
      </c>
      <c r="BK86" s="19">
        <f t="shared" si="55"/>
        <v>0</v>
      </c>
    </row>
    <row r="87" spans="1:63">
      <c r="A87" s="165">
        <f t="shared" si="34"/>
        <v>63.056125941136209</v>
      </c>
      <c r="B87" s="69">
        <f t="shared" si="35"/>
        <v>2</v>
      </c>
      <c r="C87" s="70">
        <f t="shared" si="36"/>
        <v>13</v>
      </c>
      <c r="D87" s="13">
        <f t="shared" si="37"/>
        <v>4.8675505653430484E-3</v>
      </c>
      <c r="E87" s="15">
        <f t="shared" si="9"/>
        <v>1</v>
      </c>
      <c r="F87" s="15">
        <f t="shared" si="38"/>
        <v>0</v>
      </c>
      <c r="G87" s="15">
        <f t="shared" si="10"/>
        <v>0</v>
      </c>
      <c r="H87" s="73">
        <f t="shared" si="11"/>
        <v>0.04</v>
      </c>
      <c r="I87" s="189"/>
      <c r="J87" s="189"/>
      <c r="K87" s="5">
        <f t="shared" si="56"/>
        <v>102888.37945381521</v>
      </c>
      <c r="M87" s="5">
        <f t="shared" si="39"/>
        <v>500.81438957764834</v>
      </c>
      <c r="N87" s="5">
        <f t="shared" si="12"/>
        <v>-170.24851969864915</v>
      </c>
      <c r="O87" s="5">
        <f t="shared" si="13"/>
        <v>0</v>
      </c>
      <c r="P87" s="5">
        <f t="shared" si="14"/>
        <v>0</v>
      </c>
      <c r="Q87" s="5">
        <f t="shared" si="51"/>
        <v>0</v>
      </c>
      <c r="R87" s="5">
        <f t="shared" si="40"/>
        <v>0</v>
      </c>
      <c r="S87" s="5">
        <f t="shared" si="15"/>
        <v>0</v>
      </c>
      <c r="T87" s="5">
        <f t="shared" si="16"/>
        <v>0</v>
      </c>
      <c r="U87" s="74">
        <f t="shared" si="17"/>
        <v>0</v>
      </c>
      <c r="V87" s="75">
        <f t="shared" si="41"/>
        <v>0</v>
      </c>
      <c r="W87" s="5">
        <f t="shared" si="18"/>
        <v>0</v>
      </c>
      <c r="X87" s="5">
        <f t="shared" si="19"/>
        <v>103218.94532369421</v>
      </c>
      <c r="Y87" s="5">
        <f t="shared" si="42"/>
        <v>100000</v>
      </c>
      <c r="Z87" s="215">
        <f t="shared" si="20"/>
        <v>1</v>
      </c>
      <c r="AA87" s="216">
        <f t="shared" si="43"/>
        <v>0</v>
      </c>
      <c r="AB87" s="72">
        <f t="shared" si="52"/>
        <v>0</v>
      </c>
      <c r="AC87" s="72">
        <f t="shared" si="21"/>
        <v>0</v>
      </c>
      <c r="AD87" s="72">
        <f t="shared" si="22"/>
        <v>0</v>
      </c>
      <c r="AE87" s="72">
        <f t="shared" si="53"/>
        <v>-21.494152845512112</v>
      </c>
      <c r="AF87" s="70">
        <f t="shared" si="44"/>
        <v>4128.7578129477679</v>
      </c>
      <c r="AG87" s="70">
        <f t="shared" si="23"/>
        <v>0</v>
      </c>
      <c r="AH87" s="1">
        <f t="shared" si="57"/>
        <v>0</v>
      </c>
      <c r="AI87" s="1">
        <f t="shared" si="57"/>
        <v>1</v>
      </c>
      <c r="AJ87" s="1">
        <f t="shared" si="57"/>
        <v>1</v>
      </c>
      <c r="AK87" s="1">
        <f t="shared" si="57"/>
        <v>1</v>
      </c>
      <c r="AL87" s="1">
        <f t="shared" si="57"/>
        <v>1</v>
      </c>
      <c r="AM87" s="1">
        <f t="shared" si="57"/>
        <v>1</v>
      </c>
      <c r="AN87" s="1">
        <f t="shared" si="57"/>
        <v>1</v>
      </c>
      <c r="AO87" s="1">
        <f t="shared" si="57"/>
        <v>1</v>
      </c>
      <c r="AP87" s="1">
        <f t="shared" si="57"/>
        <v>1</v>
      </c>
      <c r="AQ87" s="1">
        <f t="shared" si="57"/>
        <v>1</v>
      </c>
      <c r="AR87" s="1">
        <f t="shared" si="57"/>
        <v>1</v>
      </c>
      <c r="AS87" s="1">
        <f t="shared" si="57"/>
        <v>1</v>
      </c>
      <c r="AT87" s="39">
        <f t="shared" si="25"/>
        <v>103218.94532369421</v>
      </c>
      <c r="AU87" s="39">
        <f t="shared" si="45"/>
        <v>103218.94532369421</v>
      </c>
      <c r="AV87" s="39">
        <f t="shared" ref="AV87:AV150" si="58">IF(W87=0,0,IF(W87&gt;W75,"Y","N"))</f>
        <v>0</v>
      </c>
      <c r="AW87" s="3">
        <f t="shared" si="26"/>
        <v>13</v>
      </c>
      <c r="AX87" s="69">
        <f t="shared" si="46"/>
        <v>0</v>
      </c>
      <c r="AY87" s="75">
        <f t="shared" si="27"/>
        <v>0</v>
      </c>
      <c r="AZ87" s="75">
        <f t="shared" si="28"/>
        <v>0</v>
      </c>
      <c r="BA87" s="75">
        <f t="shared" si="29"/>
        <v>0</v>
      </c>
      <c r="BB87" s="75">
        <f t="shared" si="30"/>
        <v>0</v>
      </c>
      <c r="BD87" s="214">
        <f t="shared" si="47"/>
        <v>102888.37945381521</v>
      </c>
      <c r="BE87" s="214">
        <f t="shared" si="31"/>
        <v>500.81438957764834</v>
      </c>
      <c r="BF87" s="214">
        <f t="shared" si="48"/>
        <v>-170.24851969864915</v>
      </c>
      <c r="BG87" s="224">
        <f t="shared" si="54"/>
        <v>0</v>
      </c>
      <c r="BH87" s="19">
        <f t="shared" si="50"/>
        <v>104945.13461062245</v>
      </c>
      <c r="BI87" s="214">
        <f t="shared" si="32"/>
        <v>510.82574930393764</v>
      </c>
      <c r="BJ87" s="214">
        <f t="shared" si="33"/>
        <v>0</v>
      </c>
      <c r="BK87" s="19">
        <f t="shared" si="55"/>
        <v>0</v>
      </c>
    </row>
    <row r="88" spans="1:63">
      <c r="A88" s="165">
        <f t="shared" si="34"/>
        <v>63.139459274469544</v>
      </c>
      <c r="B88" s="69">
        <f t="shared" si="35"/>
        <v>2</v>
      </c>
      <c r="C88" s="70">
        <f t="shared" si="36"/>
        <v>14</v>
      </c>
      <c r="D88" s="13">
        <f t="shared" si="37"/>
        <v>4.8675505653430484E-3</v>
      </c>
      <c r="E88" s="15">
        <f t="shared" si="9"/>
        <v>1</v>
      </c>
      <c r="F88" s="15">
        <f t="shared" si="38"/>
        <v>0</v>
      </c>
      <c r="G88" s="15">
        <f t="shared" si="10"/>
        <v>0</v>
      </c>
      <c r="H88" s="73">
        <f t="shared" si="11"/>
        <v>0.04</v>
      </c>
      <c r="I88" s="189"/>
      <c r="J88" s="189"/>
      <c r="K88" s="5">
        <f t="shared" si="56"/>
        <v>103218.94532369421</v>
      </c>
      <c r="M88" s="5">
        <f t="shared" si="39"/>
        <v>502.42343566446095</v>
      </c>
      <c r="N88" s="5">
        <f t="shared" si="12"/>
        <v>-170.79550421049152</v>
      </c>
      <c r="O88" s="5">
        <f t="shared" si="13"/>
        <v>0</v>
      </c>
      <c r="P88" s="5">
        <f t="shared" si="14"/>
        <v>0</v>
      </c>
      <c r="Q88" s="5">
        <f t="shared" si="51"/>
        <v>0</v>
      </c>
      <c r="R88" s="5">
        <f t="shared" si="40"/>
        <v>0</v>
      </c>
      <c r="S88" s="5">
        <f t="shared" si="15"/>
        <v>0</v>
      </c>
      <c r="T88" s="5">
        <f t="shared" si="16"/>
        <v>0</v>
      </c>
      <c r="U88" s="74">
        <f t="shared" si="17"/>
        <v>0</v>
      </c>
      <c r="V88" s="75">
        <f t="shared" si="41"/>
        <v>0</v>
      </c>
      <c r="W88" s="5">
        <f t="shared" si="18"/>
        <v>0</v>
      </c>
      <c r="X88" s="5">
        <f t="shared" si="19"/>
        <v>103550.57325514818</v>
      </c>
      <c r="Y88" s="5">
        <f t="shared" si="42"/>
        <v>100000</v>
      </c>
      <c r="Z88" s="215">
        <f t="shared" si="20"/>
        <v>1</v>
      </c>
      <c r="AA88" s="216">
        <f t="shared" si="43"/>
        <v>0</v>
      </c>
      <c r="AB88" s="72">
        <f t="shared" si="52"/>
        <v>0</v>
      </c>
      <c r="AC88" s="72">
        <f t="shared" si="21"/>
        <v>0</v>
      </c>
      <c r="AD88" s="72">
        <f t="shared" si="22"/>
        <v>0</v>
      </c>
      <c r="AE88" s="72">
        <f t="shared" si="53"/>
        <v>-21.563210530844575</v>
      </c>
      <c r="AF88" s="70">
        <f t="shared" si="44"/>
        <v>4142.022930205927</v>
      </c>
      <c r="AG88" s="70">
        <f t="shared" si="23"/>
        <v>0</v>
      </c>
      <c r="AH88" s="1">
        <f t="shared" si="57"/>
        <v>0</v>
      </c>
      <c r="AI88" s="1">
        <f t="shared" si="57"/>
        <v>1</v>
      </c>
      <c r="AJ88" s="1">
        <f t="shared" si="57"/>
        <v>1</v>
      </c>
      <c r="AK88" s="1">
        <f t="shared" si="57"/>
        <v>1</v>
      </c>
      <c r="AL88" s="1">
        <f t="shared" si="57"/>
        <v>1</v>
      </c>
      <c r="AM88" s="1">
        <f t="shared" si="57"/>
        <v>1</v>
      </c>
      <c r="AN88" s="1">
        <f t="shared" si="57"/>
        <v>1</v>
      </c>
      <c r="AO88" s="1">
        <f t="shared" si="57"/>
        <v>1</v>
      </c>
      <c r="AP88" s="1">
        <f t="shared" si="57"/>
        <v>1</v>
      </c>
      <c r="AQ88" s="1">
        <f t="shared" si="57"/>
        <v>1</v>
      </c>
      <c r="AR88" s="1">
        <f t="shared" si="57"/>
        <v>1</v>
      </c>
      <c r="AS88" s="1">
        <f t="shared" si="57"/>
        <v>1</v>
      </c>
      <c r="AT88" s="39">
        <f t="shared" si="25"/>
        <v>103550.57325514818</v>
      </c>
      <c r="AU88" s="39">
        <f t="shared" si="45"/>
        <v>103550.57325514818</v>
      </c>
      <c r="AV88" s="39">
        <f t="shared" si="58"/>
        <v>0</v>
      </c>
      <c r="AW88" s="3">
        <f t="shared" si="26"/>
        <v>14</v>
      </c>
      <c r="AX88" s="69">
        <f t="shared" si="46"/>
        <v>0</v>
      </c>
      <c r="AY88" s="75">
        <f t="shared" si="27"/>
        <v>0</v>
      </c>
      <c r="AZ88" s="75">
        <f t="shared" si="28"/>
        <v>0</v>
      </c>
      <c r="BA88" s="75">
        <f t="shared" si="29"/>
        <v>0</v>
      </c>
      <c r="BB88" s="75">
        <f t="shared" si="30"/>
        <v>0</v>
      </c>
      <c r="BD88" s="214">
        <f t="shared" si="47"/>
        <v>103218.94532369421</v>
      </c>
      <c r="BE88" s="214">
        <f t="shared" si="31"/>
        <v>502.42343566446095</v>
      </c>
      <c r="BF88" s="214">
        <f t="shared" si="48"/>
        <v>-170.79550421049152</v>
      </c>
      <c r="BG88" s="224">
        <f t="shared" si="54"/>
        <v>0</v>
      </c>
      <c r="BH88" s="19">
        <f t="shared" si="50"/>
        <v>105455.96035992639</v>
      </c>
      <c r="BI88" s="214">
        <f t="shared" si="32"/>
        <v>513.31221946875382</v>
      </c>
      <c r="BJ88" s="214">
        <f t="shared" si="33"/>
        <v>0</v>
      </c>
      <c r="BK88" s="19">
        <f t="shared" si="55"/>
        <v>0</v>
      </c>
    </row>
    <row r="89" spans="1:63">
      <c r="A89" s="165">
        <f t="shared" si="34"/>
        <v>63.222792607802873</v>
      </c>
      <c r="B89" s="69">
        <f t="shared" si="35"/>
        <v>2</v>
      </c>
      <c r="C89" s="70">
        <f t="shared" si="36"/>
        <v>15</v>
      </c>
      <c r="D89" s="13">
        <f t="shared" si="37"/>
        <v>4.8675505653430484E-3</v>
      </c>
      <c r="E89" s="15">
        <f t="shared" si="9"/>
        <v>1</v>
      </c>
      <c r="F89" s="15">
        <f t="shared" si="38"/>
        <v>0</v>
      </c>
      <c r="G89" s="15">
        <f t="shared" si="10"/>
        <v>0</v>
      </c>
      <c r="H89" s="73">
        <f t="shared" si="11"/>
        <v>0.04</v>
      </c>
      <c r="I89" s="189"/>
      <c r="J89" s="189"/>
      <c r="K89" s="5">
        <f t="shared" si="56"/>
        <v>103550.57325514818</v>
      </c>
      <c r="M89" s="5">
        <f t="shared" si="39"/>
        <v>504.03765138969328</v>
      </c>
      <c r="N89" s="5">
        <f t="shared" si="12"/>
        <v>-171.34424610651976</v>
      </c>
      <c r="O89" s="5">
        <f t="shared" si="13"/>
        <v>0</v>
      </c>
      <c r="P89" s="5">
        <f t="shared" si="14"/>
        <v>0</v>
      </c>
      <c r="Q89" s="5">
        <f t="shared" si="51"/>
        <v>0</v>
      </c>
      <c r="R89" s="5">
        <f t="shared" si="40"/>
        <v>0</v>
      </c>
      <c r="S89" s="5">
        <f t="shared" si="15"/>
        <v>0</v>
      </c>
      <c r="T89" s="5">
        <f t="shared" si="16"/>
        <v>0</v>
      </c>
      <c r="U89" s="74">
        <f t="shared" si="17"/>
        <v>0</v>
      </c>
      <c r="V89" s="75">
        <f t="shared" si="41"/>
        <v>0</v>
      </c>
      <c r="W89" s="5">
        <f t="shared" si="18"/>
        <v>0</v>
      </c>
      <c r="X89" s="5">
        <f t="shared" si="19"/>
        <v>103883.26666043136</v>
      </c>
      <c r="Y89" s="5">
        <f t="shared" si="42"/>
        <v>100000</v>
      </c>
      <c r="Z89" s="215">
        <f t="shared" si="20"/>
        <v>1</v>
      </c>
      <c r="AA89" s="216">
        <f t="shared" si="43"/>
        <v>0</v>
      </c>
      <c r="AB89" s="72">
        <f t="shared" si="52"/>
        <v>0</v>
      </c>
      <c r="AC89" s="72">
        <f t="shared" si="21"/>
        <v>0</v>
      </c>
      <c r="AD89" s="72">
        <f t="shared" si="22"/>
        <v>0</v>
      </c>
      <c r="AE89" s="72">
        <f t="shared" si="53"/>
        <v>-21.632490088792245</v>
      </c>
      <c r="AF89" s="70">
        <f t="shared" si="44"/>
        <v>4155.3306664172542</v>
      </c>
      <c r="AG89" s="70">
        <f t="shared" si="23"/>
        <v>0</v>
      </c>
      <c r="AH89" s="1">
        <f t="shared" si="57"/>
        <v>0</v>
      </c>
      <c r="AI89" s="1">
        <f t="shared" si="57"/>
        <v>1</v>
      </c>
      <c r="AJ89" s="1">
        <f t="shared" si="57"/>
        <v>1</v>
      </c>
      <c r="AK89" s="1">
        <f t="shared" si="57"/>
        <v>1</v>
      </c>
      <c r="AL89" s="1">
        <f t="shared" si="57"/>
        <v>1</v>
      </c>
      <c r="AM89" s="1">
        <f t="shared" si="57"/>
        <v>1</v>
      </c>
      <c r="AN89" s="1">
        <f t="shared" si="57"/>
        <v>1</v>
      </c>
      <c r="AO89" s="1">
        <f t="shared" si="57"/>
        <v>1</v>
      </c>
      <c r="AP89" s="1">
        <f t="shared" si="57"/>
        <v>1</v>
      </c>
      <c r="AQ89" s="1">
        <f t="shared" si="57"/>
        <v>1</v>
      </c>
      <c r="AR89" s="1">
        <f t="shared" si="57"/>
        <v>1</v>
      </c>
      <c r="AS89" s="1">
        <f t="shared" si="57"/>
        <v>1</v>
      </c>
      <c r="AT89" s="39">
        <f t="shared" si="25"/>
        <v>103883.26666043136</v>
      </c>
      <c r="AU89" s="39">
        <f t="shared" si="45"/>
        <v>103883.26666043136</v>
      </c>
      <c r="AV89" s="39">
        <f t="shared" si="58"/>
        <v>0</v>
      </c>
      <c r="AW89" s="3">
        <f t="shared" si="26"/>
        <v>15</v>
      </c>
      <c r="AX89" s="69">
        <f t="shared" si="46"/>
        <v>0</v>
      </c>
      <c r="AY89" s="75">
        <f t="shared" si="27"/>
        <v>0</v>
      </c>
      <c r="AZ89" s="75">
        <f t="shared" si="28"/>
        <v>0</v>
      </c>
      <c r="BA89" s="75">
        <f t="shared" si="29"/>
        <v>0</v>
      </c>
      <c r="BB89" s="75">
        <f t="shared" si="30"/>
        <v>0</v>
      </c>
      <c r="BD89" s="214">
        <f t="shared" si="47"/>
        <v>103550.57325514818</v>
      </c>
      <c r="BE89" s="214">
        <f t="shared" si="31"/>
        <v>504.03765138969328</v>
      </c>
      <c r="BF89" s="214">
        <f t="shared" si="48"/>
        <v>-171.34424610651976</v>
      </c>
      <c r="BG89" s="224">
        <f t="shared" si="54"/>
        <v>0</v>
      </c>
      <c r="BH89" s="19">
        <f t="shared" si="50"/>
        <v>105969.27257939515</v>
      </c>
      <c r="BI89" s="214">
        <f t="shared" si="32"/>
        <v>515.81079265282654</v>
      </c>
      <c r="BJ89" s="214">
        <f t="shared" si="33"/>
        <v>0</v>
      </c>
      <c r="BK89" s="19">
        <f t="shared" si="55"/>
        <v>0</v>
      </c>
    </row>
    <row r="90" spans="1:63">
      <c r="A90" s="165">
        <f t="shared" si="34"/>
        <v>63.306125941136209</v>
      </c>
      <c r="B90" s="69">
        <f t="shared" si="35"/>
        <v>2</v>
      </c>
      <c r="C90" s="70">
        <f t="shared" si="36"/>
        <v>16</v>
      </c>
      <c r="D90" s="13">
        <f t="shared" si="37"/>
        <v>4.8675505653430484E-3</v>
      </c>
      <c r="E90" s="15">
        <f t="shared" si="9"/>
        <v>1</v>
      </c>
      <c r="F90" s="15">
        <f t="shared" si="38"/>
        <v>0</v>
      </c>
      <c r="G90" s="15">
        <f t="shared" si="10"/>
        <v>0</v>
      </c>
      <c r="H90" s="73">
        <f t="shared" si="11"/>
        <v>0.04</v>
      </c>
      <c r="I90" s="189"/>
      <c r="J90" s="189"/>
      <c r="K90" s="5">
        <f t="shared" si="56"/>
        <v>103883.26666043136</v>
      </c>
      <c r="M90" s="5">
        <f t="shared" si="39"/>
        <v>505.65705336266529</v>
      </c>
      <c r="N90" s="5">
        <f t="shared" si="12"/>
        <v>-171.89475103296181</v>
      </c>
      <c r="O90" s="5">
        <f t="shared" si="13"/>
        <v>0</v>
      </c>
      <c r="P90" s="5">
        <f t="shared" si="14"/>
        <v>0</v>
      </c>
      <c r="Q90" s="5">
        <f t="shared" si="51"/>
        <v>0</v>
      </c>
      <c r="R90" s="5">
        <f t="shared" si="40"/>
        <v>0</v>
      </c>
      <c r="S90" s="5">
        <f t="shared" si="15"/>
        <v>0</v>
      </c>
      <c r="T90" s="5">
        <f t="shared" si="16"/>
        <v>0</v>
      </c>
      <c r="U90" s="74">
        <f t="shared" si="17"/>
        <v>0</v>
      </c>
      <c r="V90" s="75">
        <f t="shared" si="41"/>
        <v>0</v>
      </c>
      <c r="W90" s="5">
        <f t="shared" si="18"/>
        <v>0</v>
      </c>
      <c r="X90" s="5">
        <f t="shared" si="19"/>
        <v>104217.02896276106</v>
      </c>
      <c r="Y90" s="5">
        <f t="shared" si="42"/>
        <v>100000</v>
      </c>
      <c r="Z90" s="215">
        <f t="shared" si="20"/>
        <v>1</v>
      </c>
      <c r="AA90" s="216">
        <f t="shared" si="43"/>
        <v>0</v>
      </c>
      <c r="AB90" s="72">
        <f t="shared" si="52"/>
        <v>0</v>
      </c>
      <c r="AC90" s="72">
        <f t="shared" si="21"/>
        <v>0</v>
      </c>
      <c r="AD90" s="72">
        <f t="shared" si="22"/>
        <v>0</v>
      </c>
      <c r="AE90" s="72">
        <f t="shared" si="53"/>
        <v>-21.701992232200585</v>
      </c>
      <c r="AF90" s="70">
        <f t="shared" si="44"/>
        <v>4168.6811585104424</v>
      </c>
      <c r="AG90" s="70">
        <f t="shared" si="23"/>
        <v>18.372165615234699</v>
      </c>
      <c r="AH90" s="1">
        <f t="shared" si="57"/>
        <v>0</v>
      </c>
      <c r="AI90" s="1">
        <f t="shared" si="57"/>
        <v>1</v>
      </c>
      <c r="AJ90" s="1">
        <f t="shared" si="57"/>
        <v>1</v>
      </c>
      <c r="AK90" s="1">
        <f t="shared" si="57"/>
        <v>1</v>
      </c>
      <c r="AL90" s="1">
        <f t="shared" si="57"/>
        <v>1</v>
      </c>
      <c r="AM90" s="1">
        <f t="shared" si="57"/>
        <v>1</v>
      </c>
      <c r="AN90" s="1">
        <f t="shared" si="57"/>
        <v>1</v>
      </c>
      <c r="AO90" s="1">
        <f t="shared" si="57"/>
        <v>1</v>
      </c>
      <c r="AP90" s="1">
        <f t="shared" si="57"/>
        <v>1</v>
      </c>
      <c r="AQ90" s="1">
        <f t="shared" si="57"/>
        <v>1</v>
      </c>
      <c r="AR90" s="1">
        <f t="shared" si="57"/>
        <v>1</v>
      </c>
      <c r="AS90" s="1">
        <f t="shared" si="57"/>
        <v>1</v>
      </c>
      <c r="AT90" s="39">
        <f t="shared" si="25"/>
        <v>104217.02896276106</v>
      </c>
      <c r="AU90" s="39">
        <f t="shared" si="45"/>
        <v>104217.02896276106</v>
      </c>
      <c r="AV90" s="39">
        <f t="shared" si="58"/>
        <v>0</v>
      </c>
      <c r="AW90" s="3">
        <f t="shared" si="26"/>
        <v>16</v>
      </c>
      <c r="AX90" s="69">
        <f t="shared" si="46"/>
        <v>0</v>
      </c>
      <c r="AY90" s="75">
        <f t="shared" si="27"/>
        <v>0</v>
      </c>
      <c r="AZ90" s="75">
        <f t="shared" si="28"/>
        <v>0</v>
      </c>
      <c r="BA90" s="75">
        <f t="shared" si="29"/>
        <v>0</v>
      </c>
      <c r="BB90" s="75">
        <f t="shared" si="30"/>
        <v>0</v>
      </c>
      <c r="BD90" s="214">
        <f t="shared" si="47"/>
        <v>103883.26666043136</v>
      </c>
      <c r="BE90" s="214">
        <f t="shared" si="31"/>
        <v>505.65705336266529</v>
      </c>
      <c r="BF90" s="214">
        <f t="shared" si="48"/>
        <v>-171.89475103296181</v>
      </c>
      <c r="BG90" s="224">
        <f t="shared" si="54"/>
        <v>0</v>
      </c>
      <c r="BH90" s="19">
        <f t="shared" si="50"/>
        <v>106485.08337204799</v>
      </c>
      <c r="BI90" s="214">
        <f t="shared" si="32"/>
        <v>518.32152776821385</v>
      </c>
      <c r="BJ90" s="214">
        <f t="shared" si="33"/>
        <v>0</v>
      </c>
      <c r="BK90" s="19">
        <f t="shared" si="55"/>
        <v>0</v>
      </c>
    </row>
    <row r="91" spans="1:63">
      <c r="A91" s="165">
        <f t="shared" si="34"/>
        <v>63.389459274469544</v>
      </c>
      <c r="B91" s="69">
        <f t="shared" si="35"/>
        <v>2</v>
      </c>
      <c r="C91" s="70">
        <f t="shared" si="36"/>
        <v>17</v>
      </c>
      <c r="D91" s="13">
        <f t="shared" si="37"/>
        <v>4.8675505653430484E-3</v>
      </c>
      <c r="E91" s="15">
        <f t="shared" si="9"/>
        <v>1</v>
      </c>
      <c r="F91" s="15">
        <f t="shared" si="38"/>
        <v>0</v>
      </c>
      <c r="G91" s="15">
        <f t="shared" si="10"/>
        <v>0</v>
      </c>
      <c r="H91" s="73">
        <f t="shared" si="11"/>
        <v>0.04</v>
      </c>
      <c r="I91" s="189"/>
      <c r="J91" s="189"/>
      <c r="K91" s="5">
        <f t="shared" si="56"/>
        <v>104217.02896276106</v>
      </c>
      <c r="M91" s="5">
        <f t="shared" si="39"/>
        <v>507.28165824606043</v>
      </c>
      <c r="N91" s="5">
        <f t="shared" si="12"/>
        <v>-172.44702465418601</v>
      </c>
      <c r="O91" s="5">
        <f t="shared" si="13"/>
        <v>0</v>
      </c>
      <c r="P91" s="5">
        <f t="shared" si="14"/>
        <v>0</v>
      </c>
      <c r="Q91" s="5">
        <f t="shared" si="51"/>
        <v>0</v>
      </c>
      <c r="R91" s="5">
        <f t="shared" si="40"/>
        <v>0</v>
      </c>
      <c r="S91" s="5">
        <f t="shared" si="15"/>
        <v>0</v>
      </c>
      <c r="T91" s="5">
        <f t="shared" si="16"/>
        <v>0</v>
      </c>
      <c r="U91" s="74">
        <f t="shared" si="17"/>
        <v>0</v>
      </c>
      <c r="V91" s="75">
        <f t="shared" si="41"/>
        <v>0</v>
      </c>
      <c r="W91" s="5">
        <f t="shared" si="18"/>
        <v>0</v>
      </c>
      <c r="X91" s="5">
        <f t="shared" si="19"/>
        <v>104551.86359635294</v>
      </c>
      <c r="Y91" s="5">
        <f t="shared" si="42"/>
        <v>100000</v>
      </c>
      <c r="Z91" s="215">
        <f t="shared" si="20"/>
        <v>1</v>
      </c>
      <c r="AA91" s="216">
        <f t="shared" si="43"/>
        <v>0</v>
      </c>
      <c r="AB91" s="72">
        <f t="shared" si="52"/>
        <v>0</v>
      </c>
      <c r="AC91" s="72">
        <f t="shared" si="21"/>
        <v>0</v>
      </c>
      <c r="AD91" s="72">
        <f t="shared" si="22"/>
        <v>0</v>
      </c>
      <c r="AE91" s="72">
        <f t="shared" si="53"/>
        <v>-21.771717676205316</v>
      </c>
      <c r="AF91" s="70">
        <f t="shared" si="44"/>
        <v>4182.074543854118</v>
      </c>
      <c r="AG91" s="70">
        <f t="shared" si="23"/>
        <v>140.5198399495508</v>
      </c>
      <c r="AH91" s="1">
        <f t="shared" si="57"/>
        <v>0</v>
      </c>
      <c r="AI91" s="1">
        <f t="shared" si="57"/>
        <v>1</v>
      </c>
      <c r="AJ91" s="1">
        <f t="shared" si="57"/>
        <v>1</v>
      </c>
      <c r="AK91" s="1">
        <f t="shared" si="57"/>
        <v>1</v>
      </c>
      <c r="AL91" s="1">
        <f t="shared" si="57"/>
        <v>1</v>
      </c>
      <c r="AM91" s="1">
        <f t="shared" si="57"/>
        <v>1</v>
      </c>
      <c r="AN91" s="1">
        <f t="shared" si="57"/>
        <v>1</v>
      </c>
      <c r="AO91" s="1">
        <f t="shared" si="57"/>
        <v>1</v>
      </c>
      <c r="AP91" s="1">
        <f t="shared" si="57"/>
        <v>1</v>
      </c>
      <c r="AQ91" s="1">
        <f t="shared" si="57"/>
        <v>1</v>
      </c>
      <c r="AR91" s="1">
        <f t="shared" si="57"/>
        <v>1</v>
      </c>
      <c r="AS91" s="1">
        <f t="shared" si="57"/>
        <v>1</v>
      </c>
      <c r="AT91" s="39">
        <f t="shared" si="25"/>
        <v>104551.86359635294</v>
      </c>
      <c r="AU91" s="39">
        <f t="shared" si="45"/>
        <v>104551.86359635294</v>
      </c>
      <c r="AV91" s="39">
        <f t="shared" si="58"/>
        <v>0</v>
      </c>
      <c r="AW91" s="3">
        <f t="shared" si="26"/>
        <v>17</v>
      </c>
      <c r="AX91" s="69">
        <f t="shared" si="46"/>
        <v>0</v>
      </c>
      <c r="AY91" s="75">
        <f t="shared" si="27"/>
        <v>0</v>
      </c>
      <c r="AZ91" s="75">
        <f t="shared" si="28"/>
        <v>0</v>
      </c>
      <c r="BA91" s="75">
        <f t="shared" si="29"/>
        <v>0</v>
      </c>
      <c r="BB91" s="75">
        <f t="shared" si="30"/>
        <v>0</v>
      </c>
      <c r="BD91" s="214">
        <f t="shared" si="47"/>
        <v>104217.02896276106</v>
      </c>
      <c r="BE91" s="214">
        <f t="shared" si="31"/>
        <v>507.28165824606043</v>
      </c>
      <c r="BF91" s="214">
        <f t="shared" si="48"/>
        <v>-172.44702465418601</v>
      </c>
      <c r="BG91" s="224">
        <f t="shared" si="54"/>
        <v>0</v>
      </c>
      <c r="BH91" s="19">
        <f t="shared" si="50"/>
        <v>107003.4048998162</v>
      </c>
      <c r="BI91" s="214">
        <f t="shared" si="32"/>
        <v>520.84448401373152</v>
      </c>
      <c r="BJ91" s="214">
        <f t="shared" si="33"/>
        <v>0</v>
      </c>
      <c r="BK91" s="19">
        <f t="shared" si="55"/>
        <v>0</v>
      </c>
    </row>
    <row r="92" spans="1:63">
      <c r="A92" s="165">
        <f t="shared" si="34"/>
        <v>63.472792607802873</v>
      </c>
      <c r="B92" s="69">
        <f t="shared" si="35"/>
        <v>2</v>
      </c>
      <c r="C92" s="70">
        <f t="shared" si="36"/>
        <v>18</v>
      </c>
      <c r="D92" s="13">
        <f t="shared" si="37"/>
        <v>4.8675505653430484E-3</v>
      </c>
      <c r="E92" s="15">
        <f t="shared" si="9"/>
        <v>1</v>
      </c>
      <c r="F92" s="15">
        <f t="shared" si="38"/>
        <v>0</v>
      </c>
      <c r="G92" s="15">
        <f t="shared" si="10"/>
        <v>0</v>
      </c>
      <c r="H92" s="73">
        <f t="shared" si="11"/>
        <v>0.04</v>
      </c>
      <c r="I92" s="189"/>
      <c r="J92" s="189"/>
      <c r="K92" s="5">
        <f t="shared" si="56"/>
        <v>104551.86359635294</v>
      </c>
      <c r="M92" s="5">
        <f t="shared" si="39"/>
        <v>508.91148275609703</v>
      </c>
      <c r="N92" s="5">
        <f t="shared" si="12"/>
        <v>-173.00107265275946</v>
      </c>
      <c r="O92" s="5">
        <f t="shared" si="13"/>
        <v>0</v>
      </c>
      <c r="P92" s="5">
        <f t="shared" si="14"/>
        <v>0</v>
      </c>
      <c r="Q92" s="5">
        <f t="shared" si="51"/>
        <v>0</v>
      </c>
      <c r="R92" s="5">
        <f t="shared" si="40"/>
        <v>0</v>
      </c>
      <c r="S92" s="5">
        <f t="shared" si="15"/>
        <v>0</v>
      </c>
      <c r="T92" s="5">
        <f t="shared" si="16"/>
        <v>0</v>
      </c>
      <c r="U92" s="74">
        <f t="shared" si="17"/>
        <v>0</v>
      </c>
      <c r="V92" s="75">
        <f t="shared" si="41"/>
        <v>0</v>
      </c>
      <c r="W92" s="5">
        <f t="shared" si="18"/>
        <v>0</v>
      </c>
      <c r="X92" s="5">
        <f t="shared" si="19"/>
        <v>104887.77400645628</v>
      </c>
      <c r="Y92" s="5">
        <f t="shared" si="42"/>
        <v>100000</v>
      </c>
      <c r="Z92" s="215">
        <f t="shared" si="20"/>
        <v>1</v>
      </c>
      <c r="AA92" s="216">
        <f t="shared" si="43"/>
        <v>0</v>
      </c>
      <c r="AB92" s="72">
        <f t="shared" si="52"/>
        <v>0</v>
      </c>
      <c r="AC92" s="72">
        <f t="shared" si="21"/>
        <v>0</v>
      </c>
      <c r="AD92" s="72">
        <f t="shared" si="22"/>
        <v>0</v>
      </c>
      <c r="AE92" s="72">
        <f t="shared" si="53"/>
        <v>-21.841667138239806</v>
      </c>
      <c r="AF92" s="70">
        <f t="shared" si="44"/>
        <v>4195.5109602582515</v>
      </c>
      <c r="AG92" s="70">
        <f t="shared" si="23"/>
        <v>263.05995755525129</v>
      </c>
      <c r="AH92" s="1">
        <f t="shared" si="57"/>
        <v>0</v>
      </c>
      <c r="AI92" s="1">
        <f t="shared" si="57"/>
        <v>1</v>
      </c>
      <c r="AJ92" s="1">
        <f t="shared" si="57"/>
        <v>1</v>
      </c>
      <c r="AK92" s="1">
        <f t="shared" si="57"/>
        <v>1</v>
      </c>
      <c r="AL92" s="1">
        <f t="shared" si="57"/>
        <v>1</v>
      </c>
      <c r="AM92" s="1">
        <f t="shared" si="57"/>
        <v>1</v>
      </c>
      <c r="AN92" s="1">
        <f t="shared" si="57"/>
        <v>1</v>
      </c>
      <c r="AO92" s="1">
        <f t="shared" si="57"/>
        <v>1</v>
      </c>
      <c r="AP92" s="1">
        <f t="shared" si="57"/>
        <v>1</v>
      </c>
      <c r="AQ92" s="1">
        <f t="shared" si="57"/>
        <v>1</v>
      </c>
      <c r="AR92" s="1">
        <f t="shared" si="57"/>
        <v>1</v>
      </c>
      <c r="AS92" s="1">
        <f t="shared" si="57"/>
        <v>1</v>
      </c>
      <c r="AT92" s="39">
        <f t="shared" si="25"/>
        <v>104887.77400645628</v>
      </c>
      <c r="AU92" s="39">
        <f t="shared" si="45"/>
        <v>104887.77400645628</v>
      </c>
      <c r="AV92" s="39">
        <f t="shared" si="58"/>
        <v>0</v>
      </c>
      <c r="AW92" s="3">
        <f t="shared" si="26"/>
        <v>18</v>
      </c>
      <c r="AX92" s="69">
        <f t="shared" si="46"/>
        <v>0</v>
      </c>
      <c r="AY92" s="75">
        <f t="shared" si="27"/>
        <v>0</v>
      </c>
      <c r="AZ92" s="75">
        <f t="shared" si="28"/>
        <v>0</v>
      </c>
      <c r="BA92" s="75">
        <f t="shared" si="29"/>
        <v>0</v>
      </c>
      <c r="BB92" s="75">
        <f t="shared" si="30"/>
        <v>0</v>
      </c>
      <c r="BD92" s="214">
        <f t="shared" si="47"/>
        <v>104551.86359635294</v>
      </c>
      <c r="BE92" s="214">
        <f t="shared" si="31"/>
        <v>508.91148275609703</v>
      </c>
      <c r="BF92" s="214">
        <f t="shared" si="48"/>
        <v>-173.00107265275946</v>
      </c>
      <c r="BG92" s="224">
        <f t="shared" si="54"/>
        <v>0</v>
      </c>
      <c r="BH92" s="19">
        <f t="shared" si="50"/>
        <v>107524.24938382994</v>
      </c>
      <c r="BI92" s="214">
        <f t="shared" si="32"/>
        <v>523.3797208763483</v>
      </c>
      <c r="BJ92" s="214">
        <f t="shared" si="33"/>
        <v>0</v>
      </c>
      <c r="BK92" s="19">
        <f t="shared" si="55"/>
        <v>0</v>
      </c>
    </row>
    <row r="93" spans="1:63">
      <c r="A93" s="165">
        <f t="shared" si="34"/>
        <v>63.556125941136209</v>
      </c>
      <c r="B93" s="69">
        <f t="shared" si="35"/>
        <v>2</v>
      </c>
      <c r="C93" s="70">
        <f t="shared" si="36"/>
        <v>19</v>
      </c>
      <c r="D93" s="13">
        <f t="shared" si="37"/>
        <v>4.8675505653430484E-3</v>
      </c>
      <c r="E93" s="15">
        <f t="shared" si="9"/>
        <v>1</v>
      </c>
      <c r="F93" s="15">
        <f t="shared" si="38"/>
        <v>0</v>
      </c>
      <c r="G93" s="15">
        <f t="shared" si="10"/>
        <v>0</v>
      </c>
      <c r="H93" s="73">
        <f t="shared" si="11"/>
        <v>0.04</v>
      </c>
      <c r="I93" s="189"/>
      <c r="J93" s="189"/>
      <c r="K93" s="5">
        <f t="shared" si="56"/>
        <v>104887.77400645628</v>
      </c>
      <c r="M93" s="5">
        <f t="shared" si="39"/>
        <v>510.54654366270017</v>
      </c>
      <c r="N93" s="5">
        <f t="shared" si="12"/>
        <v>-173.55690072950679</v>
      </c>
      <c r="O93" s="5">
        <f t="shared" si="13"/>
        <v>0</v>
      </c>
      <c r="P93" s="5">
        <f t="shared" si="14"/>
        <v>0</v>
      </c>
      <c r="Q93" s="5">
        <f t="shared" si="51"/>
        <v>0</v>
      </c>
      <c r="R93" s="5">
        <f t="shared" si="40"/>
        <v>0</v>
      </c>
      <c r="S93" s="5">
        <f t="shared" si="15"/>
        <v>0</v>
      </c>
      <c r="T93" s="5">
        <f t="shared" si="16"/>
        <v>0</v>
      </c>
      <c r="U93" s="74">
        <f t="shared" si="17"/>
        <v>0</v>
      </c>
      <c r="V93" s="75">
        <f t="shared" si="41"/>
        <v>0</v>
      </c>
      <c r="W93" s="5">
        <f t="shared" si="18"/>
        <v>0</v>
      </c>
      <c r="X93" s="5">
        <f t="shared" si="19"/>
        <v>105224.76364938947</v>
      </c>
      <c r="Y93" s="5">
        <f t="shared" si="42"/>
        <v>100000</v>
      </c>
      <c r="Z93" s="215">
        <f t="shared" si="20"/>
        <v>1</v>
      </c>
      <c r="AA93" s="216">
        <f t="shared" si="43"/>
        <v>0</v>
      </c>
      <c r="AB93" s="72">
        <f t="shared" si="52"/>
        <v>0</v>
      </c>
      <c r="AC93" s="72">
        <f t="shared" si="21"/>
        <v>0</v>
      </c>
      <c r="AD93" s="72">
        <f t="shared" si="22"/>
        <v>0</v>
      </c>
      <c r="AE93" s="72">
        <f t="shared" si="53"/>
        <v>-21.911841338042425</v>
      </c>
      <c r="AF93" s="70">
        <f t="shared" si="44"/>
        <v>4208.9905459755792</v>
      </c>
      <c r="AG93" s="70">
        <f t="shared" si="23"/>
        <v>385.99377929727632</v>
      </c>
      <c r="AH93" s="1">
        <f t="shared" si="57"/>
        <v>0</v>
      </c>
      <c r="AI93" s="1">
        <f t="shared" si="57"/>
        <v>1</v>
      </c>
      <c r="AJ93" s="1">
        <f t="shared" si="57"/>
        <v>1</v>
      </c>
      <c r="AK93" s="1">
        <f t="shared" si="57"/>
        <v>1</v>
      </c>
      <c r="AL93" s="1">
        <f t="shared" si="57"/>
        <v>1</v>
      </c>
      <c r="AM93" s="1">
        <f t="shared" si="57"/>
        <v>1</v>
      </c>
      <c r="AN93" s="1">
        <f t="shared" si="57"/>
        <v>1</v>
      </c>
      <c r="AO93" s="1">
        <f t="shared" si="57"/>
        <v>1</v>
      </c>
      <c r="AP93" s="1">
        <f t="shared" si="57"/>
        <v>1</v>
      </c>
      <c r="AQ93" s="1">
        <f t="shared" si="57"/>
        <v>1</v>
      </c>
      <c r="AR93" s="1">
        <f t="shared" si="57"/>
        <v>1</v>
      </c>
      <c r="AS93" s="1">
        <f t="shared" si="57"/>
        <v>1</v>
      </c>
      <c r="AT93" s="39">
        <f t="shared" si="25"/>
        <v>105224.76364938947</v>
      </c>
      <c r="AU93" s="39">
        <f t="shared" si="45"/>
        <v>105224.76364938947</v>
      </c>
      <c r="AV93" s="39">
        <f t="shared" si="58"/>
        <v>0</v>
      </c>
      <c r="AW93" s="3">
        <f t="shared" si="26"/>
        <v>19</v>
      </c>
      <c r="AX93" s="69">
        <f t="shared" si="46"/>
        <v>0</v>
      </c>
      <c r="AY93" s="75">
        <f t="shared" si="27"/>
        <v>0</v>
      </c>
      <c r="AZ93" s="75">
        <f t="shared" si="28"/>
        <v>0</v>
      </c>
      <c r="BA93" s="75">
        <f t="shared" si="29"/>
        <v>0</v>
      </c>
      <c r="BB93" s="75">
        <f t="shared" si="30"/>
        <v>0</v>
      </c>
      <c r="BD93" s="214">
        <f t="shared" si="47"/>
        <v>104887.77400645628</v>
      </c>
      <c r="BE93" s="214">
        <f t="shared" si="31"/>
        <v>510.54654366270017</v>
      </c>
      <c r="BF93" s="214">
        <f t="shared" si="48"/>
        <v>-173.55690072950679</v>
      </c>
      <c r="BG93" s="224">
        <f t="shared" si="54"/>
        <v>0</v>
      </c>
      <c r="BH93" s="19">
        <f t="shared" si="50"/>
        <v>108047.62910470628</v>
      </c>
      <c r="BI93" s="214">
        <f t="shared" si="32"/>
        <v>525.92729813258904</v>
      </c>
      <c r="BJ93" s="214">
        <f t="shared" si="33"/>
        <v>0</v>
      </c>
      <c r="BK93" s="19">
        <f t="shared" si="55"/>
        <v>0</v>
      </c>
    </row>
    <row r="94" spans="1:63">
      <c r="A94" s="165">
        <f t="shared" si="34"/>
        <v>63.639459274469544</v>
      </c>
      <c r="B94" s="69">
        <f t="shared" si="35"/>
        <v>2</v>
      </c>
      <c r="C94" s="70">
        <f t="shared" si="36"/>
        <v>20</v>
      </c>
      <c r="D94" s="13">
        <f t="shared" si="37"/>
        <v>4.8675505653430484E-3</v>
      </c>
      <c r="E94" s="15">
        <f t="shared" si="9"/>
        <v>1</v>
      </c>
      <c r="F94" s="15">
        <f t="shared" si="38"/>
        <v>0</v>
      </c>
      <c r="G94" s="15">
        <f t="shared" si="10"/>
        <v>0</v>
      </c>
      <c r="H94" s="73">
        <f t="shared" si="11"/>
        <v>0.04</v>
      </c>
      <c r="I94" s="189"/>
      <c r="J94" s="189"/>
      <c r="K94" s="5">
        <f t="shared" si="56"/>
        <v>105224.76364938947</v>
      </c>
      <c r="M94" s="5">
        <f t="shared" si="39"/>
        <v>512.18685778967438</v>
      </c>
      <c r="N94" s="5">
        <f t="shared" si="12"/>
        <v>-174.11451460356827</v>
      </c>
      <c r="O94" s="5">
        <f t="shared" si="13"/>
        <v>0</v>
      </c>
      <c r="P94" s="5">
        <f t="shared" si="14"/>
        <v>0</v>
      </c>
      <c r="Q94" s="5">
        <f t="shared" si="51"/>
        <v>0</v>
      </c>
      <c r="R94" s="5">
        <f t="shared" si="40"/>
        <v>0</v>
      </c>
      <c r="S94" s="5">
        <f t="shared" si="15"/>
        <v>0</v>
      </c>
      <c r="T94" s="5">
        <f t="shared" si="16"/>
        <v>0</v>
      </c>
      <c r="U94" s="74">
        <f t="shared" si="17"/>
        <v>0</v>
      </c>
      <c r="V94" s="75">
        <f t="shared" si="41"/>
        <v>0</v>
      </c>
      <c r="W94" s="5">
        <f t="shared" si="18"/>
        <v>0</v>
      </c>
      <c r="X94" s="5">
        <f t="shared" si="19"/>
        <v>105562.83599257556</v>
      </c>
      <c r="Y94" s="5">
        <f t="shared" si="42"/>
        <v>100000</v>
      </c>
      <c r="Z94" s="215">
        <f t="shared" si="20"/>
        <v>1</v>
      </c>
      <c r="AA94" s="216">
        <f t="shared" si="43"/>
        <v>0</v>
      </c>
      <c r="AB94" s="72">
        <f t="shared" si="52"/>
        <v>0</v>
      </c>
      <c r="AC94" s="72">
        <f t="shared" si="21"/>
        <v>0</v>
      </c>
      <c r="AD94" s="72">
        <f t="shared" si="22"/>
        <v>0</v>
      </c>
      <c r="AE94" s="72">
        <f t="shared" si="53"/>
        <v>-21.982240997663965</v>
      </c>
      <c r="AF94" s="70">
        <f t="shared" si="44"/>
        <v>4222.5134397030224</v>
      </c>
      <c r="AG94" s="70">
        <f t="shared" si="23"/>
        <v>509.32257009156717</v>
      </c>
      <c r="AH94" s="1">
        <f t="shared" si="57"/>
        <v>0</v>
      </c>
      <c r="AI94" s="1">
        <f t="shared" si="57"/>
        <v>1</v>
      </c>
      <c r="AJ94" s="1">
        <f t="shared" si="57"/>
        <v>1</v>
      </c>
      <c r="AK94" s="1">
        <f t="shared" si="57"/>
        <v>1</v>
      </c>
      <c r="AL94" s="1">
        <f t="shared" si="57"/>
        <v>1</v>
      </c>
      <c r="AM94" s="1">
        <f t="shared" si="57"/>
        <v>1</v>
      </c>
      <c r="AN94" s="1">
        <f t="shared" si="57"/>
        <v>1</v>
      </c>
      <c r="AO94" s="1">
        <f t="shared" si="57"/>
        <v>1</v>
      </c>
      <c r="AP94" s="1">
        <f t="shared" si="57"/>
        <v>1</v>
      </c>
      <c r="AQ94" s="1">
        <f t="shared" si="57"/>
        <v>1</v>
      </c>
      <c r="AR94" s="1">
        <f t="shared" si="57"/>
        <v>1</v>
      </c>
      <c r="AS94" s="1">
        <f t="shared" si="57"/>
        <v>1</v>
      </c>
      <c r="AT94" s="39">
        <f t="shared" si="25"/>
        <v>105562.83599257556</v>
      </c>
      <c r="AU94" s="39">
        <f t="shared" si="45"/>
        <v>105562.83599257556</v>
      </c>
      <c r="AV94" s="39">
        <f t="shared" si="58"/>
        <v>0</v>
      </c>
      <c r="AW94" s="3">
        <f t="shared" si="26"/>
        <v>20</v>
      </c>
      <c r="AX94" s="69">
        <f t="shared" si="46"/>
        <v>0</v>
      </c>
      <c r="AY94" s="75">
        <f t="shared" si="27"/>
        <v>0</v>
      </c>
      <c r="AZ94" s="75">
        <f t="shared" si="28"/>
        <v>0</v>
      </c>
      <c r="BA94" s="75">
        <f t="shared" si="29"/>
        <v>0</v>
      </c>
      <c r="BB94" s="75">
        <f t="shared" si="30"/>
        <v>0</v>
      </c>
      <c r="BD94" s="214">
        <f t="shared" si="47"/>
        <v>105224.76364938947</v>
      </c>
      <c r="BE94" s="214">
        <f t="shared" si="31"/>
        <v>512.18685778967438</v>
      </c>
      <c r="BF94" s="214">
        <f t="shared" si="48"/>
        <v>-174.11451460356827</v>
      </c>
      <c r="BG94" s="224">
        <f t="shared" si="54"/>
        <v>0</v>
      </c>
      <c r="BH94" s="19">
        <f t="shared" si="50"/>
        <v>108573.55640283888</v>
      </c>
      <c r="BI94" s="214">
        <f t="shared" si="32"/>
        <v>528.48727584994367</v>
      </c>
      <c r="BJ94" s="214">
        <f t="shared" si="33"/>
        <v>0</v>
      </c>
      <c r="BK94" s="19">
        <f t="shared" si="55"/>
        <v>0</v>
      </c>
    </row>
    <row r="95" spans="1:63">
      <c r="A95" s="165">
        <f t="shared" si="34"/>
        <v>63.722792607802873</v>
      </c>
      <c r="B95" s="69">
        <f t="shared" si="35"/>
        <v>2</v>
      </c>
      <c r="C95" s="70">
        <f t="shared" si="36"/>
        <v>21</v>
      </c>
      <c r="D95" s="13">
        <f t="shared" si="37"/>
        <v>4.8675505653430484E-3</v>
      </c>
      <c r="E95" s="15">
        <f t="shared" si="9"/>
        <v>1</v>
      </c>
      <c r="F95" s="15">
        <f t="shared" si="38"/>
        <v>0</v>
      </c>
      <c r="G95" s="15">
        <f t="shared" si="10"/>
        <v>0</v>
      </c>
      <c r="H95" s="73">
        <f t="shared" si="11"/>
        <v>0.04</v>
      </c>
      <c r="I95" s="189"/>
      <c r="J95" s="189"/>
      <c r="K95" s="5">
        <f t="shared" si="56"/>
        <v>105562.83599257556</v>
      </c>
      <c r="M95" s="5">
        <f t="shared" si="39"/>
        <v>513.83244201487673</v>
      </c>
      <c r="N95" s="5">
        <f t="shared" si="12"/>
        <v>-174.67392001245923</v>
      </c>
      <c r="O95" s="5">
        <f t="shared" si="13"/>
        <v>0</v>
      </c>
      <c r="P95" s="5">
        <f t="shared" si="14"/>
        <v>0</v>
      </c>
      <c r="Q95" s="5">
        <f t="shared" si="51"/>
        <v>0</v>
      </c>
      <c r="R95" s="5">
        <f t="shared" si="40"/>
        <v>0</v>
      </c>
      <c r="S95" s="5">
        <f t="shared" si="15"/>
        <v>0</v>
      </c>
      <c r="T95" s="5">
        <f t="shared" si="16"/>
        <v>0</v>
      </c>
      <c r="U95" s="74">
        <f t="shared" si="17"/>
        <v>0</v>
      </c>
      <c r="V95" s="75">
        <f t="shared" si="41"/>
        <v>0</v>
      </c>
      <c r="W95" s="5">
        <f t="shared" si="18"/>
        <v>0</v>
      </c>
      <c r="X95" s="5">
        <f t="shared" si="19"/>
        <v>105901.99451457798</v>
      </c>
      <c r="Y95" s="5">
        <f t="shared" si="42"/>
        <v>100000</v>
      </c>
      <c r="Z95" s="215">
        <f t="shared" si="20"/>
        <v>1</v>
      </c>
      <c r="AA95" s="216">
        <f t="shared" si="43"/>
        <v>0</v>
      </c>
      <c r="AB95" s="72">
        <f t="shared" si="52"/>
        <v>0</v>
      </c>
      <c r="AC95" s="72">
        <f t="shared" si="21"/>
        <v>0</v>
      </c>
      <c r="AD95" s="72">
        <f t="shared" si="22"/>
        <v>0</v>
      </c>
      <c r="AE95" s="72">
        <f t="shared" si="53"/>
        <v>-22.052866841475069</v>
      </c>
      <c r="AF95" s="70">
        <f t="shared" si="44"/>
        <v>4236.0797805831189</v>
      </c>
      <c r="AG95" s="70">
        <f t="shared" si="23"/>
        <v>633.04759891804451</v>
      </c>
      <c r="AH95" s="1">
        <f t="shared" ref="AH95:AS104" si="59">IF($B95&lt;=AH$74,1,0)</f>
        <v>0</v>
      </c>
      <c r="AI95" s="1">
        <f t="shared" si="59"/>
        <v>1</v>
      </c>
      <c r="AJ95" s="1">
        <f t="shared" si="59"/>
        <v>1</v>
      </c>
      <c r="AK95" s="1">
        <f t="shared" si="59"/>
        <v>1</v>
      </c>
      <c r="AL95" s="1">
        <f t="shared" si="59"/>
        <v>1</v>
      </c>
      <c r="AM95" s="1">
        <f t="shared" si="59"/>
        <v>1</v>
      </c>
      <c r="AN95" s="1">
        <f t="shared" si="59"/>
        <v>1</v>
      </c>
      <c r="AO95" s="1">
        <f t="shared" si="59"/>
        <v>1</v>
      </c>
      <c r="AP95" s="1">
        <f t="shared" si="59"/>
        <v>1</v>
      </c>
      <c r="AQ95" s="1">
        <f t="shared" si="59"/>
        <v>1</v>
      </c>
      <c r="AR95" s="1">
        <f t="shared" si="59"/>
        <v>1</v>
      </c>
      <c r="AS95" s="1">
        <f t="shared" si="59"/>
        <v>1</v>
      </c>
      <c r="AT95" s="39">
        <f t="shared" si="25"/>
        <v>105901.99451457798</v>
      </c>
      <c r="AU95" s="39">
        <f t="shared" si="45"/>
        <v>105901.99451457798</v>
      </c>
      <c r="AV95" s="39">
        <f t="shared" si="58"/>
        <v>0</v>
      </c>
      <c r="AW95" s="3">
        <f t="shared" si="26"/>
        <v>21</v>
      </c>
      <c r="AX95" s="69">
        <f t="shared" si="46"/>
        <v>0</v>
      </c>
      <c r="AY95" s="75">
        <f t="shared" si="27"/>
        <v>0</v>
      </c>
      <c r="AZ95" s="75">
        <f t="shared" si="28"/>
        <v>0</v>
      </c>
      <c r="BA95" s="75">
        <f t="shared" si="29"/>
        <v>0</v>
      </c>
      <c r="BB95" s="75">
        <f t="shared" si="30"/>
        <v>0</v>
      </c>
      <c r="BD95" s="214">
        <f t="shared" si="47"/>
        <v>105562.83599257556</v>
      </c>
      <c r="BE95" s="214">
        <f t="shared" si="31"/>
        <v>513.83244201487673</v>
      </c>
      <c r="BF95" s="214">
        <f t="shared" si="48"/>
        <v>-174.67392001245923</v>
      </c>
      <c r="BG95" s="224">
        <f t="shared" si="54"/>
        <v>0</v>
      </c>
      <c r="BH95" s="19">
        <f t="shared" si="50"/>
        <v>109102.04367868882</v>
      </c>
      <c r="BI95" s="214">
        <f t="shared" si="32"/>
        <v>531.05971438828374</v>
      </c>
      <c r="BJ95" s="214">
        <f t="shared" si="33"/>
        <v>0</v>
      </c>
      <c r="BK95" s="19">
        <f t="shared" si="55"/>
        <v>0</v>
      </c>
    </row>
    <row r="96" spans="1:63">
      <c r="A96" s="165">
        <f t="shared" si="34"/>
        <v>63.806125941136209</v>
      </c>
      <c r="B96" s="69">
        <f t="shared" si="35"/>
        <v>2</v>
      </c>
      <c r="C96" s="70">
        <f t="shared" si="36"/>
        <v>22</v>
      </c>
      <c r="D96" s="13">
        <f t="shared" si="37"/>
        <v>4.8675505653430484E-3</v>
      </c>
      <c r="E96" s="15">
        <f t="shared" si="9"/>
        <v>1</v>
      </c>
      <c r="F96" s="15">
        <f t="shared" si="38"/>
        <v>0</v>
      </c>
      <c r="G96" s="15">
        <f t="shared" si="10"/>
        <v>0</v>
      </c>
      <c r="H96" s="73">
        <f t="shared" si="11"/>
        <v>0.04</v>
      </c>
      <c r="I96" s="189"/>
      <c r="J96" s="189"/>
      <c r="K96" s="5">
        <f t="shared" si="56"/>
        <v>105901.99451457798</v>
      </c>
      <c r="M96" s="5">
        <f t="shared" si="39"/>
        <v>515.48331327039045</v>
      </c>
      <c r="N96" s="5">
        <f t="shared" si="12"/>
        <v>-175.23512271212863</v>
      </c>
      <c r="O96" s="5">
        <f t="shared" si="13"/>
        <v>0</v>
      </c>
      <c r="P96" s="5">
        <f t="shared" si="14"/>
        <v>0</v>
      </c>
      <c r="Q96" s="5">
        <f t="shared" si="51"/>
        <v>0</v>
      </c>
      <c r="R96" s="5">
        <f t="shared" si="40"/>
        <v>0</v>
      </c>
      <c r="S96" s="5">
        <f t="shared" si="15"/>
        <v>0</v>
      </c>
      <c r="T96" s="5">
        <f t="shared" si="16"/>
        <v>0</v>
      </c>
      <c r="U96" s="74">
        <f t="shared" si="17"/>
        <v>0</v>
      </c>
      <c r="V96" s="75">
        <f t="shared" si="41"/>
        <v>0</v>
      </c>
      <c r="W96" s="5">
        <f t="shared" si="18"/>
        <v>0</v>
      </c>
      <c r="X96" s="5">
        <f t="shared" si="19"/>
        <v>106242.24270513625</v>
      </c>
      <c r="Y96" s="5">
        <f t="shared" si="42"/>
        <v>100000</v>
      </c>
      <c r="Z96" s="215">
        <f t="shared" si="20"/>
        <v>1</v>
      </c>
      <c r="AA96" s="216">
        <f t="shared" si="43"/>
        <v>0</v>
      </c>
      <c r="AB96" s="72">
        <f t="shared" si="52"/>
        <v>0</v>
      </c>
      <c r="AC96" s="72">
        <f t="shared" si="21"/>
        <v>0</v>
      </c>
      <c r="AD96" s="72">
        <f t="shared" si="22"/>
        <v>0</v>
      </c>
      <c r="AE96" s="72">
        <f t="shared" si="53"/>
        <v>-22.123719596173668</v>
      </c>
      <c r="AF96" s="70">
        <f t="shared" si="44"/>
        <v>4249.6897082054502</v>
      </c>
      <c r="AG96" s="70">
        <f t="shared" si="23"/>
        <v>757.17013883370294</v>
      </c>
      <c r="AH96" s="1">
        <f t="shared" si="59"/>
        <v>0</v>
      </c>
      <c r="AI96" s="1">
        <f t="shared" si="59"/>
        <v>1</v>
      </c>
      <c r="AJ96" s="1">
        <f t="shared" si="59"/>
        <v>1</v>
      </c>
      <c r="AK96" s="1">
        <f t="shared" si="59"/>
        <v>1</v>
      </c>
      <c r="AL96" s="1">
        <f t="shared" si="59"/>
        <v>1</v>
      </c>
      <c r="AM96" s="1">
        <f t="shared" si="59"/>
        <v>1</v>
      </c>
      <c r="AN96" s="1">
        <f t="shared" si="59"/>
        <v>1</v>
      </c>
      <c r="AO96" s="1">
        <f t="shared" si="59"/>
        <v>1</v>
      </c>
      <c r="AP96" s="1">
        <f t="shared" si="59"/>
        <v>1</v>
      </c>
      <c r="AQ96" s="1">
        <f t="shared" si="59"/>
        <v>1</v>
      </c>
      <c r="AR96" s="1">
        <f t="shared" si="59"/>
        <v>1</v>
      </c>
      <c r="AS96" s="1">
        <f t="shared" si="59"/>
        <v>1</v>
      </c>
      <c r="AT96" s="39">
        <f t="shared" si="25"/>
        <v>106242.24270513625</v>
      </c>
      <c r="AU96" s="39">
        <f t="shared" si="45"/>
        <v>106242.24270513625</v>
      </c>
      <c r="AV96" s="39">
        <f t="shared" si="58"/>
        <v>0</v>
      </c>
      <c r="AW96" s="3">
        <f t="shared" si="26"/>
        <v>22</v>
      </c>
      <c r="AX96" s="69">
        <f t="shared" si="46"/>
        <v>0</v>
      </c>
      <c r="AY96" s="75">
        <f t="shared" si="27"/>
        <v>0</v>
      </c>
      <c r="AZ96" s="75">
        <f t="shared" si="28"/>
        <v>0</v>
      </c>
      <c r="BA96" s="75">
        <f t="shared" si="29"/>
        <v>0</v>
      </c>
      <c r="BB96" s="75">
        <f t="shared" si="30"/>
        <v>0</v>
      </c>
      <c r="BD96" s="214">
        <f t="shared" si="47"/>
        <v>105901.99451457798</v>
      </c>
      <c r="BE96" s="214">
        <f t="shared" si="31"/>
        <v>515.48331327039045</v>
      </c>
      <c r="BF96" s="214">
        <f t="shared" si="48"/>
        <v>-175.23512271212863</v>
      </c>
      <c r="BG96" s="224">
        <f t="shared" si="54"/>
        <v>0</v>
      </c>
      <c r="BH96" s="19">
        <f t="shared" si="50"/>
        <v>109633.10339307709</v>
      </c>
      <c r="BI96" s="214">
        <f t="shared" si="32"/>
        <v>533.64467440128533</v>
      </c>
      <c r="BJ96" s="214">
        <f t="shared" si="33"/>
        <v>0</v>
      </c>
      <c r="BK96" s="19">
        <f t="shared" si="55"/>
        <v>0</v>
      </c>
    </row>
    <row r="97" spans="1:63">
      <c r="A97" s="165">
        <f t="shared" si="34"/>
        <v>63.889459274469544</v>
      </c>
      <c r="B97" s="69">
        <f t="shared" si="35"/>
        <v>2</v>
      </c>
      <c r="C97" s="70">
        <f t="shared" si="36"/>
        <v>23</v>
      </c>
      <c r="D97" s="13">
        <f t="shared" si="37"/>
        <v>4.8675505653430484E-3</v>
      </c>
      <c r="E97" s="15">
        <f t="shared" si="9"/>
        <v>1</v>
      </c>
      <c r="F97" s="15">
        <f t="shared" si="38"/>
        <v>0</v>
      </c>
      <c r="G97" s="15">
        <f t="shared" si="10"/>
        <v>0</v>
      </c>
      <c r="H97" s="73">
        <f t="shared" si="11"/>
        <v>0.04</v>
      </c>
      <c r="I97" s="189"/>
      <c r="J97" s="189"/>
      <c r="K97" s="5">
        <f t="shared" si="56"/>
        <v>106242.24270513625</v>
      </c>
      <c r="M97" s="5">
        <f t="shared" si="39"/>
        <v>517.13948854269927</v>
      </c>
      <c r="N97" s="5">
        <f t="shared" si="12"/>
        <v>-175.79812847701862</v>
      </c>
      <c r="O97" s="5">
        <f t="shared" si="13"/>
        <v>0</v>
      </c>
      <c r="P97" s="5">
        <f t="shared" si="14"/>
        <v>0</v>
      </c>
      <c r="Q97" s="5">
        <f t="shared" si="51"/>
        <v>0</v>
      </c>
      <c r="R97" s="5">
        <f t="shared" si="40"/>
        <v>0</v>
      </c>
      <c r="S97" s="5">
        <f t="shared" si="15"/>
        <v>0</v>
      </c>
      <c r="T97" s="5">
        <f t="shared" si="16"/>
        <v>0</v>
      </c>
      <c r="U97" s="74">
        <f t="shared" si="17"/>
        <v>0</v>
      </c>
      <c r="V97" s="75">
        <f t="shared" si="41"/>
        <v>0</v>
      </c>
      <c r="W97" s="5">
        <f t="shared" si="18"/>
        <v>0</v>
      </c>
      <c r="X97" s="5">
        <f t="shared" si="19"/>
        <v>106583.58406520193</v>
      </c>
      <c r="Y97" s="5">
        <f t="shared" si="42"/>
        <v>100000</v>
      </c>
      <c r="Z97" s="215">
        <f t="shared" si="20"/>
        <v>1</v>
      </c>
      <c r="AA97" s="216">
        <f t="shared" si="43"/>
        <v>0</v>
      </c>
      <c r="AB97" s="72">
        <f t="shared" si="52"/>
        <v>0</v>
      </c>
      <c r="AC97" s="72">
        <f t="shared" si="21"/>
        <v>0</v>
      </c>
      <c r="AD97" s="72">
        <f t="shared" si="22"/>
        <v>0</v>
      </c>
      <c r="AE97" s="72">
        <f t="shared" si="53"/>
        <v>-22.194799990792493</v>
      </c>
      <c r="AF97" s="70">
        <f t="shared" si="44"/>
        <v>4263.3433626080769</v>
      </c>
      <c r="AG97" s="70">
        <f t="shared" si="23"/>
        <v>881.69146698566101</v>
      </c>
      <c r="AH97" s="1">
        <f t="shared" si="59"/>
        <v>0</v>
      </c>
      <c r="AI97" s="1">
        <f t="shared" si="59"/>
        <v>1</v>
      </c>
      <c r="AJ97" s="1">
        <f t="shared" si="59"/>
        <v>1</v>
      </c>
      <c r="AK97" s="1">
        <f t="shared" si="59"/>
        <v>1</v>
      </c>
      <c r="AL97" s="1">
        <f t="shared" si="59"/>
        <v>1</v>
      </c>
      <c r="AM97" s="1">
        <f t="shared" si="59"/>
        <v>1</v>
      </c>
      <c r="AN97" s="1">
        <f t="shared" si="59"/>
        <v>1</v>
      </c>
      <c r="AO97" s="1">
        <f t="shared" si="59"/>
        <v>1</v>
      </c>
      <c r="AP97" s="1">
        <f t="shared" si="59"/>
        <v>1</v>
      </c>
      <c r="AQ97" s="1">
        <f t="shared" si="59"/>
        <v>1</v>
      </c>
      <c r="AR97" s="1">
        <f t="shared" si="59"/>
        <v>1</v>
      </c>
      <c r="AS97" s="1">
        <f t="shared" si="59"/>
        <v>1</v>
      </c>
      <c r="AT97" s="39">
        <f t="shared" si="25"/>
        <v>106583.58406520193</v>
      </c>
      <c r="AU97" s="39">
        <f t="shared" si="45"/>
        <v>106583.58406520193</v>
      </c>
      <c r="AV97" s="39">
        <f t="shared" si="58"/>
        <v>0</v>
      </c>
      <c r="AW97" s="3">
        <f t="shared" si="26"/>
        <v>23</v>
      </c>
      <c r="AX97" s="69">
        <f t="shared" si="46"/>
        <v>0</v>
      </c>
      <c r="AY97" s="75">
        <f t="shared" si="27"/>
        <v>0</v>
      </c>
      <c r="AZ97" s="75">
        <f t="shared" si="28"/>
        <v>0</v>
      </c>
      <c r="BA97" s="75">
        <f t="shared" si="29"/>
        <v>0</v>
      </c>
      <c r="BB97" s="75">
        <f t="shared" si="30"/>
        <v>0</v>
      </c>
      <c r="BD97" s="214">
        <f t="shared" si="47"/>
        <v>106242.24270513625</v>
      </c>
      <c r="BE97" s="214">
        <f t="shared" si="31"/>
        <v>517.13948854269927</v>
      </c>
      <c r="BF97" s="214">
        <f t="shared" si="48"/>
        <v>-175.79812847701862</v>
      </c>
      <c r="BG97" s="224">
        <f t="shared" si="54"/>
        <v>0</v>
      </c>
      <c r="BH97" s="19">
        <f t="shared" si="50"/>
        <v>110166.74806747837</v>
      </c>
      <c r="BI97" s="214">
        <f t="shared" si="32"/>
        <v>536.24221683785959</v>
      </c>
      <c r="BJ97" s="214">
        <f t="shared" si="33"/>
        <v>0</v>
      </c>
      <c r="BK97" s="19">
        <f t="shared" si="55"/>
        <v>0</v>
      </c>
    </row>
    <row r="98" spans="1:63">
      <c r="A98" s="165">
        <f t="shared" si="34"/>
        <v>63.972792607802873</v>
      </c>
      <c r="B98" s="69">
        <f t="shared" si="35"/>
        <v>2</v>
      </c>
      <c r="C98" s="70">
        <f t="shared" si="36"/>
        <v>24</v>
      </c>
      <c r="D98" s="13">
        <f t="shared" si="37"/>
        <v>4.8675505653430484E-3</v>
      </c>
      <c r="E98" s="15">
        <f t="shared" si="9"/>
        <v>1</v>
      </c>
      <c r="F98" s="15">
        <f t="shared" si="38"/>
        <v>0</v>
      </c>
      <c r="G98" s="15">
        <f t="shared" si="10"/>
        <v>0</v>
      </c>
      <c r="H98" s="73">
        <f t="shared" si="11"/>
        <v>0.04</v>
      </c>
      <c r="I98" s="189"/>
      <c r="J98" s="189"/>
      <c r="K98" s="5">
        <f t="shared" si="56"/>
        <v>106583.58406520193</v>
      </c>
      <c r="M98" s="5">
        <f t="shared" si="39"/>
        <v>518.80098487286193</v>
      </c>
      <c r="N98" s="5">
        <f t="shared" si="12"/>
        <v>-176.36294310012377</v>
      </c>
      <c r="O98" s="5">
        <f t="shared" si="13"/>
        <v>0</v>
      </c>
      <c r="P98" s="5">
        <f t="shared" si="14"/>
        <v>0</v>
      </c>
      <c r="Q98" s="5">
        <f t="shared" si="51"/>
        <v>0</v>
      </c>
      <c r="R98" s="5">
        <f t="shared" si="40"/>
        <v>0</v>
      </c>
      <c r="S98" s="5">
        <f t="shared" si="15"/>
        <v>0</v>
      </c>
      <c r="T98" s="5">
        <f t="shared" si="16"/>
        <v>0</v>
      </c>
      <c r="U98" s="74">
        <f t="shared" si="17"/>
        <v>0</v>
      </c>
      <c r="V98" s="75">
        <f t="shared" si="41"/>
        <v>0</v>
      </c>
      <c r="W98" s="5">
        <f t="shared" si="18"/>
        <v>0</v>
      </c>
      <c r="X98" s="5">
        <f t="shared" si="19"/>
        <v>106926.02210697468</v>
      </c>
      <c r="Y98" s="5">
        <f t="shared" si="42"/>
        <v>100000</v>
      </c>
      <c r="Z98" s="215">
        <f t="shared" si="20"/>
        <v>1</v>
      </c>
      <c r="AA98" s="216">
        <f t="shared" si="43"/>
        <v>0</v>
      </c>
      <c r="AB98" s="72">
        <f t="shared" si="52"/>
        <v>0</v>
      </c>
      <c r="AC98" s="72">
        <f t="shared" si="21"/>
        <v>0</v>
      </c>
      <c r="AD98" s="72">
        <f t="shared" si="22"/>
        <v>0</v>
      </c>
      <c r="AE98" s="72">
        <f t="shared" si="53"/>
        <v>-22.266108756706526</v>
      </c>
      <c r="AF98" s="70">
        <f t="shared" si="44"/>
        <v>4277.0408842789875</v>
      </c>
      <c r="AG98" s="70">
        <f t="shared" si="23"/>
        <v>1006.6128646243606</v>
      </c>
      <c r="AH98" s="1">
        <f t="shared" si="59"/>
        <v>0</v>
      </c>
      <c r="AI98" s="1">
        <f t="shared" si="59"/>
        <v>1</v>
      </c>
      <c r="AJ98" s="1">
        <f t="shared" si="59"/>
        <v>1</v>
      </c>
      <c r="AK98" s="1">
        <f t="shared" si="59"/>
        <v>1</v>
      </c>
      <c r="AL98" s="1">
        <f t="shared" si="59"/>
        <v>1</v>
      </c>
      <c r="AM98" s="1">
        <f t="shared" si="59"/>
        <v>1</v>
      </c>
      <c r="AN98" s="1">
        <f t="shared" si="59"/>
        <v>1</v>
      </c>
      <c r="AO98" s="1">
        <f t="shared" si="59"/>
        <v>1</v>
      </c>
      <c r="AP98" s="1">
        <f t="shared" si="59"/>
        <v>1</v>
      </c>
      <c r="AQ98" s="1">
        <f t="shared" si="59"/>
        <v>1</v>
      </c>
      <c r="AR98" s="1">
        <f t="shared" si="59"/>
        <v>1</v>
      </c>
      <c r="AS98" s="1">
        <f t="shared" si="59"/>
        <v>1</v>
      </c>
      <c r="AT98" s="39">
        <f t="shared" si="25"/>
        <v>106926.02210697468</v>
      </c>
      <c r="AU98" s="39">
        <f t="shared" si="45"/>
        <v>106926.02210697468</v>
      </c>
      <c r="AV98" s="39">
        <f t="shared" si="58"/>
        <v>0</v>
      </c>
      <c r="AW98" s="3">
        <f t="shared" si="26"/>
        <v>24</v>
      </c>
      <c r="AX98" s="69">
        <f t="shared" si="46"/>
        <v>0</v>
      </c>
      <c r="AY98" s="75">
        <f t="shared" si="27"/>
        <v>0</v>
      </c>
      <c r="AZ98" s="75">
        <f t="shared" si="28"/>
        <v>0</v>
      </c>
      <c r="BA98" s="75">
        <f t="shared" si="29"/>
        <v>0</v>
      </c>
      <c r="BB98" s="75">
        <f t="shared" si="30"/>
        <v>0</v>
      </c>
      <c r="BD98" s="214">
        <f t="shared" si="47"/>
        <v>106583.58406520193</v>
      </c>
      <c r="BE98" s="214">
        <f t="shared" si="31"/>
        <v>518.80098487286193</v>
      </c>
      <c r="BF98" s="214">
        <f t="shared" si="48"/>
        <v>-176.36294310012377</v>
      </c>
      <c r="BG98" s="224">
        <f t="shared" si="54"/>
        <v>0</v>
      </c>
      <c r="BH98" s="19">
        <f t="shared" si="50"/>
        <v>110702.99028431623</v>
      </c>
      <c r="BI98" s="214">
        <f t="shared" si="32"/>
        <v>538.85240294358948</v>
      </c>
      <c r="BJ98" s="214">
        <f t="shared" si="33"/>
        <v>0</v>
      </c>
      <c r="BK98" s="19">
        <f t="shared" si="55"/>
        <v>0</v>
      </c>
    </row>
    <row r="99" spans="1:63">
      <c r="A99" s="165">
        <f t="shared" si="34"/>
        <v>64.056125941136202</v>
      </c>
      <c r="B99" s="69">
        <f t="shared" si="35"/>
        <v>3</v>
      </c>
      <c r="C99" s="70">
        <f t="shared" si="36"/>
        <v>25</v>
      </c>
      <c r="D99" s="13">
        <f t="shared" si="37"/>
        <v>4.8675505653430484E-3</v>
      </c>
      <c r="E99" s="15">
        <f t="shared" si="9"/>
        <v>1</v>
      </c>
      <c r="F99" s="15">
        <f t="shared" si="38"/>
        <v>0</v>
      </c>
      <c r="G99" s="15">
        <f t="shared" si="10"/>
        <v>0</v>
      </c>
      <c r="H99" s="73">
        <f t="shared" si="11"/>
        <v>0.03</v>
      </c>
      <c r="I99" s="189"/>
      <c r="J99" s="189"/>
      <c r="K99" s="5">
        <f t="shared" si="56"/>
        <v>106926.02210697468</v>
      </c>
      <c r="M99" s="5">
        <f t="shared" si="39"/>
        <v>520.46781935668787</v>
      </c>
      <c r="N99" s="5">
        <f t="shared" si="12"/>
        <v>-176.92957239305073</v>
      </c>
      <c r="O99" s="5">
        <f t="shared" si="13"/>
        <v>0</v>
      </c>
      <c r="P99" s="5">
        <f t="shared" si="14"/>
        <v>0</v>
      </c>
      <c r="Q99" s="5">
        <f t="shared" si="51"/>
        <v>0</v>
      </c>
      <c r="R99" s="5">
        <f t="shared" si="40"/>
        <v>0</v>
      </c>
      <c r="S99" s="5">
        <f t="shared" si="15"/>
        <v>0</v>
      </c>
      <c r="T99" s="5">
        <f t="shared" si="16"/>
        <v>0</v>
      </c>
      <c r="U99" s="74">
        <f t="shared" si="17"/>
        <v>0</v>
      </c>
      <c r="V99" s="75">
        <f t="shared" si="41"/>
        <v>0</v>
      </c>
      <c r="W99" s="5">
        <f t="shared" si="18"/>
        <v>0</v>
      </c>
      <c r="X99" s="5">
        <f t="shared" si="19"/>
        <v>107269.56035393832</v>
      </c>
      <c r="Y99" s="5">
        <f t="shared" si="42"/>
        <v>100000</v>
      </c>
      <c r="Z99" s="215">
        <f t="shared" si="20"/>
        <v>1</v>
      </c>
      <c r="AA99" s="216">
        <f t="shared" si="43"/>
        <v>0</v>
      </c>
      <c r="AB99" s="72">
        <f t="shared" si="52"/>
        <v>0</v>
      </c>
      <c r="AC99" s="72">
        <f t="shared" si="21"/>
        <v>0</v>
      </c>
      <c r="AD99" s="72">
        <f t="shared" si="22"/>
        <v>0</v>
      </c>
      <c r="AE99" s="72">
        <f t="shared" si="53"/>
        <v>-22.337646627640588</v>
      </c>
      <c r="AF99" s="70">
        <f t="shared" si="44"/>
        <v>3218.0868106181492</v>
      </c>
      <c r="AG99" s="70">
        <f t="shared" si="23"/>
        <v>1539.559946461665</v>
      </c>
      <c r="AH99" s="1">
        <f t="shared" si="59"/>
        <v>0</v>
      </c>
      <c r="AI99" s="1">
        <f t="shared" si="59"/>
        <v>0</v>
      </c>
      <c r="AJ99" s="1">
        <f t="shared" si="59"/>
        <v>1</v>
      </c>
      <c r="AK99" s="1">
        <f t="shared" si="59"/>
        <v>1</v>
      </c>
      <c r="AL99" s="1">
        <f t="shared" si="59"/>
        <v>1</v>
      </c>
      <c r="AM99" s="1">
        <f t="shared" si="59"/>
        <v>1</v>
      </c>
      <c r="AN99" s="1">
        <f t="shared" si="59"/>
        <v>1</v>
      </c>
      <c r="AO99" s="1">
        <f t="shared" si="59"/>
        <v>1</v>
      </c>
      <c r="AP99" s="1">
        <f t="shared" si="59"/>
        <v>1</v>
      </c>
      <c r="AQ99" s="1">
        <f t="shared" si="59"/>
        <v>1</v>
      </c>
      <c r="AR99" s="1">
        <f t="shared" si="59"/>
        <v>1</v>
      </c>
      <c r="AS99" s="1">
        <f t="shared" si="59"/>
        <v>1</v>
      </c>
      <c r="AT99" s="39">
        <f t="shared" si="25"/>
        <v>107269.56035393832</v>
      </c>
      <c r="AU99" s="39">
        <f t="shared" si="45"/>
        <v>107269.56035393832</v>
      </c>
      <c r="AV99" s="39">
        <f t="shared" si="58"/>
        <v>0</v>
      </c>
      <c r="AW99" s="3">
        <f t="shared" si="26"/>
        <v>25</v>
      </c>
      <c r="AX99" s="69">
        <f t="shared" si="46"/>
        <v>0</v>
      </c>
      <c r="AY99" s="75">
        <f t="shared" si="27"/>
        <v>0</v>
      </c>
      <c r="AZ99" s="75">
        <f t="shared" si="28"/>
        <v>0</v>
      </c>
      <c r="BA99" s="75">
        <f t="shared" si="29"/>
        <v>0</v>
      </c>
      <c r="BB99" s="75">
        <f t="shared" si="30"/>
        <v>0</v>
      </c>
      <c r="BD99" s="214">
        <f t="shared" si="47"/>
        <v>106926.02210697468</v>
      </c>
      <c r="BE99" s="214">
        <f t="shared" si="31"/>
        <v>520.46781935668787</v>
      </c>
      <c r="BF99" s="214">
        <f t="shared" si="48"/>
        <v>-176.92957239305073</v>
      </c>
      <c r="BG99" s="224">
        <f t="shared" si="54"/>
        <v>0</v>
      </c>
      <c r="BH99" s="19">
        <f t="shared" si="50"/>
        <v>111241.84268725982</v>
      </c>
      <c r="BI99" s="214">
        <f t="shared" si="32"/>
        <v>541.47529426217397</v>
      </c>
      <c r="BJ99" s="214">
        <f t="shared" si="33"/>
        <v>0</v>
      </c>
      <c r="BK99" s="19">
        <f t="shared" si="55"/>
        <v>0</v>
      </c>
    </row>
    <row r="100" spans="1:63">
      <c r="A100" s="165">
        <f t="shared" si="34"/>
        <v>64.139459274469544</v>
      </c>
      <c r="B100" s="69">
        <f t="shared" si="35"/>
        <v>3</v>
      </c>
      <c r="C100" s="70">
        <f t="shared" si="36"/>
        <v>26</v>
      </c>
      <c r="D100" s="13">
        <f t="shared" si="37"/>
        <v>4.8675505653430484E-3</v>
      </c>
      <c r="E100" s="15">
        <f t="shared" si="9"/>
        <v>1</v>
      </c>
      <c r="F100" s="15">
        <f t="shared" si="38"/>
        <v>0</v>
      </c>
      <c r="G100" s="15">
        <f t="shared" si="10"/>
        <v>0</v>
      </c>
      <c r="H100" s="73">
        <f t="shared" si="11"/>
        <v>0.03</v>
      </c>
      <c r="I100" s="189"/>
      <c r="J100" s="189"/>
      <c r="K100" s="5">
        <f t="shared" si="56"/>
        <v>107269.56035393832</v>
      </c>
      <c r="M100" s="5">
        <f t="shared" si="39"/>
        <v>522.14000914491271</v>
      </c>
      <c r="N100" s="5">
        <f t="shared" si="12"/>
        <v>-177.49802218607795</v>
      </c>
      <c r="O100" s="5">
        <f t="shared" si="13"/>
        <v>0</v>
      </c>
      <c r="P100" s="5">
        <f t="shared" si="14"/>
        <v>0</v>
      </c>
      <c r="Q100" s="5">
        <f t="shared" si="51"/>
        <v>0</v>
      </c>
      <c r="R100" s="5">
        <f t="shared" si="40"/>
        <v>0</v>
      </c>
      <c r="S100" s="5">
        <f t="shared" si="15"/>
        <v>0</v>
      </c>
      <c r="T100" s="5">
        <f t="shared" si="16"/>
        <v>0</v>
      </c>
      <c r="U100" s="74">
        <f t="shared" si="17"/>
        <v>0</v>
      </c>
      <c r="V100" s="75">
        <f t="shared" si="41"/>
        <v>0</v>
      </c>
      <c r="W100" s="5">
        <f t="shared" si="18"/>
        <v>0</v>
      </c>
      <c r="X100" s="5">
        <f t="shared" si="19"/>
        <v>107614.20234089716</v>
      </c>
      <c r="Y100" s="5">
        <f t="shared" si="42"/>
        <v>100000</v>
      </c>
      <c r="Z100" s="215">
        <f t="shared" si="20"/>
        <v>1</v>
      </c>
      <c r="AA100" s="216">
        <f t="shared" si="43"/>
        <v>0</v>
      </c>
      <c r="AB100" s="72">
        <f t="shared" si="52"/>
        <v>0</v>
      </c>
      <c r="AC100" s="72">
        <f t="shared" si="21"/>
        <v>0</v>
      </c>
      <c r="AD100" s="72">
        <f t="shared" si="22"/>
        <v>0</v>
      </c>
      <c r="AE100" s="72">
        <f t="shared" si="53"/>
        <v>-22.409414339676815</v>
      </c>
      <c r="AF100" s="70">
        <f t="shared" si="44"/>
        <v>3228.4260702269148</v>
      </c>
      <c r="AG100" s="70">
        <f t="shared" si="23"/>
        <v>1666.5949828546945</v>
      </c>
      <c r="AH100" s="1">
        <f t="shared" si="59"/>
        <v>0</v>
      </c>
      <c r="AI100" s="1">
        <f t="shared" si="59"/>
        <v>0</v>
      </c>
      <c r="AJ100" s="1">
        <f t="shared" si="59"/>
        <v>1</v>
      </c>
      <c r="AK100" s="1">
        <f t="shared" si="59"/>
        <v>1</v>
      </c>
      <c r="AL100" s="1">
        <f t="shared" si="59"/>
        <v>1</v>
      </c>
      <c r="AM100" s="1">
        <f t="shared" si="59"/>
        <v>1</v>
      </c>
      <c r="AN100" s="1">
        <f t="shared" si="59"/>
        <v>1</v>
      </c>
      <c r="AO100" s="1">
        <f t="shared" si="59"/>
        <v>1</v>
      </c>
      <c r="AP100" s="1">
        <f t="shared" si="59"/>
        <v>1</v>
      </c>
      <c r="AQ100" s="1">
        <f t="shared" si="59"/>
        <v>1</v>
      </c>
      <c r="AR100" s="1">
        <f t="shared" si="59"/>
        <v>1</v>
      </c>
      <c r="AS100" s="1">
        <f t="shared" si="59"/>
        <v>1</v>
      </c>
      <c r="AT100" s="39">
        <f t="shared" si="25"/>
        <v>107614.20234089716</v>
      </c>
      <c r="AU100" s="39">
        <f t="shared" si="45"/>
        <v>107614.20234089716</v>
      </c>
      <c r="AV100" s="39">
        <f t="shared" si="58"/>
        <v>0</v>
      </c>
      <c r="AW100" s="3">
        <f t="shared" si="26"/>
        <v>26</v>
      </c>
      <c r="AX100" s="69">
        <f t="shared" si="46"/>
        <v>0</v>
      </c>
      <c r="AY100" s="75">
        <f t="shared" si="27"/>
        <v>0</v>
      </c>
      <c r="AZ100" s="75">
        <f t="shared" si="28"/>
        <v>0</v>
      </c>
      <c r="BA100" s="75">
        <f t="shared" si="29"/>
        <v>0</v>
      </c>
      <c r="BB100" s="75">
        <f t="shared" si="30"/>
        <v>0</v>
      </c>
      <c r="BD100" s="214">
        <f t="shared" si="47"/>
        <v>107269.56035393832</v>
      </c>
      <c r="BE100" s="214">
        <f t="shared" si="31"/>
        <v>522.14000914491271</v>
      </c>
      <c r="BF100" s="214">
        <f t="shared" si="48"/>
        <v>-177.49802218607795</v>
      </c>
      <c r="BG100" s="224">
        <f t="shared" si="54"/>
        <v>0</v>
      </c>
      <c r="BH100" s="19">
        <f t="shared" si="50"/>
        <v>111783.31798152199</v>
      </c>
      <c r="BI100" s="214">
        <f t="shared" si="32"/>
        <v>544.11095263687912</v>
      </c>
      <c r="BJ100" s="214">
        <f t="shared" si="33"/>
        <v>0</v>
      </c>
      <c r="BK100" s="19">
        <f t="shared" si="55"/>
        <v>0</v>
      </c>
    </row>
    <row r="101" spans="1:63">
      <c r="A101" s="165">
        <f t="shared" si="34"/>
        <v>64.222792607802873</v>
      </c>
      <c r="B101" s="69">
        <f t="shared" si="35"/>
        <v>3</v>
      </c>
      <c r="C101" s="70">
        <f t="shared" si="36"/>
        <v>27</v>
      </c>
      <c r="D101" s="13">
        <f t="shared" si="37"/>
        <v>4.8675505653430484E-3</v>
      </c>
      <c r="E101" s="15">
        <f t="shared" si="9"/>
        <v>1</v>
      </c>
      <c r="F101" s="15">
        <f t="shared" si="38"/>
        <v>0</v>
      </c>
      <c r="G101" s="15">
        <f t="shared" si="10"/>
        <v>0</v>
      </c>
      <c r="H101" s="73">
        <f t="shared" si="11"/>
        <v>0.03</v>
      </c>
      <c r="I101" s="189"/>
      <c r="J101" s="189"/>
      <c r="K101" s="5">
        <f t="shared" si="56"/>
        <v>107614.20234089716</v>
      </c>
      <c r="M101" s="5">
        <f t="shared" si="39"/>
        <v>523.81757144337519</v>
      </c>
      <c r="N101" s="5">
        <f t="shared" si="12"/>
        <v>-178.06829832821589</v>
      </c>
      <c r="O101" s="5">
        <f t="shared" si="13"/>
        <v>0</v>
      </c>
      <c r="P101" s="5">
        <f t="shared" si="14"/>
        <v>0</v>
      </c>
      <c r="Q101" s="5">
        <f t="shared" si="51"/>
        <v>0</v>
      </c>
      <c r="R101" s="5">
        <f t="shared" si="40"/>
        <v>0</v>
      </c>
      <c r="S101" s="5">
        <f t="shared" si="15"/>
        <v>0</v>
      </c>
      <c r="T101" s="5">
        <f t="shared" si="16"/>
        <v>0</v>
      </c>
      <c r="U101" s="74">
        <f t="shared" si="17"/>
        <v>0</v>
      </c>
      <c r="V101" s="75">
        <f t="shared" si="41"/>
        <v>0</v>
      </c>
      <c r="W101" s="5">
        <f t="shared" si="18"/>
        <v>0</v>
      </c>
      <c r="X101" s="5">
        <f t="shared" si="19"/>
        <v>107959.95161401232</v>
      </c>
      <c r="Y101" s="5">
        <f t="shared" si="42"/>
        <v>100000</v>
      </c>
      <c r="Z101" s="215">
        <f t="shared" si="20"/>
        <v>1</v>
      </c>
      <c r="AA101" s="216">
        <f t="shared" si="43"/>
        <v>0</v>
      </c>
      <c r="AB101" s="72">
        <f t="shared" si="52"/>
        <v>0</v>
      </c>
      <c r="AC101" s="72">
        <f t="shared" si="21"/>
        <v>0</v>
      </c>
      <c r="AD101" s="72">
        <f t="shared" si="22"/>
        <v>0</v>
      </c>
      <c r="AE101" s="72">
        <f t="shared" si="53"/>
        <v>-22.481412631262309</v>
      </c>
      <c r="AF101" s="70">
        <f t="shared" si="44"/>
        <v>3238.7985484203696</v>
      </c>
      <c r="AG101" s="70">
        <f t="shared" si="23"/>
        <v>1794.0381649249405</v>
      </c>
      <c r="AH101" s="1">
        <f t="shared" si="59"/>
        <v>0</v>
      </c>
      <c r="AI101" s="1">
        <f t="shared" si="59"/>
        <v>0</v>
      </c>
      <c r="AJ101" s="1">
        <f t="shared" si="59"/>
        <v>1</v>
      </c>
      <c r="AK101" s="1">
        <f t="shared" si="59"/>
        <v>1</v>
      </c>
      <c r="AL101" s="1">
        <f t="shared" si="59"/>
        <v>1</v>
      </c>
      <c r="AM101" s="1">
        <f t="shared" si="59"/>
        <v>1</v>
      </c>
      <c r="AN101" s="1">
        <f t="shared" si="59"/>
        <v>1</v>
      </c>
      <c r="AO101" s="1">
        <f t="shared" si="59"/>
        <v>1</v>
      </c>
      <c r="AP101" s="1">
        <f t="shared" si="59"/>
        <v>1</v>
      </c>
      <c r="AQ101" s="1">
        <f t="shared" si="59"/>
        <v>1</v>
      </c>
      <c r="AR101" s="1">
        <f t="shared" si="59"/>
        <v>1</v>
      </c>
      <c r="AS101" s="1">
        <f t="shared" si="59"/>
        <v>1</v>
      </c>
      <c r="AT101" s="39">
        <f t="shared" si="25"/>
        <v>107959.95161401232</v>
      </c>
      <c r="AU101" s="39">
        <f t="shared" si="45"/>
        <v>107959.95161401232</v>
      </c>
      <c r="AV101" s="39">
        <f t="shared" si="58"/>
        <v>0</v>
      </c>
      <c r="AW101" s="3">
        <f t="shared" si="26"/>
        <v>27</v>
      </c>
      <c r="AX101" s="69">
        <f t="shared" si="46"/>
        <v>0</v>
      </c>
      <c r="AY101" s="75">
        <f t="shared" si="27"/>
        <v>0</v>
      </c>
      <c r="AZ101" s="75">
        <f t="shared" si="28"/>
        <v>0</v>
      </c>
      <c r="BA101" s="75">
        <f t="shared" si="29"/>
        <v>0</v>
      </c>
      <c r="BB101" s="75">
        <f t="shared" si="30"/>
        <v>0</v>
      </c>
      <c r="BD101" s="214">
        <f t="shared" si="47"/>
        <v>107614.20234089716</v>
      </c>
      <c r="BE101" s="214">
        <f t="shared" si="31"/>
        <v>523.81757144337519</v>
      </c>
      <c r="BF101" s="214">
        <f t="shared" si="48"/>
        <v>-178.06829832821589</v>
      </c>
      <c r="BG101" s="224">
        <f t="shared" si="54"/>
        <v>0</v>
      </c>
      <c r="BH101" s="19">
        <f t="shared" si="50"/>
        <v>112327.42893415887</v>
      </c>
      <c r="BI101" s="214">
        <f t="shared" si="32"/>
        <v>546.75944021199609</v>
      </c>
      <c r="BJ101" s="214">
        <f t="shared" si="33"/>
        <v>0</v>
      </c>
      <c r="BK101" s="19">
        <f t="shared" si="55"/>
        <v>0</v>
      </c>
    </row>
    <row r="102" spans="1:63">
      <c r="A102" s="165">
        <f t="shared" si="34"/>
        <v>64.306125941136202</v>
      </c>
      <c r="B102" s="69">
        <f t="shared" si="35"/>
        <v>3</v>
      </c>
      <c r="C102" s="70">
        <f t="shared" si="36"/>
        <v>28</v>
      </c>
      <c r="D102" s="13">
        <f t="shared" si="37"/>
        <v>4.8675505653430484E-3</v>
      </c>
      <c r="E102" s="15">
        <f t="shared" si="9"/>
        <v>1</v>
      </c>
      <c r="F102" s="15">
        <f t="shared" si="38"/>
        <v>0</v>
      </c>
      <c r="G102" s="15">
        <f t="shared" si="10"/>
        <v>0</v>
      </c>
      <c r="H102" s="73">
        <f t="shared" si="11"/>
        <v>0.03</v>
      </c>
      <c r="I102" s="189"/>
      <c r="J102" s="189"/>
      <c r="K102" s="5">
        <f t="shared" si="56"/>
        <v>107959.95161401232</v>
      </c>
      <c r="M102" s="5">
        <f t="shared" si="39"/>
        <v>525.5005235131938</v>
      </c>
      <c r="N102" s="5">
        <f t="shared" si="12"/>
        <v>-178.64040668726687</v>
      </c>
      <c r="O102" s="5">
        <f t="shared" si="13"/>
        <v>0</v>
      </c>
      <c r="P102" s="5">
        <f t="shared" si="14"/>
        <v>0</v>
      </c>
      <c r="Q102" s="5">
        <f t="shared" si="51"/>
        <v>0</v>
      </c>
      <c r="R102" s="5">
        <f t="shared" si="40"/>
        <v>0</v>
      </c>
      <c r="S102" s="5">
        <f t="shared" si="15"/>
        <v>0</v>
      </c>
      <c r="T102" s="5">
        <f t="shared" si="16"/>
        <v>0</v>
      </c>
      <c r="U102" s="74">
        <f t="shared" si="17"/>
        <v>0</v>
      </c>
      <c r="V102" s="75">
        <f t="shared" si="41"/>
        <v>0</v>
      </c>
      <c r="W102" s="5">
        <f t="shared" si="18"/>
        <v>0</v>
      </c>
      <c r="X102" s="5">
        <f t="shared" si="19"/>
        <v>108306.81173083825</v>
      </c>
      <c r="Y102" s="5">
        <f t="shared" si="42"/>
        <v>100000</v>
      </c>
      <c r="Z102" s="215">
        <f t="shared" si="20"/>
        <v>1</v>
      </c>
      <c r="AA102" s="216">
        <f t="shared" si="43"/>
        <v>0</v>
      </c>
      <c r="AB102" s="72">
        <f t="shared" si="52"/>
        <v>0</v>
      </c>
      <c r="AC102" s="72">
        <f t="shared" si="21"/>
        <v>0</v>
      </c>
      <c r="AD102" s="72">
        <f t="shared" si="22"/>
        <v>0</v>
      </c>
      <c r="AE102" s="72">
        <f t="shared" si="53"/>
        <v>-22.553642243216665</v>
      </c>
      <c r="AF102" s="70">
        <f t="shared" si="44"/>
        <v>3249.2043519251474</v>
      </c>
      <c r="AG102" s="70">
        <f t="shared" si="23"/>
        <v>1921.8908039869796</v>
      </c>
      <c r="AH102" s="1">
        <f t="shared" si="59"/>
        <v>0</v>
      </c>
      <c r="AI102" s="1">
        <f t="shared" si="59"/>
        <v>0</v>
      </c>
      <c r="AJ102" s="1">
        <f t="shared" si="59"/>
        <v>1</v>
      </c>
      <c r="AK102" s="1">
        <f t="shared" si="59"/>
        <v>1</v>
      </c>
      <c r="AL102" s="1">
        <f t="shared" si="59"/>
        <v>1</v>
      </c>
      <c r="AM102" s="1">
        <f t="shared" si="59"/>
        <v>1</v>
      </c>
      <c r="AN102" s="1">
        <f t="shared" si="59"/>
        <v>1</v>
      </c>
      <c r="AO102" s="1">
        <f t="shared" si="59"/>
        <v>1</v>
      </c>
      <c r="AP102" s="1">
        <f t="shared" si="59"/>
        <v>1</v>
      </c>
      <c r="AQ102" s="1">
        <f t="shared" si="59"/>
        <v>1</v>
      </c>
      <c r="AR102" s="1">
        <f t="shared" si="59"/>
        <v>1</v>
      </c>
      <c r="AS102" s="1">
        <f t="shared" si="59"/>
        <v>1</v>
      </c>
      <c r="AT102" s="39">
        <f t="shared" si="25"/>
        <v>108306.81173083825</v>
      </c>
      <c r="AU102" s="39">
        <f t="shared" si="45"/>
        <v>108306.81173083825</v>
      </c>
      <c r="AV102" s="39">
        <f t="shared" si="58"/>
        <v>0</v>
      </c>
      <c r="AW102" s="3">
        <f t="shared" si="26"/>
        <v>28</v>
      </c>
      <c r="AX102" s="69">
        <f t="shared" si="46"/>
        <v>0</v>
      </c>
      <c r="AY102" s="75">
        <f t="shared" si="27"/>
        <v>0</v>
      </c>
      <c r="AZ102" s="75">
        <f t="shared" si="28"/>
        <v>0</v>
      </c>
      <c r="BA102" s="75">
        <f t="shared" si="29"/>
        <v>0</v>
      </c>
      <c r="BB102" s="75">
        <f t="shared" si="30"/>
        <v>0</v>
      </c>
      <c r="BD102" s="214">
        <f t="shared" si="47"/>
        <v>107959.95161401232</v>
      </c>
      <c r="BE102" s="214">
        <f t="shared" si="31"/>
        <v>525.5005235131938</v>
      </c>
      <c r="BF102" s="214">
        <f t="shared" si="48"/>
        <v>-178.64040668726687</v>
      </c>
      <c r="BG102" s="224">
        <f t="shared" si="54"/>
        <v>0</v>
      </c>
      <c r="BH102" s="19">
        <f t="shared" si="50"/>
        <v>112874.18837437087</v>
      </c>
      <c r="BI102" s="214">
        <f t="shared" si="32"/>
        <v>549.42081943430674</v>
      </c>
      <c r="BJ102" s="214">
        <f t="shared" si="33"/>
        <v>0</v>
      </c>
      <c r="BK102" s="19">
        <f t="shared" si="55"/>
        <v>0</v>
      </c>
    </row>
    <row r="103" spans="1:63">
      <c r="A103" s="165">
        <f t="shared" si="34"/>
        <v>64.389459274469544</v>
      </c>
      <c r="B103" s="69">
        <f t="shared" si="35"/>
        <v>3</v>
      </c>
      <c r="C103" s="70">
        <f t="shared" si="36"/>
        <v>29</v>
      </c>
      <c r="D103" s="13">
        <f t="shared" si="37"/>
        <v>4.8675505653430484E-3</v>
      </c>
      <c r="E103" s="15">
        <f t="shared" si="9"/>
        <v>1</v>
      </c>
      <c r="F103" s="15">
        <f t="shared" si="38"/>
        <v>0</v>
      </c>
      <c r="G103" s="15">
        <f t="shared" si="10"/>
        <v>0</v>
      </c>
      <c r="H103" s="73">
        <f t="shared" si="11"/>
        <v>0.03</v>
      </c>
      <c r="I103" s="189"/>
      <c r="J103" s="189"/>
      <c r="K103" s="5">
        <f t="shared" si="56"/>
        <v>108306.81173083825</v>
      </c>
      <c r="M103" s="5">
        <f t="shared" si="39"/>
        <v>527.18888267094485</v>
      </c>
      <c r="N103" s="5">
        <f t="shared" si="12"/>
        <v>-179.21435314988588</v>
      </c>
      <c r="O103" s="5">
        <f t="shared" si="13"/>
        <v>0</v>
      </c>
      <c r="P103" s="5">
        <f t="shared" si="14"/>
        <v>0</v>
      </c>
      <c r="Q103" s="5">
        <f t="shared" si="51"/>
        <v>0</v>
      </c>
      <c r="R103" s="5">
        <f t="shared" si="40"/>
        <v>0</v>
      </c>
      <c r="S103" s="5">
        <f t="shared" si="15"/>
        <v>0</v>
      </c>
      <c r="T103" s="5">
        <f t="shared" si="16"/>
        <v>0</v>
      </c>
      <c r="U103" s="74">
        <f t="shared" si="17"/>
        <v>0</v>
      </c>
      <c r="V103" s="75">
        <f t="shared" si="41"/>
        <v>0</v>
      </c>
      <c r="W103" s="5">
        <f t="shared" si="18"/>
        <v>0</v>
      </c>
      <c r="X103" s="5">
        <f t="shared" si="19"/>
        <v>108654.78626035931</v>
      </c>
      <c r="Y103" s="5">
        <f t="shared" si="42"/>
        <v>100000</v>
      </c>
      <c r="Z103" s="215">
        <f t="shared" si="20"/>
        <v>1</v>
      </c>
      <c r="AA103" s="216">
        <f t="shared" si="43"/>
        <v>0</v>
      </c>
      <c r="AB103" s="72">
        <f t="shared" si="52"/>
        <v>0</v>
      </c>
      <c r="AC103" s="72">
        <f t="shared" si="21"/>
        <v>0</v>
      </c>
      <c r="AD103" s="72">
        <f t="shared" si="22"/>
        <v>0</v>
      </c>
      <c r="AE103" s="72">
        <f t="shared" si="53"/>
        <v>-22.626103918739659</v>
      </c>
      <c r="AF103" s="70">
        <f t="shared" si="44"/>
        <v>3259.6435878107791</v>
      </c>
      <c r="AG103" s="70">
        <f t="shared" si="23"/>
        <v>2050.1542155684438</v>
      </c>
      <c r="AH103" s="1">
        <f t="shared" si="59"/>
        <v>0</v>
      </c>
      <c r="AI103" s="1">
        <f t="shared" si="59"/>
        <v>0</v>
      </c>
      <c r="AJ103" s="1">
        <f t="shared" si="59"/>
        <v>1</v>
      </c>
      <c r="AK103" s="1">
        <f t="shared" si="59"/>
        <v>1</v>
      </c>
      <c r="AL103" s="1">
        <f t="shared" si="59"/>
        <v>1</v>
      </c>
      <c r="AM103" s="1">
        <f t="shared" si="59"/>
        <v>1</v>
      </c>
      <c r="AN103" s="1">
        <f t="shared" si="59"/>
        <v>1</v>
      </c>
      <c r="AO103" s="1">
        <f t="shared" si="59"/>
        <v>1</v>
      </c>
      <c r="AP103" s="1">
        <f t="shared" si="59"/>
        <v>1</v>
      </c>
      <c r="AQ103" s="1">
        <f t="shared" si="59"/>
        <v>1</v>
      </c>
      <c r="AR103" s="1">
        <f t="shared" si="59"/>
        <v>1</v>
      </c>
      <c r="AS103" s="1">
        <f t="shared" si="59"/>
        <v>1</v>
      </c>
      <c r="AT103" s="39">
        <f t="shared" si="25"/>
        <v>108654.78626035931</v>
      </c>
      <c r="AU103" s="39">
        <f t="shared" si="45"/>
        <v>108654.78626035931</v>
      </c>
      <c r="AV103" s="39">
        <f t="shared" si="58"/>
        <v>0</v>
      </c>
      <c r="AW103" s="3">
        <f t="shared" si="26"/>
        <v>29</v>
      </c>
      <c r="AX103" s="69">
        <f t="shared" si="46"/>
        <v>0</v>
      </c>
      <c r="AY103" s="75">
        <f t="shared" si="27"/>
        <v>0</v>
      </c>
      <c r="AZ103" s="75">
        <f t="shared" si="28"/>
        <v>0</v>
      </c>
      <c r="BA103" s="75">
        <f t="shared" si="29"/>
        <v>0</v>
      </c>
      <c r="BB103" s="75">
        <f t="shared" si="30"/>
        <v>0</v>
      </c>
      <c r="BD103" s="214">
        <f t="shared" si="47"/>
        <v>108306.81173083825</v>
      </c>
      <c r="BE103" s="214">
        <f t="shared" si="31"/>
        <v>527.18888267094485</v>
      </c>
      <c r="BF103" s="214">
        <f t="shared" si="48"/>
        <v>-179.21435314988588</v>
      </c>
      <c r="BG103" s="224">
        <f t="shared" si="54"/>
        <v>0</v>
      </c>
      <c r="BH103" s="19">
        <f t="shared" si="50"/>
        <v>113423.60919380518</v>
      </c>
      <c r="BI103" s="214">
        <f t="shared" si="32"/>
        <v>552.09515305455545</v>
      </c>
      <c r="BJ103" s="214">
        <f t="shared" si="33"/>
        <v>0</v>
      </c>
      <c r="BK103" s="19">
        <f t="shared" si="55"/>
        <v>0</v>
      </c>
    </row>
    <row r="104" spans="1:63">
      <c r="A104" s="165">
        <f t="shared" si="34"/>
        <v>64.472792607802873</v>
      </c>
      <c r="B104" s="69">
        <f t="shared" si="35"/>
        <v>3</v>
      </c>
      <c r="C104" s="70">
        <f t="shared" si="36"/>
        <v>30</v>
      </c>
      <c r="D104" s="13">
        <f t="shared" si="37"/>
        <v>4.8675505653430484E-3</v>
      </c>
      <c r="E104" s="15">
        <f t="shared" si="9"/>
        <v>1</v>
      </c>
      <c r="F104" s="15">
        <f t="shared" si="38"/>
        <v>0</v>
      </c>
      <c r="G104" s="15">
        <f t="shared" si="10"/>
        <v>0</v>
      </c>
      <c r="H104" s="73">
        <f t="shared" si="11"/>
        <v>0.03</v>
      </c>
      <c r="I104" s="189"/>
      <c r="J104" s="189"/>
      <c r="K104" s="5">
        <f t="shared" si="56"/>
        <v>108654.78626035931</v>
      </c>
      <c r="M104" s="5">
        <f t="shared" si="39"/>
        <v>528.88266628884003</v>
      </c>
      <c r="N104" s="5">
        <f t="shared" si="12"/>
        <v>-179.79014362164062</v>
      </c>
      <c r="O104" s="5">
        <f t="shared" si="13"/>
        <v>0</v>
      </c>
      <c r="P104" s="5">
        <f t="shared" si="14"/>
        <v>0</v>
      </c>
      <c r="Q104" s="5">
        <f t="shared" si="51"/>
        <v>0</v>
      </c>
      <c r="R104" s="5">
        <f t="shared" si="40"/>
        <v>0</v>
      </c>
      <c r="S104" s="5">
        <f t="shared" si="15"/>
        <v>0</v>
      </c>
      <c r="T104" s="5">
        <f t="shared" si="16"/>
        <v>0</v>
      </c>
      <c r="U104" s="74">
        <f t="shared" si="17"/>
        <v>0</v>
      </c>
      <c r="V104" s="75">
        <f t="shared" si="41"/>
        <v>0</v>
      </c>
      <c r="W104" s="5">
        <f t="shared" si="18"/>
        <v>0</v>
      </c>
      <c r="X104" s="5">
        <f t="shared" si="19"/>
        <v>109003.87878302652</v>
      </c>
      <c r="Y104" s="5">
        <f t="shared" si="42"/>
        <v>100000</v>
      </c>
      <c r="Z104" s="215">
        <f t="shared" si="20"/>
        <v>1</v>
      </c>
      <c r="AA104" s="216">
        <f t="shared" si="43"/>
        <v>0</v>
      </c>
      <c r="AB104" s="72">
        <f t="shared" si="52"/>
        <v>0</v>
      </c>
      <c r="AC104" s="72">
        <f t="shared" si="21"/>
        <v>0</v>
      </c>
      <c r="AD104" s="72">
        <f t="shared" si="22"/>
        <v>0</v>
      </c>
      <c r="AE104" s="72">
        <f t="shared" si="53"/>
        <v>-22.698798403418834</v>
      </c>
      <c r="AF104" s="70">
        <f t="shared" si="44"/>
        <v>3270.1163634907957</v>
      </c>
      <c r="AG104" s="70">
        <f t="shared" si="23"/>
        <v>2178.8297194235738</v>
      </c>
      <c r="AH104" s="1">
        <f t="shared" si="59"/>
        <v>0</v>
      </c>
      <c r="AI104" s="1">
        <f t="shared" si="59"/>
        <v>0</v>
      </c>
      <c r="AJ104" s="1">
        <f t="shared" si="59"/>
        <v>1</v>
      </c>
      <c r="AK104" s="1">
        <f t="shared" si="59"/>
        <v>1</v>
      </c>
      <c r="AL104" s="1">
        <f t="shared" si="59"/>
        <v>1</v>
      </c>
      <c r="AM104" s="1">
        <f t="shared" si="59"/>
        <v>1</v>
      </c>
      <c r="AN104" s="1">
        <f t="shared" si="59"/>
        <v>1</v>
      </c>
      <c r="AO104" s="1">
        <f t="shared" si="59"/>
        <v>1</v>
      </c>
      <c r="AP104" s="1">
        <f t="shared" si="59"/>
        <v>1</v>
      </c>
      <c r="AQ104" s="1">
        <f t="shared" si="59"/>
        <v>1</v>
      </c>
      <c r="AR104" s="1">
        <f t="shared" si="59"/>
        <v>1</v>
      </c>
      <c r="AS104" s="1">
        <f t="shared" si="59"/>
        <v>1</v>
      </c>
      <c r="AT104" s="39">
        <f t="shared" si="25"/>
        <v>109003.87878302652</v>
      </c>
      <c r="AU104" s="39">
        <f t="shared" si="45"/>
        <v>109003.87878302652</v>
      </c>
      <c r="AV104" s="39">
        <f t="shared" si="58"/>
        <v>0</v>
      </c>
      <c r="AW104" s="3">
        <f t="shared" si="26"/>
        <v>30</v>
      </c>
      <c r="AX104" s="69">
        <f t="shared" si="46"/>
        <v>0</v>
      </c>
      <c r="AY104" s="75">
        <f t="shared" si="27"/>
        <v>0</v>
      </c>
      <c r="AZ104" s="75">
        <f t="shared" si="28"/>
        <v>0</v>
      </c>
      <c r="BA104" s="75">
        <f t="shared" si="29"/>
        <v>0</v>
      </c>
      <c r="BB104" s="75">
        <f t="shared" si="30"/>
        <v>0</v>
      </c>
      <c r="BD104" s="214">
        <f t="shared" si="47"/>
        <v>108654.78626035931</v>
      </c>
      <c r="BE104" s="214">
        <f t="shared" si="31"/>
        <v>528.88266628884003</v>
      </c>
      <c r="BF104" s="214">
        <f t="shared" si="48"/>
        <v>-179.79014362164062</v>
      </c>
      <c r="BG104" s="224">
        <f t="shared" si="54"/>
        <v>0</v>
      </c>
      <c r="BH104" s="19">
        <f t="shared" si="50"/>
        <v>113975.70434685974</v>
      </c>
      <c r="BI104" s="214">
        <f t="shared" si="32"/>
        <v>554.7825041289293</v>
      </c>
      <c r="BJ104" s="214">
        <f t="shared" si="33"/>
        <v>0</v>
      </c>
      <c r="BK104" s="19">
        <f t="shared" si="55"/>
        <v>0</v>
      </c>
    </row>
    <row r="105" spans="1:63">
      <c r="A105" s="165">
        <f t="shared" si="34"/>
        <v>64.556125941136202</v>
      </c>
      <c r="B105" s="69">
        <f t="shared" si="35"/>
        <v>3</v>
      </c>
      <c r="C105" s="70">
        <f t="shared" si="36"/>
        <v>31</v>
      </c>
      <c r="D105" s="13">
        <f t="shared" si="37"/>
        <v>4.8675505653430484E-3</v>
      </c>
      <c r="E105" s="15">
        <f t="shared" si="9"/>
        <v>1</v>
      </c>
      <c r="F105" s="15">
        <f t="shared" si="38"/>
        <v>0</v>
      </c>
      <c r="G105" s="15">
        <f t="shared" si="10"/>
        <v>0</v>
      </c>
      <c r="H105" s="73">
        <f t="shared" si="11"/>
        <v>0.03</v>
      </c>
      <c r="I105" s="189"/>
      <c r="J105" s="189"/>
      <c r="K105" s="5">
        <f t="shared" si="56"/>
        <v>109003.87878302652</v>
      </c>
      <c r="M105" s="5">
        <f t="shared" si="39"/>
        <v>530.58189179490591</v>
      </c>
      <c r="N105" s="5">
        <f t="shared" si="12"/>
        <v>-180.36778402707276</v>
      </c>
      <c r="O105" s="5">
        <f t="shared" si="13"/>
        <v>0</v>
      </c>
      <c r="P105" s="5">
        <f t="shared" si="14"/>
        <v>0</v>
      </c>
      <c r="Q105" s="5">
        <f t="shared" si="51"/>
        <v>0</v>
      </c>
      <c r="R105" s="5">
        <f t="shared" si="40"/>
        <v>0</v>
      </c>
      <c r="S105" s="5">
        <f t="shared" si="15"/>
        <v>0</v>
      </c>
      <c r="T105" s="5">
        <f t="shared" si="16"/>
        <v>0</v>
      </c>
      <c r="U105" s="74">
        <f t="shared" si="17"/>
        <v>0</v>
      </c>
      <c r="V105" s="75">
        <f t="shared" si="41"/>
        <v>0</v>
      </c>
      <c r="W105" s="5">
        <f t="shared" si="18"/>
        <v>0</v>
      </c>
      <c r="X105" s="5">
        <f t="shared" si="19"/>
        <v>109354.09289079436</v>
      </c>
      <c r="Y105" s="5">
        <f t="shared" si="42"/>
        <v>100000</v>
      </c>
      <c r="Z105" s="215">
        <f t="shared" si="20"/>
        <v>1</v>
      </c>
      <c r="AA105" s="216">
        <f t="shared" si="43"/>
        <v>0</v>
      </c>
      <c r="AB105" s="72">
        <f t="shared" si="52"/>
        <v>0</v>
      </c>
      <c r="AC105" s="72">
        <f t="shared" si="21"/>
        <v>0</v>
      </c>
      <c r="AD105" s="72">
        <f t="shared" si="22"/>
        <v>0</v>
      </c>
      <c r="AE105" s="72">
        <f t="shared" si="53"/>
        <v>-22.771726445237228</v>
      </c>
      <c r="AF105" s="70">
        <f t="shared" si="44"/>
        <v>3280.6227867238308</v>
      </c>
      <c r="AG105" s="70">
        <f t="shared" si="23"/>
        <v>2307.9186395468</v>
      </c>
      <c r="AH105" s="1">
        <f t="shared" ref="AH105:AS114" si="60">IF($B105&lt;=AH$74,1,0)</f>
        <v>0</v>
      </c>
      <c r="AI105" s="1">
        <f t="shared" si="60"/>
        <v>0</v>
      </c>
      <c r="AJ105" s="1">
        <f t="shared" si="60"/>
        <v>1</v>
      </c>
      <c r="AK105" s="1">
        <f t="shared" si="60"/>
        <v>1</v>
      </c>
      <c r="AL105" s="1">
        <f t="shared" si="60"/>
        <v>1</v>
      </c>
      <c r="AM105" s="1">
        <f t="shared" si="60"/>
        <v>1</v>
      </c>
      <c r="AN105" s="1">
        <f t="shared" si="60"/>
        <v>1</v>
      </c>
      <c r="AO105" s="1">
        <f t="shared" si="60"/>
        <v>1</v>
      </c>
      <c r="AP105" s="1">
        <f t="shared" si="60"/>
        <v>1</v>
      </c>
      <c r="AQ105" s="1">
        <f t="shared" si="60"/>
        <v>1</v>
      </c>
      <c r="AR105" s="1">
        <f t="shared" si="60"/>
        <v>1</v>
      </c>
      <c r="AS105" s="1">
        <f t="shared" si="60"/>
        <v>1</v>
      </c>
      <c r="AT105" s="39">
        <f t="shared" si="25"/>
        <v>109354.09289079436</v>
      </c>
      <c r="AU105" s="39">
        <f t="shared" si="45"/>
        <v>109354.09289079436</v>
      </c>
      <c r="AV105" s="39">
        <f t="shared" si="58"/>
        <v>0</v>
      </c>
      <c r="AW105" s="3">
        <f t="shared" si="26"/>
        <v>31</v>
      </c>
      <c r="AX105" s="69">
        <f t="shared" si="46"/>
        <v>0</v>
      </c>
      <c r="AY105" s="75">
        <f t="shared" si="27"/>
        <v>0</v>
      </c>
      <c r="AZ105" s="75">
        <f t="shared" si="28"/>
        <v>0</v>
      </c>
      <c r="BA105" s="75">
        <f t="shared" si="29"/>
        <v>0</v>
      </c>
      <c r="BB105" s="75">
        <f t="shared" si="30"/>
        <v>0</v>
      </c>
      <c r="BD105" s="214">
        <f t="shared" si="47"/>
        <v>109003.87878302652</v>
      </c>
      <c r="BE105" s="214">
        <f t="shared" si="31"/>
        <v>530.58189179490591</v>
      </c>
      <c r="BF105" s="214">
        <f t="shared" si="48"/>
        <v>-180.36778402707276</v>
      </c>
      <c r="BG105" s="224">
        <f t="shared" si="54"/>
        <v>0</v>
      </c>
      <c r="BH105" s="19">
        <f t="shared" si="50"/>
        <v>114530.48685098867</v>
      </c>
      <c r="BI105" s="214">
        <f t="shared" si="32"/>
        <v>557.48293602054446</v>
      </c>
      <c r="BJ105" s="214">
        <f t="shared" si="33"/>
        <v>0</v>
      </c>
      <c r="BK105" s="19">
        <f t="shared" si="55"/>
        <v>0</v>
      </c>
    </row>
    <row r="106" spans="1:63">
      <c r="A106" s="165">
        <f t="shared" si="34"/>
        <v>64.639459274469544</v>
      </c>
      <c r="B106" s="69">
        <f t="shared" si="35"/>
        <v>3</v>
      </c>
      <c r="C106" s="70">
        <f t="shared" si="36"/>
        <v>32</v>
      </c>
      <c r="D106" s="13">
        <f t="shared" si="37"/>
        <v>4.8675505653430484E-3</v>
      </c>
      <c r="E106" s="15">
        <f t="shared" si="9"/>
        <v>1</v>
      </c>
      <c r="F106" s="15">
        <f t="shared" si="38"/>
        <v>0</v>
      </c>
      <c r="G106" s="15">
        <f t="shared" si="10"/>
        <v>0</v>
      </c>
      <c r="H106" s="73">
        <f t="shared" si="11"/>
        <v>0.03</v>
      </c>
      <c r="I106" s="189"/>
      <c r="J106" s="189"/>
      <c r="K106" s="5">
        <f t="shared" si="56"/>
        <v>109354.09289079436</v>
      </c>
      <c r="M106" s="5">
        <f t="shared" si="39"/>
        <v>532.28657667316236</v>
      </c>
      <c r="N106" s="5">
        <f t="shared" si="12"/>
        <v>-180.94728030975864</v>
      </c>
      <c r="O106" s="5">
        <f t="shared" si="13"/>
        <v>0</v>
      </c>
      <c r="P106" s="5">
        <f t="shared" si="14"/>
        <v>0</v>
      </c>
      <c r="Q106" s="5">
        <f t="shared" si="51"/>
        <v>0</v>
      </c>
      <c r="R106" s="5">
        <f t="shared" si="40"/>
        <v>0</v>
      </c>
      <c r="S106" s="5">
        <f t="shared" si="15"/>
        <v>0</v>
      </c>
      <c r="T106" s="5">
        <f t="shared" si="16"/>
        <v>0</v>
      </c>
      <c r="U106" s="74">
        <f t="shared" si="17"/>
        <v>0</v>
      </c>
      <c r="V106" s="75">
        <f t="shared" si="41"/>
        <v>0</v>
      </c>
      <c r="W106" s="5">
        <f t="shared" si="18"/>
        <v>0</v>
      </c>
      <c r="X106" s="5">
        <f t="shared" si="19"/>
        <v>109705.43218715776</v>
      </c>
      <c r="Y106" s="5">
        <f t="shared" si="42"/>
        <v>100000</v>
      </c>
      <c r="Z106" s="215">
        <f t="shared" si="20"/>
        <v>1</v>
      </c>
      <c r="AA106" s="216">
        <f t="shared" si="43"/>
        <v>0</v>
      </c>
      <c r="AB106" s="72">
        <f t="shared" si="52"/>
        <v>0</v>
      </c>
      <c r="AC106" s="72">
        <f t="shared" si="21"/>
        <v>0</v>
      </c>
      <c r="AD106" s="72">
        <f t="shared" si="22"/>
        <v>0</v>
      </c>
      <c r="AE106" s="72">
        <f t="shared" si="53"/>
        <v>-22.844888794581021</v>
      </c>
      <c r="AF106" s="70">
        <f t="shared" si="44"/>
        <v>3291.1629656147325</v>
      </c>
      <c r="AG106" s="70">
        <f t="shared" si="23"/>
        <v>2437.4223041863511</v>
      </c>
      <c r="AH106" s="1">
        <f t="shared" si="60"/>
        <v>0</v>
      </c>
      <c r="AI106" s="1">
        <f t="shared" si="60"/>
        <v>0</v>
      </c>
      <c r="AJ106" s="1">
        <f t="shared" si="60"/>
        <v>1</v>
      </c>
      <c r="AK106" s="1">
        <f t="shared" si="60"/>
        <v>1</v>
      </c>
      <c r="AL106" s="1">
        <f t="shared" si="60"/>
        <v>1</v>
      </c>
      <c r="AM106" s="1">
        <f t="shared" si="60"/>
        <v>1</v>
      </c>
      <c r="AN106" s="1">
        <f t="shared" si="60"/>
        <v>1</v>
      </c>
      <c r="AO106" s="1">
        <f t="shared" si="60"/>
        <v>1</v>
      </c>
      <c r="AP106" s="1">
        <f t="shared" si="60"/>
        <v>1</v>
      </c>
      <c r="AQ106" s="1">
        <f t="shared" si="60"/>
        <v>1</v>
      </c>
      <c r="AR106" s="1">
        <f t="shared" si="60"/>
        <v>1</v>
      </c>
      <c r="AS106" s="1">
        <f t="shared" si="60"/>
        <v>1</v>
      </c>
      <c r="AT106" s="39">
        <f t="shared" si="25"/>
        <v>109705.43218715776</v>
      </c>
      <c r="AU106" s="39">
        <f t="shared" si="45"/>
        <v>109705.43218715776</v>
      </c>
      <c r="AV106" s="39">
        <f t="shared" si="58"/>
        <v>0</v>
      </c>
      <c r="AW106" s="3">
        <f t="shared" si="26"/>
        <v>32</v>
      </c>
      <c r="AX106" s="69">
        <f t="shared" si="46"/>
        <v>0</v>
      </c>
      <c r="AY106" s="75">
        <f t="shared" si="27"/>
        <v>0</v>
      </c>
      <c r="AZ106" s="75">
        <f t="shared" si="28"/>
        <v>0</v>
      </c>
      <c r="BA106" s="75">
        <f t="shared" si="29"/>
        <v>0</v>
      </c>
      <c r="BB106" s="75">
        <f t="shared" si="30"/>
        <v>0</v>
      </c>
      <c r="BD106" s="214">
        <f t="shared" si="47"/>
        <v>109354.09289079436</v>
      </c>
      <c r="BE106" s="214">
        <f t="shared" si="31"/>
        <v>532.28657667316236</v>
      </c>
      <c r="BF106" s="214">
        <f t="shared" si="48"/>
        <v>-180.94728030975864</v>
      </c>
      <c r="BG106" s="224">
        <f t="shared" si="54"/>
        <v>0</v>
      </c>
      <c r="BH106" s="19">
        <f t="shared" si="50"/>
        <v>115087.96978700922</v>
      </c>
      <c r="BI106" s="214">
        <f t="shared" si="32"/>
        <v>560.19651240094038</v>
      </c>
      <c r="BJ106" s="214">
        <f t="shared" si="33"/>
        <v>0</v>
      </c>
      <c r="BK106" s="19">
        <f t="shared" si="55"/>
        <v>0</v>
      </c>
    </row>
    <row r="107" spans="1:63">
      <c r="A107" s="165">
        <f t="shared" si="34"/>
        <v>64.722792607802873</v>
      </c>
      <c r="B107" s="69">
        <f t="shared" si="35"/>
        <v>3</v>
      </c>
      <c r="C107" s="70">
        <f t="shared" si="36"/>
        <v>33</v>
      </c>
      <c r="D107" s="13">
        <f t="shared" si="37"/>
        <v>4.8675505653430484E-3</v>
      </c>
      <c r="E107" s="15">
        <f t="shared" si="9"/>
        <v>1</v>
      </c>
      <c r="F107" s="15">
        <f t="shared" si="38"/>
        <v>0</v>
      </c>
      <c r="G107" s="15">
        <f t="shared" si="10"/>
        <v>0</v>
      </c>
      <c r="H107" s="73">
        <f t="shared" si="11"/>
        <v>0.03</v>
      </c>
      <c r="I107" s="189"/>
      <c r="J107" s="189"/>
      <c r="K107" s="5">
        <f t="shared" si="56"/>
        <v>109705.43218715776</v>
      </c>
      <c r="M107" s="5">
        <f t="shared" si="39"/>
        <v>533.99673846380324</v>
      </c>
      <c r="N107" s="5">
        <f t="shared" si="12"/>
        <v>-181.52863843237037</v>
      </c>
      <c r="O107" s="5">
        <f t="shared" si="13"/>
        <v>0</v>
      </c>
      <c r="P107" s="5">
        <f t="shared" si="14"/>
        <v>0</v>
      </c>
      <c r="Q107" s="5">
        <f t="shared" si="51"/>
        <v>0</v>
      </c>
      <c r="R107" s="5">
        <f t="shared" si="40"/>
        <v>0</v>
      </c>
      <c r="S107" s="5">
        <f t="shared" si="15"/>
        <v>0</v>
      </c>
      <c r="T107" s="5">
        <f t="shared" si="16"/>
        <v>0</v>
      </c>
      <c r="U107" s="74">
        <f t="shared" si="17"/>
        <v>0</v>
      </c>
      <c r="V107" s="75">
        <f t="shared" si="41"/>
        <v>0</v>
      </c>
      <c r="W107" s="5">
        <f t="shared" si="18"/>
        <v>0</v>
      </c>
      <c r="X107" s="5">
        <f t="shared" si="19"/>
        <v>110057.90028718919</v>
      </c>
      <c r="Y107" s="5">
        <f t="shared" si="42"/>
        <v>100000</v>
      </c>
      <c r="Z107" s="215">
        <f t="shared" si="20"/>
        <v>1</v>
      </c>
      <c r="AA107" s="216">
        <f t="shared" si="43"/>
        <v>0</v>
      </c>
      <c r="AB107" s="72">
        <f t="shared" si="52"/>
        <v>0</v>
      </c>
      <c r="AC107" s="72">
        <f t="shared" si="21"/>
        <v>0</v>
      </c>
      <c r="AD107" s="72">
        <f t="shared" si="22"/>
        <v>0</v>
      </c>
      <c r="AE107" s="72">
        <f t="shared" si="53"/>
        <v>-22.918286204247281</v>
      </c>
      <c r="AF107" s="70">
        <f t="shared" si="44"/>
        <v>3301.7370086156757</v>
      </c>
      <c r="AG107" s="70">
        <f t="shared" si="23"/>
        <v>2567.3420458579349</v>
      </c>
      <c r="AH107" s="1">
        <f t="shared" si="60"/>
        <v>0</v>
      </c>
      <c r="AI107" s="1">
        <f t="shared" si="60"/>
        <v>0</v>
      </c>
      <c r="AJ107" s="1">
        <f t="shared" si="60"/>
        <v>1</v>
      </c>
      <c r="AK107" s="1">
        <f t="shared" si="60"/>
        <v>1</v>
      </c>
      <c r="AL107" s="1">
        <f t="shared" si="60"/>
        <v>1</v>
      </c>
      <c r="AM107" s="1">
        <f t="shared" si="60"/>
        <v>1</v>
      </c>
      <c r="AN107" s="1">
        <f t="shared" si="60"/>
        <v>1</v>
      </c>
      <c r="AO107" s="1">
        <f t="shared" si="60"/>
        <v>1</v>
      </c>
      <c r="AP107" s="1">
        <f t="shared" si="60"/>
        <v>1</v>
      </c>
      <c r="AQ107" s="1">
        <f t="shared" si="60"/>
        <v>1</v>
      </c>
      <c r="AR107" s="1">
        <f t="shared" si="60"/>
        <v>1</v>
      </c>
      <c r="AS107" s="1">
        <f t="shared" si="60"/>
        <v>1</v>
      </c>
      <c r="AT107" s="39">
        <f t="shared" si="25"/>
        <v>110057.90028718919</v>
      </c>
      <c r="AU107" s="39">
        <f t="shared" si="45"/>
        <v>110057.90028718919</v>
      </c>
      <c r="AV107" s="39">
        <f t="shared" si="58"/>
        <v>0</v>
      </c>
      <c r="AW107" s="3">
        <f t="shared" si="26"/>
        <v>33</v>
      </c>
      <c r="AX107" s="69">
        <f t="shared" si="46"/>
        <v>0</v>
      </c>
      <c r="AY107" s="75">
        <f t="shared" si="27"/>
        <v>0</v>
      </c>
      <c r="AZ107" s="75">
        <f t="shared" si="28"/>
        <v>0</v>
      </c>
      <c r="BA107" s="75">
        <f t="shared" si="29"/>
        <v>0</v>
      </c>
      <c r="BB107" s="75">
        <f t="shared" si="30"/>
        <v>0</v>
      </c>
      <c r="BD107" s="214">
        <f t="shared" si="47"/>
        <v>109705.43218715776</v>
      </c>
      <c r="BE107" s="214">
        <f t="shared" si="31"/>
        <v>533.99673846380324</v>
      </c>
      <c r="BF107" s="214">
        <f t="shared" si="48"/>
        <v>-181.52863843237037</v>
      </c>
      <c r="BG107" s="224">
        <f t="shared" si="54"/>
        <v>0</v>
      </c>
      <c r="BH107" s="19">
        <f t="shared" si="50"/>
        <v>115648.16629941016</v>
      </c>
      <c r="BI107" s="214">
        <f t="shared" si="32"/>
        <v>562.92329725158083</v>
      </c>
      <c r="BJ107" s="214">
        <f t="shared" si="33"/>
        <v>0</v>
      </c>
      <c r="BK107" s="19">
        <f t="shared" si="55"/>
        <v>0</v>
      </c>
    </row>
    <row r="108" spans="1:63">
      <c r="A108" s="165">
        <f t="shared" si="34"/>
        <v>64.806125941136202</v>
      </c>
      <c r="B108" s="69">
        <f t="shared" si="35"/>
        <v>3</v>
      </c>
      <c r="C108" s="70">
        <f t="shared" si="36"/>
        <v>34</v>
      </c>
      <c r="D108" s="13">
        <f t="shared" si="37"/>
        <v>4.8675505653430484E-3</v>
      </c>
      <c r="E108" s="15">
        <f t="shared" si="9"/>
        <v>1</v>
      </c>
      <c r="F108" s="15">
        <f t="shared" si="38"/>
        <v>0</v>
      </c>
      <c r="G108" s="15">
        <f t="shared" si="10"/>
        <v>0</v>
      </c>
      <c r="H108" s="73">
        <f t="shared" si="11"/>
        <v>0.03</v>
      </c>
      <c r="I108" s="189"/>
      <c r="J108" s="189"/>
      <c r="K108" s="5">
        <f t="shared" si="56"/>
        <v>110057.90028718919</v>
      </c>
      <c r="M108" s="5">
        <f t="shared" si="39"/>
        <v>535.71239476337655</v>
      </c>
      <c r="N108" s="5">
        <f t="shared" si="12"/>
        <v>-182.1118643767374</v>
      </c>
      <c r="O108" s="5">
        <f t="shared" si="13"/>
        <v>0</v>
      </c>
      <c r="P108" s="5">
        <f t="shared" si="14"/>
        <v>0</v>
      </c>
      <c r="Q108" s="5">
        <f t="shared" si="51"/>
        <v>0</v>
      </c>
      <c r="R108" s="5">
        <f t="shared" si="40"/>
        <v>0</v>
      </c>
      <c r="S108" s="5">
        <f t="shared" si="15"/>
        <v>0</v>
      </c>
      <c r="T108" s="5">
        <f t="shared" si="16"/>
        <v>0</v>
      </c>
      <c r="U108" s="74">
        <f t="shared" si="17"/>
        <v>0</v>
      </c>
      <c r="V108" s="75">
        <f t="shared" si="41"/>
        <v>0</v>
      </c>
      <c r="W108" s="5">
        <f t="shared" si="18"/>
        <v>0</v>
      </c>
      <c r="X108" s="5">
        <f t="shared" si="19"/>
        <v>110411.50081757583</v>
      </c>
      <c r="Y108" s="5">
        <f t="shared" si="42"/>
        <v>100000</v>
      </c>
      <c r="Z108" s="215">
        <f t="shared" si="20"/>
        <v>1</v>
      </c>
      <c r="AA108" s="216">
        <f t="shared" si="43"/>
        <v>0</v>
      </c>
      <c r="AB108" s="72">
        <f t="shared" si="52"/>
        <v>0</v>
      </c>
      <c r="AC108" s="72">
        <f t="shared" si="21"/>
        <v>0</v>
      </c>
      <c r="AD108" s="72">
        <f t="shared" si="22"/>
        <v>0</v>
      </c>
      <c r="AE108" s="72">
        <f t="shared" si="53"/>
        <v>-22.991919429451723</v>
      </c>
      <c r="AF108" s="70">
        <f t="shared" si="44"/>
        <v>3312.3450245272747</v>
      </c>
      <c r="AG108" s="70">
        <f t="shared" si="23"/>
        <v>2697.6792013584518</v>
      </c>
      <c r="AH108" s="1">
        <f t="shared" si="60"/>
        <v>0</v>
      </c>
      <c r="AI108" s="1">
        <f t="shared" si="60"/>
        <v>0</v>
      </c>
      <c r="AJ108" s="1">
        <f t="shared" si="60"/>
        <v>1</v>
      </c>
      <c r="AK108" s="1">
        <f t="shared" si="60"/>
        <v>1</v>
      </c>
      <c r="AL108" s="1">
        <f t="shared" si="60"/>
        <v>1</v>
      </c>
      <c r="AM108" s="1">
        <f t="shared" si="60"/>
        <v>1</v>
      </c>
      <c r="AN108" s="1">
        <f t="shared" si="60"/>
        <v>1</v>
      </c>
      <c r="AO108" s="1">
        <f t="shared" si="60"/>
        <v>1</v>
      </c>
      <c r="AP108" s="1">
        <f t="shared" si="60"/>
        <v>1</v>
      </c>
      <c r="AQ108" s="1">
        <f t="shared" si="60"/>
        <v>1</v>
      </c>
      <c r="AR108" s="1">
        <f t="shared" si="60"/>
        <v>1</v>
      </c>
      <c r="AS108" s="1">
        <f t="shared" si="60"/>
        <v>1</v>
      </c>
      <c r="AT108" s="39">
        <f t="shared" si="25"/>
        <v>110411.50081757583</v>
      </c>
      <c r="AU108" s="39">
        <f t="shared" si="45"/>
        <v>110411.50081757583</v>
      </c>
      <c r="AV108" s="39">
        <f t="shared" si="58"/>
        <v>0</v>
      </c>
      <c r="AW108" s="3">
        <f t="shared" si="26"/>
        <v>34</v>
      </c>
      <c r="AX108" s="69">
        <f t="shared" si="46"/>
        <v>0</v>
      </c>
      <c r="AY108" s="75">
        <f t="shared" si="27"/>
        <v>0</v>
      </c>
      <c r="AZ108" s="75">
        <f t="shared" si="28"/>
        <v>0</v>
      </c>
      <c r="BA108" s="75">
        <f t="shared" si="29"/>
        <v>0</v>
      </c>
      <c r="BB108" s="75">
        <f t="shared" si="30"/>
        <v>0</v>
      </c>
      <c r="BD108" s="214">
        <f t="shared" si="47"/>
        <v>110057.90028718919</v>
      </c>
      <c r="BE108" s="214">
        <f t="shared" si="31"/>
        <v>535.71239476337655</v>
      </c>
      <c r="BF108" s="214">
        <f t="shared" si="48"/>
        <v>-182.1118643767374</v>
      </c>
      <c r="BG108" s="224">
        <f t="shared" si="54"/>
        <v>0</v>
      </c>
      <c r="BH108" s="19">
        <f t="shared" si="50"/>
        <v>116211.08959666174</v>
      </c>
      <c r="BI108" s="214">
        <f t="shared" si="32"/>
        <v>565.66335486536252</v>
      </c>
      <c r="BJ108" s="214">
        <f t="shared" si="33"/>
        <v>0</v>
      </c>
      <c r="BK108" s="19">
        <f t="shared" si="55"/>
        <v>0</v>
      </c>
    </row>
    <row r="109" spans="1:63">
      <c r="A109" s="165">
        <f t="shared" si="34"/>
        <v>64.889459274469544</v>
      </c>
      <c r="B109" s="69">
        <f t="shared" si="35"/>
        <v>3</v>
      </c>
      <c r="C109" s="70">
        <f t="shared" si="36"/>
        <v>35</v>
      </c>
      <c r="D109" s="13">
        <f t="shared" si="37"/>
        <v>4.8675505653430484E-3</v>
      </c>
      <c r="E109" s="15">
        <f t="shared" si="9"/>
        <v>1</v>
      </c>
      <c r="F109" s="15">
        <f t="shared" si="38"/>
        <v>0</v>
      </c>
      <c r="G109" s="15">
        <f t="shared" si="10"/>
        <v>0</v>
      </c>
      <c r="H109" s="73">
        <f t="shared" si="11"/>
        <v>0.03</v>
      </c>
      <c r="I109" s="189"/>
      <c r="J109" s="189"/>
      <c r="K109" s="5">
        <f t="shared" si="56"/>
        <v>110411.50081757583</v>
      </c>
      <c r="M109" s="5">
        <f t="shared" si="39"/>
        <v>537.43356322496572</v>
      </c>
      <c r="N109" s="5">
        <f t="shared" si="12"/>
        <v>-182.69696414390796</v>
      </c>
      <c r="O109" s="5">
        <f t="shared" si="13"/>
        <v>0</v>
      </c>
      <c r="P109" s="5">
        <f t="shared" si="14"/>
        <v>0</v>
      </c>
      <c r="Q109" s="5">
        <f t="shared" si="51"/>
        <v>0</v>
      </c>
      <c r="R109" s="5">
        <f t="shared" si="40"/>
        <v>0</v>
      </c>
      <c r="S109" s="5">
        <f t="shared" si="15"/>
        <v>0</v>
      </c>
      <c r="T109" s="5">
        <f t="shared" si="16"/>
        <v>0</v>
      </c>
      <c r="U109" s="74">
        <f t="shared" si="17"/>
        <v>0</v>
      </c>
      <c r="V109" s="75">
        <f t="shared" si="41"/>
        <v>0</v>
      </c>
      <c r="W109" s="5">
        <f t="shared" si="18"/>
        <v>0</v>
      </c>
      <c r="X109" s="5">
        <f t="shared" si="19"/>
        <v>110766.23741665689</v>
      </c>
      <c r="Y109" s="5">
        <f t="shared" si="42"/>
        <v>100000</v>
      </c>
      <c r="Z109" s="215">
        <f t="shared" si="20"/>
        <v>1</v>
      </c>
      <c r="AA109" s="216">
        <f t="shared" si="43"/>
        <v>0</v>
      </c>
      <c r="AB109" s="72">
        <f t="shared" si="52"/>
        <v>0</v>
      </c>
      <c r="AC109" s="72">
        <f t="shared" si="21"/>
        <v>0</v>
      </c>
      <c r="AD109" s="72">
        <f t="shared" si="22"/>
        <v>0</v>
      </c>
      <c r="AE109" s="72">
        <f t="shared" si="53"/>
        <v>-23.065789227836447</v>
      </c>
      <c r="AF109" s="70">
        <f t="shared" si="44"/>
        <v>3322.9871224997064</v>
      </c>
      <c r="AG109" s="70">
        <f t="shared" si="23"/>
        <v>2828.4351117797314</v>
      </c>
      <c r="AH109" s="1">
        <f t="shared" si="60"/>
        <v>0</v>
      </c>
      <c r="AI109" s="1">
        <f t="shared" si="60"/>
        <v>0</v>
      </c>
      <c r="AJ109" s="1">
        <f t="shared" si="60"/>
        <v>1</v>
      </c>
      <c r="AK109" s="1">
        <f t="shared" si="60"/>
        <v>1</v>
      </c>
      <c r="AL109" s="1">
        <f t="shared" si="60"/>
        <v>1</v>
      </c>
      <c r="AM109" s="1">
        <f t="shared" si="60"/>
        <v>1</v>
      </c>
      <c r="AN109" s="1">
        <f t="shared" si="60"/>
        <v>1</v>
      </c>
      <c r="AO109" s="1">
        <f t="shared" si="60"/>
        <v>1</v>
      </c>
      <c r="AP109" s="1">
        <f t="shared" si="60"/>
        <v>1</v>
      </c>
      <c r="AQ109" s="1">
        <f t="shared" si="60"/>
        <v>1</v>
      </c>
      <c r="AR109" s="1">
        <f t="shared" si="60"/>
        <v>1</v>
      </c>
      <c r="AS109" s="1">
        <f t="shared" si="60"/>
        <v>1</v>
      </c>
      <c r="AT109" s="39">
        <f t="shared" si="25"/>
        <v>110766.23741665689</v>
      </c>
      <c r="AU109" s="39">
        <f t="shared" si="45"/>
        <v>110766.23741665689</v>
      </c>
      <c r="AV109" s="39">
        <f t="shared" si="58"/>
        <v>0</v>
      </c>
      <c r="AW109" s="3">
        <f t="shared" si="26"/>
        <v>35</v>
      </c>
      <c r="AX109" s="69">
        <f t="shared" si="46"/>
        <v>0</v>
      </c>
      <c r="AY109" s="75">
        <f t="shared" si="27"/>
        <v>0</v>
      </c>
      <c r="AZ109" s="75">
        <f t="shared" si="28"/>
        <v>0</v>
      </c>
      <c r="BA109" s="75">
        <f t="shared" si="29"/>
        <v>0</v>
      </c>
      <c r="BB109" s="75">
        <f t="shared" si="30"/>
        <v>0</v>
      </c>
      <c r="BD109" s="214">
        <f t="shared" si="47"/>
        <v>110411.50081757583</v>
      </c>
      <c r="BE109" s="214">
        <f t="shared" si="31"/>
        <v>537.43356322496572</v>
      </c>
      <c r="BF109" s="214">
        <f t="shared" si="48"/>
        <v>-182.69696414390796</v>
      </c>
      <c r="BG109" s="224">
        <f t="shared" si="54"/>
        <v>0</v>
      </c>
      <c r="BH109" s="19">
        <f t="shared" si="50"/>
        <v>116776.7529515271</v>
      </c>
      <c r="BI109" s="214">
        <f t="shared" si="32"/>
        <v>568.41674984813119</v>
      </c>
      <c r="BJ109" s="214">
        <f t="shared" si="33"/>
        <v>0</v>
      </c>
      <c r="BK109" s="19">
        <f t="shared" si="55"/>
        <v>0</v>
      </c>
    </row>
    <row r="110" spans="1:63">
      <c r="A110" s="165">
        <f t="shared" si="34"/>
        <v>64.972792607802873</v>
      </c>
      <c r="B110" s="69">
        <f t="shared" si="35"/>
        <v>3</v>
      </c>
      <c r="C110" s="70">
        <f t="shared" si="36"/>
        <v>36</v>
      </c>
      <c r="D110" s="13">
        <f t="shared" si="37"/>
        <v>4.8675505653430484E-3</v>
      </c>
      <c r="E110" s="15">
        <f t="shared" si="9"/>
        <v>1</v>
      </c>
      <c r="F110" s="15">
        <f t="shared" si="38"/>
        <v>0</v>
      </c>
      <c r="G110" s="15">
        <f t="shared" si="10"/>
        <v>0</v>
      </c>
      <c r="H110" s="73">
        <f t="shared" si="11"/>
        <v>0.03</v>
      </c>
      <c r="I110" s="189"/>
      <c r="J110" s="189"/>
      <c r="K110" s="5">
        <f t="shared" si="56"/>
        <v>110766.23741665689</v>
      </c>
      <c r="M110" s="5">
        <f t="shared" si="39"/>
        <v>539.16026155837062</v>
      </c>
      <c r="N110" s="5">
        <f t="shared" si="12"/>
        <v>-183.28394375421072</v>
      </c>
      <c r="O110" s="5">
        <f t="shared" si="13"/>
        <v>0</v>
      </c>
      <c r="P110" s="5">
        <f t="shared" si="14"/>
        <v>0</v>
      </c>
      <c r="Q110" s="5">
        <f t="shared" si="51"/>
        <v>0</v>
      </c>
      <c r="R110" s="5">
        <f t="shared" si="40"/>
        <v>0</v>
      </c>
      <c r="S110" s="5">
        <f t="shared" si="15"/>
        <v>0</v>
      </c>
      <c r="T110" s="5">
        <f t="shared" si="16"/>
        <v>0</v>
      </c>
      <c r="U110" s="74">
        <f t="shared" si="17"/>
        <v>0</v>
      </c>
      <c r="V110" s="75">
        <f t="shared" si="41"/>
        <v>0</v>
      </c>
      <c r="W110" s="5">
        <f t="shared" si="18"/>
        <v>0</v>
      </c>
      <c r="X110" s="5">
        <f t="shared" si="19"/>
        <v>111122.11373446105</v>
      </c>
      <c r="Y110" s="5">
        <f t="shared" si="42"/>
        <v>100000</v>
      </c>
      <c r="Z110" s="215">
        <f t="shared" si="20"/>
        <v>1</v>
      </c>
      <c r="AA110" s="216">
        <f t="shared" si="43"/>
        <v>0</v>
      </c>
      <c r="AB110" s="72">
        <f t="shared" si="52"/>
        <v>0</v>
      </c>
      <c r="AC110" s="72">
        <f t="shared" si="21"/>
        <v>0</v>
      </c>
      <c r="AD110" s="72">
        <f t="shared" si="22"/>
        <v>0</v>
      </c>
      <c r="AE110" s="72">
        <f t="shared" si="53"/>
        <v>-23.139896359477763</v>
      </c>
      <c r="AF110" s="70">
        <f t="shared" si="44"/>
        <v>3333.6634120338313</v>
      </c>
      <c r="AG110" s="70">
        <f t="shared" si="23"/>
        <v>2959.6111225223435</v>
      </c>
      <c r="AH110" s="1">
        <f t="shared" si="60"/>
        <v>0</v>
      </c>
      <c r="AI110" s="1">
        <f t="shared" si="60"/>
        <v>0</v>
      </c>
      <c r="AJ110" s="1">
        <f t="shared" si="60"/>
        <v>1</v>
      </c>
      <c r="AK110" s="1">
        <f t="shared" si="60"/>
        <v>1</v>
      </c>
      <c r="AL110" s="1">
        <f t="shared" si="60"/>
        <v>1</v>
      </c>
      <c r="AM110" s="1">
        <f t="shared" si="60"/>
        <v>1</v>
      </c>
      <c r="AN110" s="1">
        <f t="shared" si="60"/>
        <v>1</v>
      </c>
      <c r="AO110" s="1">
        <f t="shared" si="60"/>
        <v>1</v>
      </c>
      <c r="AP110" s="1">
        <f t="shared" si="60"/>
        <v>1</v>
      </c>
      <c r="AQ110" s="1">
        <f t="shared" si="60"/>
        <v>1</v>
      </c>
      <c r="AR110" s="1">
        <f t="shared" si="60"/>
        <v>1</v>
      </c>
      <c r="AS110" s="1">
        <f t="shared" si="60"/>
        <v>1</v>
      </c>
      <c r="AT110" s="39">
        <f t="shared" si="25"/>
        <v>111122.11373446105</v>
      </c>
      <c r="AU110" s="39">
        <f t="shared" si="45"/>
        <v>111122.11373446105</v>
      </c>
      <c r="AV110" s="39">
        <f t="shared" si="58"/>
        <v>0</v>
      </c>
      <c r="AW110" s="3">
        <f t="shared" si="26"/>
        <v>36</v>
      </c>
      <c r="AX110" s="69">
        <f t="shared" si="46"/>
        <v>0</v>
      </c>
      <c r="AY110" s="75">
        <f t="shared" si="27"/>
        <v>0</v>
      </c>
      <c r="AZ110" s="75">
        <f t="shared" si="28"/>
        <v>0</v>
      </c>
      <c r="BA110" s="75">
        <f t="shared" si="29"/>
        <v>0</v>
      </c>
      <c r="BB110" s="75">
        <f t="shared" si="30"/>
        <v>0</v>
      </c>
      <c r="BD110" s="214">
        <f t="shared" si="47"/>
        <v>110766.23741665689</v>
      </c>
      <c r="BE110" s="214">
        <f t="shared" si="31"/>
        <v>539.16026155837062</v>
      </c>
      <c r="BF110" s="214">
        <f t="shared" si="48"/>
        <v>-183.28394375421072</v>
      </c>
      <c r="BG110" s="224">
        <f t="shared" si="54"/>
        <v>0</v>
      </c>
      <c r="BH110" s="19">
        <f t="shared" si="50"/>
        <v>117345.16970137523</v>
      </c>
      <c r="BI110" s="214">
        <f t="shared" si="32"/>
        <v>571.18354712020493</v>
      </c>
      <c r="BJ110" s="214">
        <f t="shared" si="33"/>
        <v>0</v>
      </c>
      <c r="BK110" s="19">
        <f t="shared" si="55"/>
        <v>0</v>
      </c>
    </row>
    <row r="111" spans="1:63">
      <c r="A111" s="165">
        <f t="shared" si="34"/>
        <v>65.056125941136202</v>
      </c>
      <c r="B111" s="69">
        <f t="shared" si="35"/>
        <v>4</v>
      </c>
      <c r="C111" s="70">
        <f t="shared" si="36"/>
        <v>37</v>
      </c>
      <c r="D111" s="13">
        <f t="shared" si="37"/>
        <v>4.8675505653430484E-3</v>
      </c>
      <c r="E111" s="15">
        <f t="shared" si="9"/>
        <v>1</v>
      </c>
      <c r="F111" s="15">
        <f t="shared" si="38"/>
        <v>0</v>
      </c>
      <c r="G111" s="15">
        <f t="shared" si="10"/>
        <v>0</v>
      </c>
      <c r="H111" s="73">
        <f t="shared" si="11"/>
        <v>0.02</v>
      </c>
      <c r="I111" s="189"/>
      <c r="J111" s="189"/>
      <c r="K111" s="5">
        <f t="shared" si="56"/>
        <v>111122.11373446105</v>
      </c>
      <c r="M111" s="5">
        <f t="shared" si="39"/>
        <v>540.89250753029035</v>
      </c>
      <c r="N111" s="5">
        <f t="shared" si="12"/>
        <v>-183.87280924731689</v>
      </c>
      <c r="O111" s="5">
        <f t="shared" si="13"/>
        <v>0</v>
      </c>
      <c r="P111" s="5">
        <f t="shared" si="14"/>
        <v>0</v>
      </c>
      <c r="Q111" s="5">
        <f t="shared" si="51"/>
        <v>0</v>
      </c>
      <c r="R111" s="5">
        <f t="shared" si="40"/>
        <v>0</v>
      </c>
      <c r="S111" s="5">
        <f t="shared" si="15"/>
        <v>0</v>
      </c>
      <c r="T111" s="5">
        <f t="shared" si="16"/>
        <v>0</v>
      </c>
      <c r="U111" s="74">
        <f t="shared" si="17"/>
        <v>0</v>
      </c>
      <c r="V111" s="75">
        <f t="shared" si="41"/>
        <v>0</v>
      </c>
      <c r="W111" s="5">
        <f t="shared" si="18"/>
        <v>0</v>
      </c>
      <c r="X111" s="5">
        <f t="shared" si="19"/>
        <v>111479.13343274401</v>
      </c>
      <c r="Y111" s="5">
        <f t="shared" si="42"/>
        <v>100000</v>
      </c>
      <c r="Z111" s="215">
        <f t="shared" si="20"/>
        <v>1</v>
      </c>
      <c r="AA111" s="216">
        <f t="shared" si="43"/>
        <v>0</v>
      </c>
      <c r="AB111" s="72">
        <f t="shared" si="52"/>
        <v>0</v>
      </c>
      <c r="AC111" s="72">
        <f t="shared" si="21"/>
        <v>0</v>
      </c>
      <c r="AD111" s="72">
        <f t="shared" si="22"/>
        <v>0</v>
      </c>
      <c r="AE111" s="72">
        <f t="shared" si="53"/>
        <v>-23.214241586893987</v>
      </c>
      <c r="AF111" s="70">
        <f t="shared" si="44"/>
        <v>2229.5826686548803</v>
      </c>
      <c r="AG111" s="70">
        <f t="shared" si="23"/>
        <v>3514.8292903538695</v>
      </c>
      <c r="AH111" s="1">
        <f t="shared" si="60"/>
        <v>0</v>
      </c>
      <c r="AI111" s="1">
        <f t="shared" si="60"/>
        <v>0</v>
      </c>
      <c r="AJ111" s="1">
        <f t="shared" si="60"/>
        <v>0</v>
      </c>
      <c r="AK111" s="1">
        <f t="shared" si="60"/>
        <v>1</v>
      </c>
      <c r="AL111" s="1">
        <f t="shared" si="60"/>
        <v>1</v>
      </c>
      <c r="AM111" s="1">
        <f t="shared" si="60"/>
        <v>1</v>
      </c>
      <c r="AN111" s="1">
        <f t="shared" si="60"/>
        <v>1</v>
      </c>
      <c r="AO111" s="1">
        <f t="shared" si="60"/>
        <v>1</v>
      </c>
      <c r="AP111" s="1">
        <f t="shared" si="60"/>
        <v>1</v>
      </c>
      <c r="AQ111" s="1">
        <f t="shared" si="60"/>
        <v>1</v>
      </c>
      <c r="AR111" s="1">
        <f t="shared" si="60"/>
        <v>1</v>
      </c>
      <c r="AS111" s="1">
        <f t="shared" si="60"/>
        <v>1</v>
      </c>
      <c r="AT111" s="39">
        <f t="shared" si="25"/>
        <v>111479.13343274401</v>
      </c>
      <c r="AU111" s="39">
        <f t="shared" si="45"/>
        <v>111479.13343274401</v>
      </c>
      <c r="AV111" s="39">
        <f t="shared" si="58"/>
        <v>0</v>
      </c>
      <c r="AW111" s="3">
        <f t="shared" si="26"/>
        <v>37</v>
      </c>
      <c r="AX111" s="69">
        <f t="shared" si="46"/>
        <v>0</v>
      </c>
      <c r="AY111" s="75">
        <f t="shared" si="27"/>
        <v>0</v>
      </c>
      <c r="AZ111" s="75">
        <f t="shared" si="28"/>
        <v>0</v>
      </c>
      <c r="BA111" s="75">
        <f t="shared" si="29"/>
        <v>0</v>
      </c>
      <c r="BB111" s="75">
        <f t="shared" si="30"/>
        <v>0</v>
      </c>
      <c r="BD111" s="214">
        <f t="shared" si="47"/>
        <v>111122.11373446105</v>
      </c>
      <c r="BE111" s="214">
        <f t="shared" si="31"/>
        <v>540.89250753029035</v>
      </c>
      <c r="BF111" s="214">
        <f t="shared" si="48"/>
        <v>-183.87280924731689</v>
      </c>
      <c r="BG111" s="224">
        <f t="shared" si="54"/>
        <v>0</v>
      </c>
      <c r="BH111" s="19">
        <f t="shared" si="50"/>
        <v>117916.35324849543</v>
      </c>
      <c r="BI111" s="214">
        <f t="shared" si="32"/>
        <v>573.96381191790454</v>
      </c>
      <c r="BJ111" s="214">
        <f t="shared" si="33"/>
        <v>0</v>
      </c>
      <c r="BK111" s="19">
        <f t="shared" si="55"/>
        <v>0</v>
      </c>
    </row>
    <row r="112" spans="1:63">
      <c r="A112" s="165">
        <f t="shared" si="34"/>
        <v>65.139459274469544</v>
      </c>
      <c r="B112" s="69">
        <f t="shared" si="35"/>
        <v>4</v>
      </c>
      <c r="C112" s="70">
        <f t="shared" si="36"/>
        <v>38</v>
      </c>
      <c r="D112" s="13">
        <f t="shared" si="37"/>
        <v>4.8675505653430484E-3</v>
      </c>
      <c r="E112" s="15">
        <f t="shared" si="9"/>
        <v>1</v>
      </c>
      <c r="F112" s="15">
        <f t="shared" si="38"/>
        <v>0</v>
      </c>
      <c r="G112" s="15">
        <f t="shared" si="10"/>
        <v>0</v>
      </c>
      <c r="H112" s="73">
        <f t="shared" si="11"/>
        <v>0.02</v>
      </c>
      <c r="I112" s="189"/>
      <c r="J112" s="189"/>
      <c r="K112" s="5">
        <f t="shared" si="56"/>
        <v>111479.13343274401</v>
      </c>
      <c r="M112" s="5">
        <f t="shared" si="39"/>
        <v>542.63031896450627</v>
      </c>
      <c r="N112" s="5">
        <f t="shared" si="12"/>
        <v>-184.46356668230223</v>
      </c>
      <c r="O112" s="5">
        <f t="shared" si="13"/>
        <v>0</v>
      </c>
      <c r="P112" s="5">
        <f t="shared" si="14"/>
        <v>0</v>
      </c>
      <c r="Q112" s="5">
        <f t="shared" si="51"/>
        <v>0</v>
      </c>
      <c r="R112" s="5">
        <f t="shared" si="40"/>
        <v>0</v>
      </c>
      <c r="S112" s="5">
        <f t="shared" si="15"/>
        <v>0</v>
      </c>
      <c r="T112" s="5">
        <f t="shared" si="16"/>
        <v>0</v>
      </c>
      <c r="U112" s="74">
        <f t="shared" si="17"/>
        <v>0</v>
      </c>
      <c r="V112" s="75">
        <f t="shared" si="41"/>
        <v>0</v>
      </c>
      <c r="W112" s="5">
        <f t="shared" si="18"/>
        <v>0</v>
      </c>
      <c r="X112" s="5">
        <f t="shared" si="19"/>
        <v>111837.30018502622</v>
      </c>
      <c r="Y112" s="5">
        <f t="shared" si="42"/>
        <v>100000</v>
      </c>
      <c r="Z112" s="215">
        <f t="shared" si="20"/>
        <v>1</v>
      </c>
      <c r="AA112" s="216">
        <f t="shared" si="43"/>
        <v>0</v>
      </c>
      <c r="AB112" s="72">
        <f t="shared" si="52"/>
        <v>0</v>
      </c>
      <c r="AC112" s="72">
        <f t="shared" si="21"/>
        <v>0</v>
      </c>
      <c r="AD112" s="72">
        <f t="shared" si="22"/>
        <v>0</v>
      </c>
      <c r="AE112" s="72">
        <f t="shared" si="53"/>
        <v>-23.288825675053307</v>
      </c>
      <c r="AF112" s="70">
        <f t="shared" si="44"/>
        <v>2236.7460037005244</v>
      </c>
      <c r="AG112" s="70">
        <f t="shared" si="23"/>
        <v>3648.2105889037662</v>
      </c>
      <c r="AH112" s="1">
        <f t="shared" si="60"/>
        <v>0</v>
      </c>
      <c r="AI112" s="1">
        <f t="shared" si="60"/>
        <v>0</v>
      </c>
      <c r="AJ112" s="1">
        <f t="shared" si="60"/>
        <v>0</v>
      </c>
      <c r="AK112" s="1">
        <f t="shared" si="60"/>
        <v>1</v>
      </c>
      <c r="AL112" s="1">
        <f t="shared" si="60"/>
        <v>1</v>
      </c>
      <c r="AM112" s="1">
        <f t="shared" si="60"/>
        <v>1</v>
      </c>
      <c r="AN112" s="1">
        <f t="shared" si="60"/>
        <v>1</v>
      </c>
      <c r="AO112" s="1">
        <f t="shared" si="60"/>
        <v>1</v>
      </c>
      <c r="AP112" s="1">
        <f t="shared" si="60"/>
        <v>1</v>
      </c>
      <c r="AQ112" s="1">
        <f t="shared" si="60"/>
        <v>1</v>
      </c>
      <c r="AR112" s="1">
        <f t="shared" si="60"/>
        <v>1</v>
      </c>
      <c r="AS112" s="1">
        <f t="shared" si="60"/>
        <v>1</v>
      </c>
      <c r="AT112" s="39">
        <f t="shared" si="25"/>
        <v>111837.30018502622</v>
      </c>
      <c r="AU112" s="39">
        <f t="shared" si="45"/>
        <v>111837.30018502622</v>
      </c>
      <c r="AV112" s="39">
        <f t="shared" si="58"/>
        <v>0</v>
      </c>
      <c r="AW112" s="3">
        <f t="shared" si="26"/>
        <v>38</v>
      </c>
      <c r="AX112" s="69">
        <f t="shared" si="46"/>
        <v>0</v>
      </c>
      <c r="AY112" s="75">
        <f t="shared" si="27"/>
        <v>0</v>
      </c>
      <c r="AZ112" s="75">
        <f t="shared" si="28"/>
        <v>0</v>
      </c>
      <c r="BA112" s="75">
        <f t="shared" si="29"/>
        <v>0</v>
      </c>
      <c r="BB112" s="75">
        <f t="shared" si="30"/>
        <v>0</v>
      </c>
      <c r="BD112" s="214">
        <f t="shared" si="47"/>
        <v>111479.13343274401</v>
      </c>
      <c r="BE112" s="214">
        <f t="shared" si="31"/>
        <v>542.63031896450627</v>
      </c>
      <c r="BF112" s="214">
        <f t="shared" si="48"/>
        <v>-184.46356668230223</v>
      </c>
      <c r="BG112" s="224">
        <f t="shared" si="54"/>
        <v>0</v>
      </c>
      <c r="BH112" s="19">
        <f t="shared" si="50"/>
        <v>118490.31706041333</v>
      </c>
      <c r="BI112" s="214">
        <f t="shared" si="32"/>
        <v>576.75760979509198</v>
      </c>
      <c r="BJ112" s="214">
        <f t="shared" si="33"/>
        <v>0</v>
      </c>
      <c r="BK112" s="19">
        <f t="shared" si="55"/>
        <v>0</v>
      </c>
    </row>
    <row r="113" spans="1:63">
      <c r="A113" s="165">
        <f t="shared" si="34"/>
        <v>65.222792607802873</v>
      </c>
      <c r="B113" s="69">
        <f t="shared" si="35"/>
        <v>4</v>
      </c>
      <c r="C113" s="70">
        <f t="shared" si="36"/>
        <v>39</v>
      </c>
      <c r="D113" s="13">
        <f t="shared" si="37"/>
        <v>4.8675505653430484E-3</v>
      </c>
      <c r="E113" s="15">
        <f t="shared" si="9"/>
        <v>1</v>
      </c>
      <c r="F113" s="15">
        <f t="shared" si="38"/>
        <v>0</v>
      </c>
      <c r="G113" s="15">
        <f t="shared" si="10"/>
        <v>0</v>
      </c>
      <c r="H113" s="73">
        <f t="shared" si="11"/>
        <v>0.02</v>
      </c>
      <c r="I113" s="189"/>
      <c r="J113" s="189"/>
      <c r="K113" s="5">
        <f t="shared" si="56"/>
        <v>111837.30018502622</v>
      </c>
      <c r="M113" s="5">
        <f t="shared" si="39"/>
        <v>544.37371374206464</v>
      </c>
      <c r="N113" s="5">
        <f t="shared" si="12"/>
        <v>-185.05622213770951</v>
      </c>
      <c r="O113" s="5">
        <f t="shared" si="13"/>
        <v>0</v>
      </c>
      <c r="P113" s="5">
        <f t="shared" si="14"/>
        <v>0</v>
      </c>
      <c r="Q113" s="5">
        <f t="shared" si="51"/>
        <v>0</v>
      </c>
      <c r="R113" s="5">
        <f t="shared" si="40"/>
        <v>0</v>
      </c>
      <c r="S113" s="5">
        <f t="shared" si="15"/>
        <v>0</v>
      </c>
      <c r="T113" s="5">
        <f t="shared" si="16"/>
        <v>0</v>
      </c>
      <c r="U113" s="74">
        <f t="shared" si="17"/>
        <v>0</v>
      </c>
      <c r="V113" s="75">
        <f t="shared" si="41"/>
        <v>0</v>
      </c>
      <c r="W113" s="5">
        <f t="shared" si="18"/>
        <v>0</v>
      </c>
      <c r="X113" s="5">
        <f t="shared" si="19"/>
        <v>112196.61767663059</v>
      </c>
      <c r="Y113" s="5">
        <f t="shared" si="42"/>
        <v>100000</v>
      </c>
      <c r="Z113" s="215">
        <f t="shared" si="20"/>
        <v>1</v>
      </c>
      <c r="AA113" s="216">
        <f t="shared" si="43"/>
        <v>0</v>
      </c>
      <c r="AB113" s="72">
        <f t="shared" si="52"/>
        <v>0</v>
      </c>
      <c r="AC113" s="72">
        <f t="shared" si="21"/>
        <v>0</v>
      </c>
      <c r="AD113" s="72">
        <f t="shared" si="22"/>
        <v>0</v>
      </c>
      <c r="AE113" s="72">
        <f t="shared" si="53"/>
        <v>-23.363649391381642</v>
      </c>
      <c r="AF113" s="70">
        <f t="shared" si="44"/>
        <v>2243.9323535326116</v>
      </c>
      <c r="AG113" s="70">
        <f t="shared" si="23"/>
        <v>3782.020422777231</v>
      </c>
      <c r="AH113" s="1">
        <f t="shared" si="60"/>
        <v>0</v>
      </c>
      <c r="AI113" s="1">
        <f t="shared" si="60"/>
        <v>0</v>
      </c>
      <c r="AJ113" s="1">
        <f t="shared" si="60"/>
        <v>0</v>
      </c>
      <c r="AK113" s="1">
        <f t="shared" si="60"/>
        <v>1</v>
      </c>
      <c r="AL113" s="1">
        <f t="shared" si="60"/>
        <v>1</v>
      </c>
      <c r="AM113" s="1">
        <f t="shared" si="60"/>
        <v>1</v>
      </c>
      <c r="AN113" s="1">
        <f t="shared" si="60"/>
        <v>1</v>
      </c>
      <c r="AO113" s="1">
        <f t="shared" si="60"/>
        <v>1</v>
      </c>
      <c r="AP113" s="1">
        <f t="shared" si="60"/>
        <v>1</v>
      </c>
      <c r="AQ113" s="1">
        <f t="shared" si="60"/>
        <v>1</v>
      </c>
      <c r="AR113" s="1">
        <f t="shared" si="60"/>
        <v>1</v>
      </c>
      <c r="AS113" s="1">
        <f t="shared" si="60"/>
        <v>1</v>
      </c>
      <c r="AT113" s="39">
        <f t="shared" si="25"/>
        <v>112196.61767663059</v>
      </c>
      <c r="AU113" s="39">
        <f t="shared" si="45"/>
        <v>112196.61767663059</v>
      </c>
      <c r="AV113" s="39">
        <f t="shared" si="58"/>
        <v>0</v>
      </c>
      <c r="AW113" s="3">
        <f t="shared" si="26"/>
        <v>39</v>
      </c>
      <c r="AX113" s="69">
        <f t="shared" si="46"/>
        <v>0</v>
      </c>
      <c r="AY113" s="75">
        <f t="shared" si="27"/>
        <v>0</v>
      </c>
      <c r="AZ113" s="75">
        <f t="shared" si="28"/>
        <v>0</v>
      </c>
      <c r="BA113" s="75">
        <f t="shared" si="29"/>
        <v>0</v>
      </c>
      <c r="BB113" s="75">
        <f t="shared" si="30"/>
        <v>0</v>
      </c>
      <c r="BD113" s="214">
        <f t="shared" si="47"/>
        <v>111837.30018502622</v>
      </c>
      <c r="BE113" s="214">
        <f t="shared" si="31"/>
        <v>544.37371374206464</v>
      </c>
      <c r="BF113" s="214">
        <f t="shared" si="48"/>
        <v>-185.05622213770951</v>
      </c>
      <c r="BG113" s="224">
        <f t="shared" si="54"/>
        <v>0</v>
      </c>
      <c r="BH113" s="19">
        <f t="shared" si="50"/>
        <v>119067.07467020843</v>
      </c>
      <c r="BI113" s="214">
        <f t="shared" si="32"/>
        <v>579.56500662471603</v>
      </c>
      <c r="BJ113" s="214">
        <f t="shared" si="33"/>
        <v>0</v>
      </c>
      <c r="BK113" s="19">
        <f t="shared" si="55"/>
        <v>0</v>
      </c>
    </row>
    <row r="114" spans="1:63">
      <c r="A114" s="165">
        <f t="shared" si="34"/>
        <v>65.306125941136202</v>
      </c>
      <c r="B114" s="69">
        <f t="shared" si="35"/>
        <v>4</v>
      </c>
      <c r="C114" s="70">
        <f t="shared" si="36"/>
        <v>40</v>
      </c>
      <c r="D114" s="13">
        <f t="shared" si="37"/>
        <v>4.8675505653430484E-3</v>
      </c>
      <c r="E114" s="15">
        <f t="shared" si="9"/>
        <v>1</v>
      </c>
      <c r="F114" s="15">
        <f t="shared" si="38"/>
        <v>0</v>
      </c>
      <c r="G114" s="15">
        <f t="shared" si="10"/>
        <v>0</v>
      </c>
      <c r="H114" s="73">
        <f t="shared" si="11"/>
        <v>0.02</v>
      </c>
      <c r="I114" s="189"/>
      <c r="J114" s="189"/>
      <c r="K114" s="5">
        <f t="shared" si="56"/>
        <v>112196.61767663059</v>
      </c>
      <c r="M114" s="5">
        <f t="shared" si="39"/>
        <v>546.12270980146104</v>
      </c>
      <c r="N114" s="5">
        <f t="shared" si="12"/>
        <v>-185.65078171161099</v>
      </c>
      <c r="O114" s="5">
        <f t="shared" si="13"/>
        <v>0</v>
      </c>
      <c r="P114" s="5">
        <f t="shared" si="14"/>
        <v>0</v>
      </c>
      <c r="Q114" s="5">
        <f t="shared" si="51"/>
        <v>0</v>
      </c>
      <c r="R114" s="5">
        <f t="shared" si="40"/>
        <v>0</v>
      </c>
      <c r="S114" s="5">
        <f t="shared" si="15"/>
        <v>0</v>
      </c>
      <c r="T114" s="5">
        <f t="shared" si="16"/>
        <v>0</v>
      </c>
      <c r="U114" s="74">
        <f t="shared" si="17"/>
        <v>0</v>
      </c>
      <c r="V114" s="75">
        <f t="shared" si="41"/>
        <v>0</v>
      </c>
      <c r="W114" s="5">
        <f t="shared" si="18"/>
        <v>0</v>
      </c>
      <c r="X114" s="5">
        <f t="shared" si="19"/>
        <v>112557.08960472044</v>
      </c>
      <c r="Y114" s="5">
        <f t="shared" si="42"/>
        <v>100000</v>
      </c>
      <c r="Z114" s="215">
        <f t="shared" si="20"/>
        <v>1</v>
      </c>
      <c r="AA114" s="216">
        <f t="shared" si="43"/>
        <v>0</v>
      </c>
      <c r="AB114" s="72">
        <f t="shared" si="52"/>
        <v>0</v>
      </c>
      <c r="AC114" s="72">
        <f t="shared" si="21"/>
        <v>0</v>
      </c>
      <c r="AD114" s="72">
        <f t="shared" si="22"/>
        <v>0</v>
      </c>
      <c r="AE114" s="72">
        <f t="shared" si="53"/>
        <v>-23.438713505770544</v>
      </c>
      <c r="AF114" s="70">
        <f t="shared" si="44"/>
        <v>2251.1417920944091</v>
      </c>
      <c r="AG114" s="70">
        <f t="shared" si="23"/>
        <v>3916.260168797894</v>
      </c>
      <c r="AH114" s="1">
        <f t="shared" si="60"/>
        <v>0</v>
      </c>
      <c r="AI114" s="1">
        <f t="shared" si="60"/>
        <v>0</v>
      </c>
      <c r="AJ114" s="1">
        <f t="shared" si="60"/>
        <v>0</v>
      </c>
      <c r="AK114" s="1">
        <f t="shared" si="60"/>
        <v>1</v>
      </c>
      <c r="AL114" s="1">
        <f t="shared" si="60"/>
        <v>1</v>
      </c>
      <c r="AM114" s="1">
        <f t="shared" si="60"/>
        <v>1</v>
      </c>
      <c r="AN114" s="1">
        <f t="shared" si="60"/>
        <v>1</v>
      </c>
      <c r="AO114" s="1">
        <f t="shared" si="60"/>
        <v>1</v>
      </c>
      <c r="AP114" s="1">
        <f t="shared" si="60"/>
        <v>1</v>
      </c>
      <c r="AQ114" s="1">
        <f t="shared" si="60"/>
        <v>1</v>
      </c>
      <c r="AR114" s="1">
        <f t="shared" si="60"/>
        <v>1</v>
      </c>
      <c r="AS114" s="1">
        <f t="shared" si="60"/>
        <v>1</v>
      </c>
      <c r="AT114" s="39">
        <f t="shared" si="25"/>
        <v>112557.08960472044</v>
      </c>
      <c r="AU114" s="39">
        <f t="shared" si="45"/>
        <v>112557.08960472044</v>
      </c>
      <c r="AV114" s="39">
        <f t="shared" si="58"/>
        <v>0</v>
      </c>
      <c r="AW114" s="3">
        <f t="shared" si="26"/>
        <v>40</v>
      </c>
      <c r="AX114" s="69">
        <f t="shared" si="46"/>
        <v>0</v>
      </c>
      <c r="AY114" s="75">
        <f t="shared" si="27"/>
        <v>0</v>
      </c>
      <c r="AZ114" s="75">
        <f t="shared" si="28"/>
        <v>0</v>
      </c>
      <c r="BA114" s="75">
        <f t="shared" si="29"/>
        <v>0</v>
      </c>
      <c r="BB114" s="75">
        <f t="shared" si="30"/>
        <v>0</v>
      </c>
      <c r="BD114" s="214">
        <f t="shared" si="47"/>
        <v>112196.61767663059</v>
      </c>
      <c r="BE114" s="214">
        <f t="shared" si="31"/>
        <v>546.12270980146104</v>
      </c>
      <c r="BF114" s="214">
        <f t="shared" si="48"/>
        <v>-185.65078171161099</v>
      </c>
      <c r="BG114" s="224">
        <f t="shared" si="54"/>
        <v>0</v>
      </c>
      <c r="BH114" s="19">
        <f t="shared" si="50"/>
        <v>119646.63967683315</v>
      </c>
      <c r="BI114" s="214">
        <f t="shared" si="32"/>
        <v>582.38606860036521</v>
      </c>
      <c r="BJ114" s="214">
        <f t="shared" si="33"/>
        <v>0</v>
      </c>
      <c r="BK114" s="19">
        <f t="shared" si="55"/>
        <v>0</v>
      </c>
    </row>
    <row r="115" spans="1:63">
      <c r="A115" s="165">
        <f t="shared" si="34"/>
        <v>65.389459274469544</v>
      </c>
      <c r="B115" s="69">
        <f t="shared" si="35"/>
        <v>4</v>
      </c>
      <c r="C115" s="70">
        <f t="shared" si="36"/>
        <v>41</v>
      </c>
      <c r="D115" s="13">
        <f t="shared" si="37"/>
        <v>4.8675505653430484E-3</v>
      </c>
      <c r="E115" s="15">
        <f t="shared" si="9"/>
        <v>1</v>
      </c>
      <c r="F115" s="15">
        <f t="shared" si="38"/>
        <v>0</v>
      </c>
      <c r="G115" s="15">
        <f t="shared" si="10"/>
        <v>0</v>
      </c>
      <c r="H115" s="73">
        <f t="shared" si="11"/>
        <v>0.02</v>
      </c>
      <c r="I115" s="189"/>
      <c r="J115" s="189"/>
      <c r="K115" s="5">
        <f t="shared" si="56"/>
        <v>112557.08960472044</v>
      </c>
      <c r="M115" s="5">
        <f t="shared" si="39"/>
        <v>547.8773251388252</v>
      </c>
      <c r="N115" s="5">
        <f t="shared" si="12"/>
        <v>-186.24725152167119</v>
      </c>
      <c r="O115" s="5">
        <f t="shared" si="13"/>
        <v>0</v>
      </c>
      <c r="P115" s="5">
        <f t="shared" si="14"/>
        <v>0</v>
      </c>
      <c r="Q115" s="5">
        <f t="shared" si="51"/>
        <v>0</v>
      </c>
      <c r="R115" s="5">
        <f t="shared" si="40"/>
        <v>0</v>
      </c>
      <c r="S115" s="5">
        <f t="shared" si="15"/>
        <v>0</v>
      </c>
      <c r="T115" s="5">
        <f t="shared" si="16"/>
        <v>0</v>
      </c>
      <c r="U115" s="74">
        <f t="shared" si="17"/>
        <v>0</v>
      </c>
      <c r="V115" s="75">
        <f t="shared" si="41"/>
        <v>0</v>
      </c>
      <c r="W115" s="5">
        <f t="shared" si="18"/>
        <v>0</v>
      </c>
      <c r="X115" s="5">
        <f t="shared" si="19"/>
        <v>112918.7196783376</v>
      </c>
      <c r="Y115" s="5">
        <f t="shared" si="42"/>
        <v>100000</v>
      </c>
      <c r="Z115" s="215">
        <f t="shared" si="20"/>
        <v>1</v>
      </c>
      <c r="AA115" s="216">
        <f t="shared" si="43"/>
        <v>0</v>
      </c>
      <c r="AB115" s="72">
        <f t="shared" si="52"/>
        <v>0</v>
      </c>
      <c r="AC115" s="72">
        <f t="shared" si="21"/>
        <v>0</v>
      </c>
      <c r="AD115" s="72">
        <f t="shared" si="22"/>
        <v>0</v>
      </c>
      <c r="AE115" s="72">
        <f t="shared" si="53"/>
        <v>-23.514018790585123</v>
      </c>
      <c r="AF115" s="70">
        <f t="shared" si="44"/>
        <v>2258.3743935667521</v>
      </c>
      <c r="AG115" s="70">
        <f t="shared" si="23"/>
        <v>4050.931208212919</v>
      </c>
      <c r="AH115" s="1">
        <f t="shared" ref="AH115:AS124" si="61">IF($B115&lt;=AH$74,1,0)</f>
        <v>0</v>
      </c>
      <c r="AI115" s="1">
        <f t="shared" si="61"/>
        <v>0</v>
      </c>
      <c r="AJ115" s="1">
        <f t="shared" si="61"/>
        <v>0</v>
      </c>
      <c r="AK115" s="1">
        <f t="shared" si="61"/>
        <v>1</v>
      </c>
      <c r="AL115" s="1">
        <f t="shared" si="61"/>
        <v>1</v>
      </c>
      <c r="AM115" s="1">
        <f t="shared" si="61"/>
        <v>1</v>
      </c>
      <c r="AN115" s="1">
        <f t="shared" si="61"/>
        <v>1</v>
      </c>
      <c r="AO115" s="1">
        <f t="shared" si="61"/>
        <v>1</v>
      </c>
      <c r="AP115" s="1">
        <f t="shared" si="61"/>
        <v>1</v>
      </c>
      <c r="AQ115" s="1">
        <f t="shared" si="61"/>
        <v>1</v>
      </c>
      <c r="AR115" s="1">
        <f t="shared" si="61"/>
        <v>1</v>
      </c>
      <c r="AS115" s="1">
        <f t="shared" si="61"/>
        <v>1</v>
      </c>
      <c r="AT115" s="39">
        <f t="shared" si="25"/>
        <v>112918.7196783376</v>
      </c>
      <c r="AU115" s="39">
        <f t="shared" si="45"/>
        <v>112918.7196783376</v>
      </c>
      <c r="AV115" s="39">
        <f t="shared" si="58"/>
        <v>0</v>
      </c>
      <c r="AW115" s="3">
        <f t="shared" si="26"/>
        <v>41</v>
      </c>
      <c r="AX115" s="69">
        <f t="shared" si="46"/>
        <v>0</v>
      </c>
      <c r="AY115" s="75">
        <f t="shared" si="27"/>
        <v>0</v>
      </c>
      <c r="AZ115" s="75">
        <f t="shared" si="28"/>
        <v>0</v>
      </c>
      <c r="BA115" s="75">
        <f t="shared" si="29"/>
        <v>0</v>
      </c>
      <c r="BB115" s="75">
        <f t="shared" si="30"/>
        <v>0</v>
      </c>
      <c r="BD115" s="214">
        <f t="shared" si="47"/>
        <v>112557.08960472044</v>
      </c>
      <c r="BE115" s="214">
        <f t="shared" si="31"/>
        <v>547.8773251388252</v>
      </c>
      <c r="BF115" s="214">
        <f t="shared" si="48"/>
        <v>-186.24725152167119</v>
      </c>
      <c r="BG115" s="224">
        <f t="shared" si="54"/>
        <v>0</v>
      </c>
      <c r="BH115" s="19">
        <f t="shared" si="50"/>
        <v>120229.02574543351</v>
      </c>
      <c r="BI115" s="214">
        <f t="shared" si="32"/>
        <v>585.22086223782878</v>
      </c>
      <c r="BJ115" s="214">
        <f t="shared" si="33"/>
        <v>0</v>
      </c>
      <c r="BK115" s="19">
        <f t="shared" si="55"/>
        <v>0</v>
      </c>
    </row>
    <row r="116" spans="1:63">
      <c r="A116" s="165">
        <f t="shared" si="34"/>
        <v>65.472792607802873</v>
      </c>
      <c r="B116" s="69">
        <f t="shared" si="35"/>
        <v>4</v>
      </c>
      <c r="C116" s="70">
        <f t="shared" si="36"/>
        <v>42</v>
      </c>
      <c r="D116" s="13">
        <f t="shared" si="37"/>
        <v>4.8675505653430484E-3</v>
      </c>
      <c r="E116" s="15">
        <f t="shared" si="9"/>
        <v>1</v>
      </c>
      <c r="F116" s="15">
        <f t="shared" si="38"/>
        <v>0</v>
      </c>
      <c r="G116" s="15">
        <f t="shared" si="10"/>
        <v>0</v>
      </c>
      <c r="H116" s="73">
        <f t="shared" si="11"/>
        <v>0.02</v>
      </c>
      <c r="I116" s="189"/>
      <c r="J116" s="189"/>
      <c r="K116" s="5">
        <f t="shared" si="56"/>
        <v>112918.7196783376</v>
      </c>
      <c r="M116" s="5">
        <f t="shared" si="39"/>
        <v>549.63757780810533</v>
      </c>
      <c r="N116" s="5">
        <f t="shared" si="12"/>
        <v>-186.84563770520973</v>
      </c>
      <c r="O116" s="5">
        <f t="shared" si="13"/>
        <v>0</v>
      </c>
      <c r="P116" s="5">
        <f t="shared" si="14"/>
        <v>0</v>
      </c>
      <c r="Q116" s="5">
        <f t="shared" si="51"/>
        <v>0</v>
      </c>
      <c r="R116" s="5">
        <f t="shared" si="40"/>
        <v>0</v>
      </c>
      <c r="S116" s="5">
        <f t="shared" si="15"/>
        <v>0</v>
      </c>
      <c r="T116" s="5">
        <f t="shared" si="16"/>
        <v>0</v>
      </c>
      <c r="U116" s="74">
        <f t="shared" si="17"/>
        <v>0</v>
      </c>
      <c r="V116" s="75">
        <f t="shared" si="41"/>
        <v>0</v>
      </c>
      <c r="W116" s="5">
        <f t="shared" si="18"/>
        <v>0</v>
      </c>
      <c r="X116" s="5">
        <f t="shared" si="19"/>
        <v>113281.51161844049</v>
      </c>
      <c r="Y116" s="5">
        <f t="shared" si="42"/>
        <v>100000</v>
      </c>
      <c r="Z116" s="215">
        <f t="shared" si="20"/>
        <v>1</v>
      </c>
      <c r="AA116" s="216">
        <f t="shared" si="43"/>
        <v>0</v>
      </c>
      <c r="AB116" s="72">
        <f t="shared" si="52"/>
        <v>0</v>
      </c>
      <c r="AC116" s="72">
        <f t="shared" si="21"/>
        <v>0</v>
      </c>
      <c r="AD116" s="72">
        <f t="shared" si="22"/>
        <v>0</v>
      </c>
      <c r="AE116" s="72">
        <f t="shared" si="53"/>
        <v>-23.589566020671977</v>
      </c>
      <c r="AF116" s="70">
        <f t="shared" si="44"/>
        <v>2265.6302323688101</v>
      </c>
      <c r="AG116" s="70">
        <f t="shared" si="23"/>
        <v>4186.034926707237</v>
      </c>
      <c r="AH116" s="1">
        <f t="shared" si="61"/>
        <v>0</v>
      </c>
      <c r="AI116" s="1">
        <f t="shared" si="61"/>
        <v>0</v>
      </c>
      <c r="AJ116" s="1">
        <f t="shared" si="61"/>
        <v>0</v>
      </c>
      <c r="AK116" s="1">
        <f t="shared" si="61"/>
        <v>1</v>
      </c>
      <c r="AL116" s="1">
        <f t="shared" si="61"/>
        <v>1</v>
      </c>
      <c r="AM116" s="1">
        <f t="shared" si="61"/>
        <v>1</v>
      </c>
      <c r="AN116" s="1">
        <f t="shared" si="61"/>
        <v>1</v>
      </c>
      <c r="AO116" s="1">
        <f t="shared" si="61"/>
        <v>1</v>
      </c>
      <c r="AP116" s="1">
        <f t="shared" si="61"/>
        <v>1</v>
      </c>
      <c r="AQ116" s="1">
        <f t="shared" si="61"/>
        <v>1</v>
      </c>
      <c r="AR116" s="1">
        <f t="shared" si="61"/>
        <v>1</v>
      </c>
      <c r="AS116" s="1">
        <f t="shared" si="61"/>
        <v>1</v>
      </c>
      <c r="AT116" s="39">
        <f t="shared" si="25"/>
        <v>113281.51161844049</v>
      </c>
      <c r="AU116" s="39">
        <f t="shared" si="45"/>
        <v>113281.51161844049</v>
      </c>
      <c r="AV116" s="39">
        <f t="shared" si="58"/>
        <v>0</v>
      </c>
      <c r="AW116" s="3">
        <f t="shared" si="26"/>
        <v>42</v>
      </c>
      <c r="AX116" s="69">
        <f t="shared" si="46"/>
        <v>0</v>
      </c>
      <c r="AY116" s="75">
        <f t="shared" si="27"/>
        <v>0</v>
      </c>
      <c r="AZ116" s="75">
        <f t="shared" si="28"/>
        <v>0</v>
      </c>
      <c r="BA116" s="75">
        <f t="shared" si="29"/>
        <v>0</v>
      </c>
      <c r="BB116" s="75">
        <f t="shared" si="30"/>
        <v>0</v>
      </c>
      <c r="BD116" s="214">
        <f t="shared" si="47"/>
        <v>112918.7196783376</v>
      </c>
      <c r="BE116" s="214">
        <f t="shared" si="31"/>
        <v>549.63757780810533</v>
      </c>
      <c r="BF116" s="214">
        <f t="shared" si="48"/>
        <v>-186.84563770520973</v>
      </c>
      <c r="BG116" s="224">
        <f t="shared" si="54"/>
        <v>0</v>
      </c>
      <c r="BH116" s="19">
        <f t="shared" si="50"/>
        <v>120814.24660767133</v>
      </c>
      <c r="BI116" s="214">
        <f t="shared" si="32"/>
        <v>588.06945437666502</v>
      </c>
      <c r="BJ116" s="214">
        <f t="shared" si="33"/>
        <v>0</v>
      </c>
      <c r="BK116" s="19">
        <f t="shared" si="55"/>
        <v>0</v>
      </c>
    </row>
    <row r="117" spans="1:63">
      <c r="A117" s="165">
        <f t="shared" si="34"/>
        <v>65.556125941136202</v>
      </c>
      <c r="B117" s="69">
        <f t="shared" si="35"/>
        <v>4</v>
      </c>
      <c r="C117" s="70">
        <f t="shared" si="36"/>
        <v>43</v>
      </c>
      <c r="D117" s="13">
        <f t="shared" si="37"/>
        <v>4.8675505653430484E-3</v>
      </c>
      <c r="E117" s="15">
        <f t="shared" si="9"/>
        <v>1</v>
      </c>
      <c r="F117" s="15">
        <f t="shared" si="38"/>
        <v>0</v>
      </c>
      <c r="G117" s="15">
        <f t="shared" si="10"/>
        <v>0</v>
      </c>
      <c r="H117" s="73">
        <f t="shared" si="11"/>
        <v>0.02</v>
      </c>
      <c r="I117" s="189"/>
      <c r="J117" s="189"/>
      <c r="K117" s="5">
        <f t="shared" si="56"/>
        <v>113281.51161844049</v>
      </c>
      <c r="M117" s="5">
        <f t="shared" si="39"/>
        <v>551.40348592125508</v>
      </c>
      <c r="N117" s="5">
        <f t="shared" si="12"/>
        <v>-187.44594641926466</v>
      </c>
      <c r="O117" s="5">
        <f t="shared" si="13"/>
        <v>0</v>
      </c>
      <c r="P117" s="5">
        <f t="shared" si="14"/>
        <v>0</v>
      </c>
      <c r="Q117" s="5">
        <f t="shared" si="51"/>
        <v>0</v>
      </c>
      <c r="R117" s="5">
        <f t="shared" si="40"/>
        <v>0</v>
      </c>
      <c r="S117" s="5">
        <f t="shared" si="15"/>
        <v>0</v>
      </c>
      <c r="T117" s="5">
        <f t="shared" si="16"/>
        <v>0</v>
      </c>
      <c r="U117" s="74">
        <f t="shared" si="17"/>
        <v>0</v>
      </c>
      <c r="V117" s="75">
        <f t="shared" si="41"/>
        <v>0</v>
      </c>
      <c r="W117" s="5">
        <f t="shared" si="18"/>
        <v>0</v>
      </c>
      <c r="X117" s="5">
        <f t="shared" si="19"/>
        <v>113645.46915794248</v>
      </c>
      <c r="Y117" s="5">
        <f t="shared" si="42"/>
        <v>100000</v>
      </c>
      <c r="Z117" s="215">
        <f t="shared" si="20"/>
        <v>1</v>
      </c>
      <c r="AA117" s="216">
        <f t="shared" si="43"/>
        <v>0</v>
      </c>
      <c r="AB117" s="72">
        <f t="shared" si="52"/>
        <v>0</v>
      </c>
      <c r="AC117" s="72">
        <f t="shared" si="21"/>
        <v>0</v>
      </c>
      <c r="AD117" s="72">
        <f t="shared" si="22"/>
        <v>0</v>
      </c>
      <c r="AE117" s="72">
        <f t="shared" si="53"/>
        <v>-23.665355973367188</v>
      </c>
      <c r="AF117" s="70">
        <f t="shared" si="44"/>
        <v>2272.9093831588498</v>
      </c>
      <c r="AG117" s="70">
        <f t="shared" si="23"/>
        <v>4321.572714417779</v>
      </c>
      <c r="AH117" s="1">
        <f t="shared" si="61"/>
        <v>0</v>
      </c>
      <c r="AI117" s="1">
        <f t="shared" si="61"/>
        <v>0</v>
      </c>
      <c r="AJ117" s="1">
        <f t="shared" si="61"/>
        <v>0</v>
      </c>
      <c r="AK117" s="1">
        <f t="shared" si="61"/>
        <v>1</v>
      </c>
      <c r="AL117" s="1">
        <f t="shared" si="61"/>
        <v>1</v>
      </c>
      <c r="AM117" s="1">
        <f t="shared" si="61"/>
        <v>1</v>
      </c>
      <c r="AN117" s="1">
        <f t="shared" si="61"/>
        <v>1</v>
      </c>
      <c r="AO117" s="1">
        <f t="shared" si="61"/>
        <v>1</v>
      </c>
      <c r="AP117" s="1">
        <f t="shared" si="61"/>
        <v>1</v>
      </c>
      <c r="AQ117" s="1">
        <f t="shared" si="61"/>
        <v>1</v>
      </c>
      <c r="AR117" s="1">
        <f t="shared" si="61"/>
        <v>1</v>
      </c>
      <c r="AS117" s="1">
        <f t="shared" si="61"/>
        <v>1</v>
      </c>
      <c r="AT117" s="39">
        <f t="shared" si="25"/>
        <v>113645.46915794248</v>
      </c>
      <c r="AU117" s="39">
        <f t="shared" si="45"/>
        <v>113645.46915794248</v>
      </c>
      <c r="AV117" s="39">
        <f t="shared" si="58"/>
        <v>0</v>
      </c>
      <c r="AW117" s="3">
        <f t="shared" si="26"/>
        <v>43</v>
      </c>
      <c r="AX117" s="69">
        <f t="shared" si="46"/>
        <v>0</v>
      </c>
      <c r="AY117" s="75">
        <f t="shared" si="27"/>
        <v>0</v>
      </c>
      <c r="AZ117" s="75">
        <f t="shared" si="28"/>
        <v>0</v>
      </c>
      <c r="BA117" s="75">
        <f t="shared" si="29"/>
        <v>0</v>
      </c>
      <c r="BB117" s="75">
        <f t="shared" si="30"/>
        <v>0</v>
      </c>
      <c r="BD117" s="214">
        <f t="shared" si="47"/>
        <v>113281.51161844049</v>
      </c>
      <c r="BE117" s="214">
        <f t="shared" si="31"/>
        <v>551.40348592125508</v>
      </c>
      <c r="BF117" s="214">
        <f t="shared" si="48"/>
        <v>-187.44594641926466</v>
      </c>
      <c r="BG117" s="224">
        <f t="shared" si="54"/>
        <v>0</v>
      </c>
      <c r="BH117" s="19">
        <f t="shared" si="50"/>
        <v>121402.31606204799</v>
      </c>
      <c r="BI117" s="214">
        <f t="shared" si="32"/>
        <v>590.93191218177719</v>
      </c>
      <c r="BJ117" s="214">
        <f t="shared" si="33"/>
        <v>0</v>
      </c>
      <c r="BK117" s="19">
        <f t="shared" si="55"/>
        <v>0</v>
      </c>
    </row>
    <row r="118" spans="1:63">
      <c r="A118" s="165">
        <f t="shared" si="34"/>
        <v>65.639459274469544</v>
      </c>
      <c r="B118" s="69">
        <f t="shared" si="35"/>
        <v>4</v>
      </c>
      <c r="C118" s="70">
        <f t="shared" si="36"/>
        <v>44</v>
      </c>
      <c r="D118" s="13">
        <f t="shared" si="37"/>
        <v>4.8675505653430484E-3</v>
      </c>
      <c r="E118" s="15">
        <f t="shared" si="9"/>
        <v>1</v>
      </c>
      <c r="F118" s="15">
        <f t="shared" si="38"/>
        <v>0</v>
      </c>
      <c r="G118" s="15">
        <f t="shared" si="10"/>
        <v>0</v>
      </c>
      <c r="H118" s="73">
        <f t="shared" si="11"/>
        <v>0.02</v>
      </c>
      <c r="I118" s="189"/>
      <c r="J118" s="189"/>
      <c r="K118" s="5">
        <f t="shared" si="56"/>
        <v>113645.46915794248</v>
      </c>
      <c r="M118" s="5">
        <f t="shared" si="39"/>
        <v>553.17506764841892</v>
      </c>
      <c r="N118" s="5">
        <f t="shared" si="12"/>
        <v>-188.04818384065578</v>
      </c>
      <c r="O118" s="5">
        <f t="shared" si="13"/>
        <v>0</v>
      </c>
      <c r="P118" s="5">
        <f t="shared" si="14"/>
        <v>0</v>
      </c>
      <c r="Q118" s="5">
        <f t="shared" si="51"/>
        <v>0</v>
      </c>
      <c r="R118" s="5">
        <f t="shared" si="40"/>
        <v>0</v>
      </c>
      <c r="S118" s="5">
        <f t="shared" si="15"/>
        <v>0</v>
      </c>
      <c r="T118" s="5">
        <f t="shared" si="16"/>
        <v>0</v>
      </c>
      <c r="U118" s="74">
        <f t="shared" si="17"/>
        <v>0</v>
      </c>
      <c r="V118" s="75">
        <f t="shared" si="41"/>
        <v>0</v>
      </c>
      <c r="W118" s="5">
        <f t="shared" si="18"/>
        <v>0</v>
      </c>
      <c r="X118" s="5">
        <f t="shared" si="19"/>
        <v>114010.59604175025</v>
      </c>
      <c r="Y118" s="5">
        <f t="shared" si="42"/>
        <v>100000</v>
      </c>
      <c r="Z118" s="215">
        <f t="shared" si="20"/>
        <v>1</v>
      </c>
      <c r="AA118" s="216">
        <f t="shared" si="43"/>
        <v>0</v>
      </c>
      <c r="AB118" s="72">
        <f t="shared" si="52"/>
        <v>0</v>
      </c>
      <c r="AC118" s="72">
        <f t="shared" si="21"/>
        <v>0</v>
      </c>
      <c r="AD118" s="72">
        <f t="shared" si="22"/>
        <v>0</v>
      </c>
      <c r="AE118" s="72">
        <f t="shared" si="53"/>
        <v>-23.741389428504306</v>
      </c>
      <c r="AF118" s="70">
        <f t="shared" si="44"/>
        <v>2280.211920835005</v>
      </c>
      <c r="AG118" s="70">
        <f t="shared" si="23"/>
        <v>4457.5459659477929</v>
      </c>
      <c r="AH118" s="1">
        <f t="shared" si="61"/>
        <v>0</v>
      </c>
      <c r="AI118" s="1">
        <f t="shared" si="61"/>
        <v>0</v>
      </c>
      <c r="AJ118" s="1">
        <f t="shared" si="61"/>
        <v>0</v>
      </c>
      <c r="AK118" s="1">
        <f t="shared" si="61"/>
        <v>1</v>
      </c>
      <c r="AL118" s="1">
        <f t="shared" si="61"/>
        <v>1</v>
      </c>
      <c r="AM118" s="1">
        <f t="shared" si="61"/>
        <v>1</v>
      </c>
      <c r="AN118" s="1">
        <f t="shared" si="61"/>
        <v>1</v>
      </c>
      <c r="AO118" s="1">
        <f t="shared" si="61"/>
        <v>1</v>
      </c>
      <c r="AP118" s="1">
        <f t="shared" si="61"/>
        <v>1</v>
      </c>
      <c r="AQ118" s="1">
        <f t="shared" si="61"/>
        <v>1</v>
      </c>
      <c r="AR118" s="1">
        <f t="shared" si="61"/>
        <v>1</v>
      </c>
      <c r="AS118" s="1">
        <f t="shared" si="61"/>
        <v>1</v>
      </c>
      <c r="AT118" s="39">
        <f t="shared" si="25"/>
        <v>114010.59604175025</v>
      </c>
      <c r="AU118" s="39">
        <f t="shared" si="45"/>
        <v>114010.59604175025</v>
      </c>
      <c r="AV118" s="39">
        <f t="shared" si="58"/>
        <v>0</v>
      </c>
      <c r="AW118" s="3">
        <f t="shared" si="26"/>
        <v>44</v>
      </c>
      <c r="AX118" s="69">
        <f t="shared" si="46"/>
        <v>0</v>
      </c>
      <c r="AY118" s="75">
        <f t="shared" si="27"/>
        <v>0</v>
      </c>
      <c r="AZ118" s="75">
        <f t="shared" si="28"/>
        <v>0</v>
      </c>
      <c r="BA118" s="75">
        <f t="shared" si="29"/>
        <v>0</v>
      </c>
      <c r="BB118" s="75">
        <f t="shared" si="30"/>
        <v>0</v>
      </c>
      <c r="BD118" s="214">
        <f t="shared" si="47"/>
        <v>113645.46915794248</v>
      </c>
      <c r="BE118" s="214">
        <f t="shared" si="31"/>
        <v>553.17506764841892</v>
      </c>
      <c r="BF118" s="214">
        <f t="shared" si="48"/>
        <v>-188.04818384065578</v>
      </c>
      <c r="BG118" s="224">
        <f t="shared" si="54"/>
        <v>0</v>
      </c>
      <c r="BH118" s="19">
        <f t="shared" si="50"/>
        <v>121993.24797422977</v>
      </c>
      <c r="BI118" s="214">
        <f t="shared" si="32"/>
        <v>593.80830314499678</v>
      </c>
      <c r="BJ118" s="214">
        <f t="shared" si="33"/>
        <v>0</v>
      </c>
      <c r="BK118" s="19">
        <f t="shared" si="55"/>
        <v>0</v>
      </c>
    </row>
    <row r="119" spans="1:63">
      <c r="A119" s="165">
        <f t="shared" si="34"/>
        <v>65.722792607802873</v>
      </c>
      <c r="B119" s="69">
        <f t="shared" si="35"/>
        <v>4</v>
      </c>
      <c r="C119" s="70">
        <f t="shared" si="36"/>
        <v>45</v>
      </c>
      <c r="D119" s="13">
        <f t="shared" si="37"/>
        <v>4.8675505653430484E-3</v>
      </c>
      <c r="E119" s="15">
        <f t="shared" si="9"/>
        <v>1</v>
      </c>
      <c r="F119" s="15">
        <f t="shared" si="38"/>
        <v>0</v>
      </c>
      <c r="G119" s="15">
        <f t="shared" si="10"/>
        <v>0</v>
      </c>
      <c r="H119" s="73">
        <f t="shared" si="11"/>
        <v>0.02</v>
      </c>
      <c r="I119" s="189"/>
      <c r="J119" s="189"/>
      <c r="K119" s="5">
        <f t="shared" si="56"/>
        <v>114010.59604175025</v>
      </c>
      <c r="M119" s="5">
        <f t="shared" si="39"/>
        <v>554.95234121811939</v>
      </c>
      <c r="N119" s="5">
        <f t="shared" si="12"/>
        <v>-188.65235616604807</v>
      </c>
      <c r="O119" s="5">
        <f t="shared" si="13"/>
        <v>0</v>
      </c>
      <c r="P119" s="5">
        <f t="shared" si="14"/>
        <v>0</v>
      </c>
      <c r="Q119" s="5">
        <f t="shared" si="51"/>
        <v>0</v>
      </c>
      <c r="R119" s="5">
        <f t="shared" si="40"/>
        <v>0</v>
      </c>
      <c r="S119" s="5">
        <f t="shared" si="15"/>
        <v>0</v>
      </c>
      <c r="T119" s="5">
        <f t="shared" si="16"/>
        <v>0</v>
      </c>
      <c r="U119" s="74">
        <f t="shared" si="17"/>
        <v>0</v>
      </c>
      <c r="V119" s="75">
        <f t="shared" si="41"/>
        <v>0</v>
      </c>
      <c r="W119" s="5">
        <f t="shared" si="18"/>
        <v>0</v>
      </c>
      <c r="X119" s="5">
        <f t="shared" si="19"/>
        <v>114376.89602680232</v>
      </c>
      <c r="Y119" s="5">
        <f t="shared" si="42"/>
        <v>100000</v>
      </c>
      <c r="Z119" s="215">
        <f t="shared" si="20"/>
        <v>1</v>
      </c>
      <c r="AA119" s="216">
        <f t="shared" si="43"/>
        <v>0</v>
      </c>
      <c r="AB119" s="72">
        <f t="shared" si="52"/>
        <v>0</v>
      </c>
      <c r="AC119" s="72">
        <f t="shared" si="21"/>
        <v>0</v>
      </c>
      <c r="AD119" s="72">
        <f t="shared" si="22"/>
        <v>0</v>
      </c>
      <c r="AE119" s="72">
        <f t="shared" si="53"/>
        <v>-23.817667168422375</v>
      </c>
      <c r="AF119" s="70">
        <f t="shared" si="44"/>
        <v>2287.5379205360464</v>
      </c>
      <c r="AG119" s="70">
        <f t="shared" si="23"/>
        <v>4593.9560803811828</v>
      </c>
      <c r="AH119" s="1">
        <f t="shared" si="61"/>
        <v>0</v>
      </c>
      <c r="AI119" s="1">
        <f t="shared" si="61"/>
        <v>0</v>
      </c>
      <c r="AJ119" s="1">
        <f t="shared" si="61"/>
        <v>0</v>
      </c>
      <c r="AK119" s="1">
        <f t="shared" si="61"/>
        <v>1</v>
      </c>
      <c r="AL119" s="1">
        <f t="shared" si="61"/>
        <v>1</v>
      </c>
      <c r="AM119" s="1">
        <f t="shared" si="61"/>
        <v>1</v>
      </c>
      <c r="AN119" s="1">
        <f t="shared" si="61"/>
        <v>1</v>
      </c>
      <c r="AO119" s="1">
        <f t="shared" si="61"/>
        <v>1</v>
      </c>
      <c r="AP119" s="1">
        <f t="shared" si="61"/>
        <v>1</v>
      </c>
      <c r="AQ119" s="1">
        <f t="shared" si="61"/>
        <v>1</v>
      </c>
      <c r="AR119" s="1">
        <f t="shared" si="61"/>
        <v>1</v>
      </c>
      <c r="AS119" s="1">
        <f t="shared" si="61"/>
        <v>1</v>
      </c>
      <c r="AT119" s="39">
        <f t="shared" si="25"/>
        <v>114376.89602680232</v>
      </c>
      <c r="AU119" s="39">
        <f t="shared" si="45"/>
        <v>114376.89602680232</v>
      </c>
      <c r="AV119" s="39">
        <f t="shared" si="58"/>
        <v>0</v>
      </c>
      <c r="AW119" s="3">
        <f t="shared" si="26"/>
        <v>45</v>
      </c>
      <c r="AX119" s="69">
        <f t="shared" si="46"/>
        <v>0</v>
      </c>
      <c r="AY119" s="75">
        <f t="shared" si="27"/>
        <v>0</v>
      </c>
      <c r="AZ119" s="75">
        <f t="shared" si="28"/>
        <v>0</v>
      </c>
      <c r="BA119" s="75">
        <f t="shared" si="29"/>
        <v>0</v>
      </c>
      <c r="BB119" s="75">
        <f t="shared" si="30"/>
        <v>0</v>
      </c>
      <c r="BD119" s="214">
        <f t="shared" si="47"/>
        <v>114010.59604175025</v>
      </c>
      <c r="BE119" s="214">
        <f t="shared" si="31"/>
        <v>554.95234121811939</v>
      </c>
      <c r="BF119" s="214">
        <f t="shared" si="48"/>
        <v>-188.65235616604807</v>
      </c>
      <c r="BG119" s="224">
        <f t="shared" si="54"/>
        <v>0</v>
      </c>
      <c r="BH119" s="19">
        <f t="shared" si="50"/>
        <v>122587.05627737477</v>
      </c>
      <c r="BI119" s="214">
        <f t="shared" si="32"/>
        <v>596.69869508667568</v>
      </c>
      <c r="BJ119" s="214">
        <f t="shared" si="33"/>
        <v>0</v>
      </c>
      <c r="BK119" s="19">
        <f t="shared" si="55"/>
        <v>0</v>
      </c>
    </row>
    <row r="120" spans="1:63">
      <c r="A120" s="165">
        <f t="shared" si="34"/>
        <v>65.806125941136202</v>
      </c>
      <c r="B120" s="69">
        <f t="shared" si="35"/>
        <v>4</v>
      </c>
      <c r="C120" s="70">
        <f t="shared" si="36"/>
        <v>46</v>
      </c>
      <c r="D120" s="13">
        <f t="shared" si="37"/>
        <v>4.8675505653430484E-3</v>
      </c>
      <c r="E120" s="15">
        <f t="shared" si="9"/>
        <v>1</v>
      </c>
      <c r="F120" s="15">
        <f t="shared" si="38"/>
        <v>0</v>
      </c>
      <c r="G120" s="15">
        <f t="shared" si="10"/>
        <v>0</v>
      </c>
      <c r="H120" s="73">
        <f t="shared" si="11"/>
        <v>0.02</v>
      </c>
      <c r="I120" s="189"/>
      <c r="J120" s="189"/>
      <c r="K120" s="5">
        <f t="shared" si="56"/>
        <v>114376.89602680232</v>
      </c>
      <c r="M120" s="5">
        <f t="shared" si="39"/>
        <v>556.7353249174447</v>
      </c>
      <c r="N120" s="5">
        <f t="shared" si="12"/>
        <v>-189.25846961201546</v>
      </c>
      <c r="O120" s="5">
        <f t="shared" si="13"/>
        <v>0</v>
      </c>
      <c r="P120" s="5">
        <f t="shared" si="14"/>
        <v>0</v>
      </c>
      <c r="Q120" s="5">
        <f t="shared" si="51"/>
        <v>0</v>
      </c>
      <c r="R120" s="5">
        <f t="shared" si="40"/>
        <v>0</v>
      </c>
      <c r="S120" s="5">
        <f t="shared" si="15"/>
        <v>0</v>
      </c>
      <c r="T120" s="5">
        <f t="shared" si="16"/>
        <v>0</v>
      </c>
      <c r="U120" s="74">
        <f t="shared" si="17"/>
        <v>0</v>
      </c>
      <c r="V120" s="75">
        <f t="shared" si="41"/>
        <v>0</v>
      </c>
      <c r="W120" s="5">
        <f t="shared" si="18"/>
        <v>0</v>
      </c>
      <c r="X120" s="5">
        <f t="shared" si="19"/>
        <v>114744.37288210775</v>
      </c>
      <c r="Y120" s="5">
        <f t="shared" si="42"/>
        <v>100000</v>
      </c>
      <c r="Z120" s="215">
        <f t="shared" si="20"/>
        <v>1</v>
      </c>
      <c r="AA120" s="216">
        <f t="shared" si="43"/>
        <v>0</v>
      </c>
      <c r="AB120" s="72">
        <f t="shared" si="52"/>
        <v>0</v>
      </c>
      <c r="AC120" s="72">
        <f t="shared" si="21"/>
        <v>0</v>
      </c>
      <c r="AD120" s="72">
        <f t="shared" si="22"/>
        <v>0</v>
      </c>
      <c r="AE120" s="72">
        <f t="shared" si="53"/>
        <v>-23.894189977973983</v>
      </c>
      <c r="AF120" s="70">
        <f t="shared" si="44"/>
        <v>2294.8874576421549</v>
      </c>
      <c r="AG120" s="70">
        <f t="shared" si="23"/>
        <v>4730.8044612969288</v>
      </c>
      <c r="AH120" s="1">
        <f t="shared" si="61"/>
        <v>0</v>
      </c>
      <c r="AI120" s="1">
        <f t="shared" si="61"/>
        <v>0</v>
      </c>
      <c r="AJ120" s="1">
        <f t="shared" si="61"/>
        <v>0</v>
      </c>
      <c r="AK120" s="1">
        <f t="shared" si="61"/>
        <v>1</v>
      </c>
      <c r="AL120" s="1">
        <f t="shared" si="61"/>
        <v>1</v>
      </c>
      <c r="AM120" s="1">
        <f t="shared" si="61"/>
        <v>1</v>
      </c>
      <c r="AN120" s="1">
        <f t="shared" si="61"/>
        <v>1</v>
      </c>
      <c r="AO120" s="1">
        <f t="shared" si="61"/>
        <v>1</v>
      </c>
      <c r="AP120" s="1">
        <f t="shared" si="61"/>
        <v>1</v>
      </c>
      <c r="AQ120" s="1">
        <f t="shared" si="61"/>
        <v>1</v>
      </c>
      <c r="AR120" s="1">
        <f t="shared" si="61"/>
        <v>1</v>
      </c>
      <c r="AS120" s="1">
        <f t="shared" si="61"/>
        <v>1</v>
      </c>
      <c r="AT120" s="39">
        <f t="shared" si="25"/>
        <v>114744.37288210775</v>
      </c>
      <c r="AU120" s="39">
        <f t="shared" si="45"/>
        <v>114744.37288210775</v>
      </c>
      <c r="AV120" s="39">
        <f t="shared" si="58"/>
        <v>0</v>
      </c>
      <c r="AW120" s="3">
        <f t="shared" si="26"/>
        <v>46</v>
      </c>
      <c r="AX120" s="69">
        <f t="shared" si="46"/>
        <v>0</v>
      </c>
      <c r="AY120" s="75">
        <f t="shared" si="27"/>
        <v>0</v>
      </c>
      <c r="AZ120" s="75">
        <f t="shared" si="28"/>
        <v>0</v>
      </c>
      <c r="BA120" s="75">
        <f t="shared" si="29"/>
        <v>0</v>
      </c>
      <c r="BB120" s="75">
        <f t="shared" si="30"/>
        <v>0</v>
      </c>
      <c r="BD120" s="214">
        <f t="shared" si="47"/>
        <v>114376.89602680232</v>
      </c>
      <c r="BE120" s="214">
        <f t="shared" si="31"/>
        <v>556.7353249174447</v>
      </c>
      <c r="BF120" s="214">
        <f t="shared" si="48"/>
        <v>-189.25846961201546</v>
      </c>
      <c r="BG120" s="224">
        <f t="shared" si="54"/>
        <v>0</v>
      </c>
      <c r="BH120" s="19">
        <f t="shared" si="50"/>
        <v>123183.75497246144</v>
      </c>
      <c r="BI120" s="214">
        <f t="shared" si="32"/>
        <v>599.60315615728416</v>
      </c>
      <c r="BJ120" s="214">
        <f t="shared" si="33"/>
        <v>0</v>
      </c>
      <c r="BK120" s="19">
        <f t="shared" si="55"/>
        <v>0</v>
      </c>
    </row>
    <row r="121" spans="1:63">
      <c r="A121" s="165">
        <f t="shared" si="34"/>
        <v>65.889459274469544</v>
      </c>
      <c r="B121" s="69">
        <f t="shared" si="35"/>
        <v>4</v>
      </c>
      <c r="C121" s="70">
        <f t="shared" si="36"/>
        <v>47</v>
      </c>
      <c r="D121" s="13">
        <f t="shared" si="37"/>
        <v>4.8675505653430484E-3</v>
      </c>
      <c r="E121" s="15">
        <f t="shared" si="9"/>
        <v>1</v>
      </c>
      <c r="F121" s="15">
        <f t="shared" si="38"/>
        <v>0</v>
      </c>
      <c r="G121" s="15">
        <f t="shared" si="10"/>
        <v>0</v>
      </c>
      <c r="H121" s="73">
        <f t="shared" si="11"/>
        <v>0.02</v>
      </c>
      <c r="I121" s="189"/>
      <c r="J121" s="189"/>
      <c r="K121" s="5">
        <f t="shared" si="56"/>
        <v>114744.37288210775</v>
      </c>
      <c r="M121" s="5">
        <f t="shared" si="39"/>
        <v>558.52403709223711</v>
      </c>
      <c r="N121" s="5">
        <f t="shared" si="12"/>
        <v>-189.86653041510493</v>
      </c>
      <c r="O121" s="5">
        <f t="shared" si="13"/>
        <v>0</v>
      </c>
      <c r="P121" s="5">
        <f t="shared" si="14"/>
        <v>0</v>
      </c>
      <c r="Q121" s="5">
        <f t="shared" si="51"/>
        <v>0</v>
      </c>
      <c r="R121" s="5">
        <f t="shared" si="40"/>
        <v>0</v>
      </c>
      <c r="S121" s="5">
        <f t="shared" si="15"/>
        <v>0</v>
      </c>
      <c r="T121" s="5">
        <f t="shared" si="16"/>
        <v>0</v>
      </c>
      <c r="U121" s="74">
        <f t="shared" si="17"/>
        <v>0</v>
      </c>
      <c r="V121" s="75">
        <f t="shared" si="41"/>
        <v>0</v>
      </c>
      <c r="W121" s="5">
        <f t="shared" si="18"/>
        <v>0</v>
      </c>
      <c r="X121" s="5">
        <f t="shared" si="19"/>
        <v>115113.03038878489</v>
      </c>
      <c r="Y121" s="5">
        <f t="shared" si="42"/>
        <v>100000</v>
      </c>
      <c r="Z121" s="215">
        <f t="shared" si="20"/>
        <v>1</v>
      </c>
      <c r="AA121" s="216">
        <f t="shared" si="43"/>
        <v>0</v>
      </c>
      <c r="AB121" s="72">
        <f t="shared" si="52"/>
        <v>0</v>
      </c>
      <c r="AC121" s="72">
        <f t="shared" si="21"/>
        <v>0</v>
      </c>
      <c r="AD121" s="72">
        <f t="shared" si="22"/>
        <v>0</v>
      </c>
      <c r="AE121" s="72">
        <f t="shared" si="53"/>
        <v>-23.970958644533344</v>
      </c>
      <c r="AF121" s="70">
        <f t="shared" si="44"/>
        <v>2302.2606077756977</v>
      </c>
      <c r="AG121" s="70">
        <f t="shared" si="23"/>
        <v>4868.092516783493</v>
      </c>
      <c r="AH121" s="1">
        <f t="shared" si="61"/>
        <v>0</v>
      </c>
      <c r="AI121" s="1">
        <f t="shared" si="61"/>
        <v>0</v>
      </c>
      <c r="AJ121" s="1">
        <f t="shared" si="61"/>
        <v>0</v>
      </c>
      <c r="AK121" s="1">
        <f t="shared" si="61"/>
        <v>1</v>
      </c>
      <c r="AL121" s="1">
        <f t="shared" si="61"/>
        <v>1</v>
      </c>
      <c r="AM121" s="1">
        <f t="shared" si="61"/>
        <v>1</v>
      </c>
      <c r="AN121" s="1">
        <f t="shared" si="61"/>
        <v>1</v>
      </c>
      <c r="AO121" s="1">
        <f t="shared" si="61"/>
        <v>1</v>
      </c>
      <c r="AP121" s="1">
        <f t="shared" si="61"/>
        <v>1</v>
      </c>
      <c r="AQ121" s="1">
        <f t="shared" si="61"/>
        <v>1</v>
      </c>
      <c r="AR121" s="1">
        <f t="shared" si="61"/>
        <v>1</v>
      </c>
      <c r="AS121" s="1">
        <f t="shared" si="61"/>
        <v>1</v>
      </c>
      <c r="AT121" s="39">
        <f t="shared" si="25"/>
        <v>115113.03038878489</v>
      </c>
      <c r="AU121" s="39">
        <f t="shared" si="45"/>
        <v>115113.03038878489</v>
      </c>
      <c r="AV121" s="39">
        <f t="shared" si="58"/>
        <v>0</v>
      </c>
      <c r="AW121" s="3">
        <f t="shared" si="26"/>
        <v>47</v>
      </c>
      <c r="AX121" s="69">
        <f t="shared" si="46"/>
        <v>0</v>
      </c>
      <c r="AY121" s="75">
        <f t="shared" si="27"/>
        <v>0</v>
      </c>
      <c r="AZ121" s="75">
        <f t="shared" si="28"/>
        <v>0</v>
      </c>
      <c r="BA121" s="75">
        <f t="shared" si="29"/>
        <v>0</v>
      </c>
      <c r="BB121" s="75">
        <f t="shared" si="30"/>
        <v>0</v>
      </c>
      <c r="BD121" s="214">
        <f t="shared" si="47"/>
        <v>114744.37288210775</v>
      </c>
      <c r="BE121" s="214">
        <f t="shared" si="31"/>
        <v>558.52403709223711</v>
      </c>
      <c r="BF121" s="214">
        <f t="shared" si="48"/>
        <v>-189.86653041510493</v>
      </c>
      <c r="BG121" s="224">
        <f t="shared" si="54"/>
        <v>0</v>
      </c>
      <c r="BH121" s="19">
        <f t="shared" si="50"/>
        <v>123783.35812861873</v>
      </c>
      <c r="BI121" s="214">
        <f t="shared" si="32"/>
        <v>602.52175483901908</v>
      </c>
      <c r="BJ121" s="214">
        <f t="shared" si="33"/>
        <v>0</v>
      </c>
      <c r="BK121" s="19">
        <f t="shared" si="55"/>
        <v>0</v>
      </c>
    </row>
    <row r="122" spans="1:63">
      <c r="A122" s="165">
        <f t="shared" si="34"/>
        <v>65.972792607802873</v>
      </c>
      <c r="B122" s="69">
        <f t="shared" si="35"/>
        <v>4</v>
      </c>
      <c r="C122" s="70">
        <f t="shared" si="36"/>
        <v>48</v>
      </c>
      <c r="D122" s="13">
        <f t="shared" si="37"/>
        <v>4.8675505653430484E-3</v>
      </c>
      <c r="E122" s="15">
        <f t="shared" si="9"/>
        <v>1</v>
      </c>
      <c r="F122" s="15">
        <f t="shared" si="38"/>
        <v>0</v>
      </c>
      <c r="G122" s="15">
        <f t="shared" si="10"/>
        <v>0</v>
      </c>
      <c r="H122" s="73">
        <f t="shared" si="11"/>
        <v>0.02</v>
      </c>
      <c r="I122" s="189"/>
      <c r="J122" s="189"/>
      <c r="K122" s="5">
        <f t="shared" si="56"/>
        <v>115113.03038878489</v>
      </c>
      <c r="M122" s="5">
        <f t="shared" si="39"/>
        <v>560.31849614728139</v>
      </c>
      <c r="N122" s="5">
        <f t="shared" si="12"/>
        <v>-190.47654483190067</v>
      </c>
      <c r="O122" s="5">
        <f t="shared" si="13"/>
        <v>0</v>
      </c>
      <c r="P122" s="5">
        <f t="shared" si="14"/>
        <v>0</v>
      </c>
      <c r="Q122" s="5">
        <f t="shared" si="51"/>
        <v>0</v>
      </c>
      <c r="R122" s="5">
        <f t="shared" si="40"/>
        <v>0</v>
      </c>
      <c r="S122" s="5">
        <f t="shared" si="15"/>
        <v>0</v>
      </c>
      <c r="T122" s="5">
        <f t="shared" si="16"/>
        <v>0</v>
      </c>
      <c r="U122" s="74">
        <f t="shared" si="17"/>
        <v>0</v>
      </c>
      <c r="V122" s="75">
        <f t="shared" si="41"/>
        <v>0</v>
      </c>
      <c r="W122" s="5">
        <f t="shared" si="18"/>
        <v>0</v>
      </c>
      <c r="X122" s="5">
        <f t="shared" si="19"/>
        <v>115482.87234010028</v>
      </c>
      <c r="Y122" s="5">
        <f t="shared" si="42"/>
        <v>100000</v>
      </c>
      <c r="Z122" s="215">
        <f t="shared" si="20"/>
        <v>1</v>
      </c>
      <c r="AA122" s="216">
        <f t="shared" si="43"/>
        <v>0</v>
      </c>
      <c r="AB122" s="72">
        <f t="shared" si="52"/>
        <v>0</v>
      </c>
      <c r="AC122" s="72">
        <f t="shared" si="21"/>
        <v>0</v>
      </c>
      <c r="AD122" s="72">
        <f t="shared" si="22"/>
        <v>0</v>
      </c>
      <c r="AE122" s="72">
        <f t="shared" si="53"/>
        <v>-24.047973958004391</v>
      </c>
      <c r="AF122" s="70">
        <f t="shared" si="44"/>
        <v>2309.6574468020058</v>
      </c>
      <c r="AG122" s="70">
        <f t="shared" si="23"/>
        <v>5005.8216594533415</v>
      </c>
      <c r="AH122" s="1">
        <f t="shared" si="61"/>
        <v>0</v>
      </c>
      <c r="AI122" s="1">
        <f t="shared" si="61"/>
        <v>0</v>
      </c>
      <c r="AJ122" s="1">
        <f t="shared" si="61"/>
        <v>0</v>
      </c>
      <c r="AK122" s="1">
        <f t="shared" si="61"/>
        <v>1</v>
      </c>
      <c r="AL122" s="1">
        <f t="shared" si="61"/>
        <v>1</v>
      </c>
      <c r="AM122" s="1">
        <f t="shared" si="61"/>
        <v>1</v>
      </c>
      <c r="AN122" s="1">
        <f t="shared" si="61"/>
        <v>1</v>
      </c>
      <c r="AO122" s="1">
        <f t="shared" si="61"/>
        <v>1</v>
      </c>
      <c r="AP122" s="1">
        <f t="shared" si="61"/>
        <v>1</v>
      </c>
      <c r="AQ122" s="1">
        <f t="shared" si="61"/>
        <v>1</v>
      </c>
      <c r="AR122" s="1">
        <f t="shared" si="61"/>
        <v>1</v>
      </c>
      <c r="AS122" s="1">
        <f t="shared" si="61"/>
        <v>1</v>
      </c>
      <c r="AT122" s="39">
        <f t="shared" si="25"/>
        <v>115482.87234010028</v>
      </c>
      <c r="AU122" s="39">
        <f t="shared" si="45"/>
        <v>115482.87234010028</v>
      </c>
      <c r="AV122" s="39">
        <f t="shared" si="58"/>
        <v>0</v>
      </c>
      <c r="AW122" s="3">
        <f t="shared" si="26"/>
        <v>48</v>
      </c>
      <c r="AX122" s="69">
        <f t="shared" si="46"/>
        <v>0</v>
      </c>
      <c r="AY122" s="75">
        <f t="shared" si="27"/>
        <v>0</v>
      </c>
      <c r="AZ122" s="75">
        <f t="shared" si="28"/>
        <v>0</v>
      </c>
      <c r="BA122" s="75">
        <f t="shared" si="29"/>
        <v>0</v>
      </c>
      <c r="BB122" s="75">
        <f t="shared" si="30"/>
        <v>0</v>
      </c>
      <c r="BD122" s="214">
        <f t="shared" si="47"/>
        <v>115113.03038878489</v>
      </c>
      <c r="BE122" s="214">
        <f t="shared" si="31"/>
        <v>560.31849614728139</v>
      </c>
      <c r="BF122" s="214">
        <f t="shared" si="48"/>
        <v>-190.47654483190067</v>
      </c>
      <c r="BG122" s="224">
        <f t="shared" si="54"/>
        <v>0</v>
      </c>
      <c r="BH122" s="19">
        <f t="shared" si="50"/>
        <v>124385.87988345775</v>
      </c>
      <c r="BI122" s="214">
        <f t="shared" si="32"/>
        <v>605.45455994741724</v>
      </c>
      <c r="BJ122" s="214">
        <f t="shared" si="33"/>
        <v>0</v>
      </c>
      <c r="BK122" s="19">
        <f t="shared" si="55"/>
        <v>0</v>
      </c>
    </row>
    <row r="123" spans="1:63">
      <c r="A123" s="165">
        <f t="shared" si="34"/>
        <v>66.056125941136202</v>
      </c>
      <c r="B123" s="69">
        <f t="shared" si="35"/>
        <v>5</v>
      </c>
      <c r="C123" s="70">
        <f t="shared" si="36"/>
        <v>49</v>
      </c>
      <c r="D123" s="13">
        <f t="shared" si="37"/>
        <v>4.8675505653430484E-3</v>
      </c>
      <c r="E123" s="15">
        <f t="shared" si="9"/>
        <v>1</v>
      </c>
      <c r="F123" s="15">
        <f t="shared" si="38"/>
        <v>0</v>
      </c>
      <c r="G123" s="15">
        <f t="shared" si="10"/>
        <v>0</v>
      </c>
      <c r="H123" s="73">
        <f t="shared" si="11"/>
        <v>0.01</v>
      </c>
      <c r="I123" s="189"/>
      <c r="J123" s="189"/>
      <c r="K123" s="5">
        <f t="shared" si="56"/>
        <v>115482.87234010028</v>
      </c>
      <c r="M123" s="5">
        <f t="shared" si="39"/>
        <v>562.11872054649416</v>
      </c>
      <c r="N123" s="5">
        <f t="shared" si="12"/>
        <v>-191.08851913908828</v>
      </c>
      <c r="O123" s="5">
        <f t="shared" si="13"/>
        <v>0</v>
      </c>
      <c r="P123" s="5">
        <f t="shared" si="14"/>
        <v>0</v>
      </c>
      <c r="Q123" s="5">
        <f t="shared" si="51"/>
        <v>0</v>
      </c>
      <c r="R123" s="5">
        <f t="shared" si="40"/>
        <v>0</v>
      </c>
      <c r="S123" s="5">
        <f t="shared" si="15"/>
        <v>0</v>
      </c>
      <c r="T123" s="5">
        <f t="shared" si="16"/>
        <v>0</v>
      </c>
      <c r="U123" s="74">
        <f t="shared" si="17"/>
        <v>0</v>
      </c>
      <c r="V123" s="75">
        <f t="shared" si="41"/>
        <v>0</v>
      </c>
      <c r="W123" s="5">
        <f t="shared" si="18"/>
        <v>0</v>
      </c>
      <c r="X123" s="5">
        <f t="shared" si="19"/>
        <v>115853.90254150769</v>
      </c>
      <c r="Y123" s="5">
        <f t="shared" si="42"/>
        <v>100000</v>
      </c>
      <c r="Z123" s="215">
        <f t="shared" si="20"/>
        <v>1</v>
      </c>
      <c r="AA123" s="216">
        <f t="shared" si="43"/>
        <v>0</v>
      </c>
      <c r="AB123" s="72">
        <f t="shared" si="52"/>
        <v>0</v>
      </c>
      <c r="AC123" s="72">
        <f t="shared" si="21"/>
        <v>0</v>
      </c>
      <c r="AD123" s="72">
        <f t="shared" si="22"/>
        <v>0</v>
      </c>
      <c r="AE123" s="72">
        <f t="shared" si="53"/>
        <v>-24.125236710828911</v>
      </c>
      <c r="AF123" s="70">
        <f t="shared" si="44"/>
        <v>1158.5390254150768</v>
      </c>
      <c r="AG123" s="70">
        <f t="shared" si="23"/>
        <v>5584.2381361151956</v>
      </c>
      <c r="AH123" s="1">
        <f t="shared" si="61"/>
        <v>0</v>
      </c>
      <c r="AI123" s="1">
        <f t="shared" si="61"/>
        <v>0</v>
      </c>
      <c r="AJ123" s="1">
        <f t="shared" si="61"/>
        <v>0</v>
      </c>
      <c r="AK123" s="1">
        <f t="shared" si="61"/>
        <v>0</v>
      </c>
      <c r="AL123" s="1">
        <f t="shared" si="61"/>
        <v>1</v>
      </c>
      <c r="AM123" s="1">
        <f t="shared" si="61"/>
        <v>1</v>
      </c>
      <c r="AN123" s="1">
        <f t="shared" si="61"/>
        <v>1</v>
      </c>
      <c r="AO123" s="1">
        <f t="shared" si="61"/>
        <v>1</v>
      </c>
      <c r="AP123" s="1">
        <f t="shared" si="61"/>
        <v>1</v>
      </c>
      <c r="AQ123" s="1">
        <f t="shared" si="61"/>
        <v>1</v>
      </c>
      <c r="AR123" s="1">
        <f t="shared" si="61"/>
        <v>1</v>
      </c>
      <c r="AS123" s="1">
        <f t="shared" si="61"/>
        <v>1</v>
      </c>
      <c r="AT123" s="39">
        <f t="shared" si="25"/>
        <v>115853.90254150769</v>
      </c>
      <c r="AU123" s="39">
        <f t="shared" si="45"/>
        <v>115853.90254150769</v>
      </c>
      <c r="AV123" s="39">
        <f t="shared" si="58"/>
        <v>0</v>
      </c>
      <c r="AW123" s="3">
        <f t="shared" si="26"/>
        <v>49</v>
      </c>
      <c r="AX123" s="69">
        <f t="shared" si="46"/>
        <v>0</v>
      </c>
      <c r="AY123" s="75">
        <f t="shared" si="27"/>
        <v>0</v>
      </c>
      <c r="AZ123" s="75">
        <f t="shared" si="28"/>
        <v>0</v>
      </c>
      <c r="BA123" s="75">
        <f t="shared" si="29"/>
        <v>0</v>
      </c>
      <c r="BB123" s="75">
        <f t="shared" si="30"/>
        <v>0</v>
      </c>
      <c r="BD123" s="214">
        <f t="shared" si="47"/>
        <v>115482.87234010028</v>
      </c>
      <c r="BE123" s="214">
        <f t="shared" si="31"/>
        <v>562.11872054649416</v>
      </c>
      <c r="BF123" s="214">
        <f t="shared" si="48"/>
        <v>-191.08851913908828</v>
      </c>
      <c r="BG123" s="224">
        <f t="shared" si="54"/>
        <v>0</v>
      </c>
      <c r="BH123" s="19">
        <f t="shared" si="50"/>
        <v>124991.33444340517</v>
      </c>
      <c r="BI123" s="214">
        <f t="shared" si="32"/>
        <v>608.40164063297891</v>
      </c>
      <c r="BJ123" s="214">
        <f t="shared" si="33"/>
        <v>0</v>
      </c>
      <c r="BK123" s="19">
        <f t="shared" si="55"/>
        <v>0</v>
      </c>
    </row>
    <row r="124" spans="1:63">
      <c r="A124" s="165">
        <f t="shared" si="34"/>
        <v>66.139459274469544</v>
      </c>
      <c r="B124" s="69">
        <f t="shared" si="35"/>
        <v>5</v>
      </c>
      <c r="C124" s="70">
        <f t="shared" si="36"/>
        <v>50</v>
      </c>
      <c r="D124" s="13">
        <f t="shared" si="37"/>
        <v>4.8675505653430484E-3</v>
      </c>
      <c r="E124" s="15">
        <f t="shared" si="9"/>
        <v>1</v>
      </c>
      <c r="F124" s="15">
        <f t="shared" si="38"/>
        <v>0</v>
      </c>
      <c r="G124" s="15">
        <f t="shared" si="10"/>
        <v>0</v>
      </c>
      <c r="H124" s="73">
        <f t="shared" si="11"/>
        <v>0.01</v>
      </c>
      <c r="I124" s="189"/>
      <c r="J124" s="189"/>
      <c r="K124" s="5">
        <f t="shared" si="56"/>
        <v>115853.90254150769</v>
      </c>
      <c r="M124" s="5">
        <f t="shared" si="39"/>
        <v>563.92472881311414</v>
      </c>
      <c r="N124" s="5">
        <f t="shared" si="12"/>
        <v>-191.70245963351954</v>
      </c>
      <c r="O124" s="5">
        <f t="shared" si="13"/>
        <v>0</v>
      </c>
      <c r="P124" s="5">
        <f t="shared" si="14"/>
        <v>0</v>
      </c>
      <c r="Q124" s="5">
        <f t="shared" si="51"/>
        <v>0</v>
      </c>
      <c r="R124" s="5">
        <f t="shared" si="40"/>
        <v>0</v>
      </c>
      <c r="S124" s="5">
        <f t="shared" si="15"/>
        <v>0</v>
      </c>
      <c r="T124" s="5">
        <f t="shared" si="16"/>
        <v>0</v>
      </c>
      <c r="U124" s="74">
        <f t="shared" si="17"/>
        <v>0</v>
      </c>
      <c r="V124" s="75">
        <f t="shared" si="41"/>
        <v>0</v>
      </c>
      <c r="W124" s="5">
        <f t="shared" si="18"/>
        <v>0</v>
      </c>
      <c r="X124" s="5">
        <f t="shared" si="19"/>
        <v>116226.12481068728</v>
      </c>
      <c r="Y124" s="5">
        <f t="shared" si="42"/>
        <v>100000</v>
      </c>
      <c r="Z124" s="215">
        <f t="shared" si="20"/>
        <v>1</v>
      </c>
      <c r="AA124" s="216">
        <f t="shared" si="43"/>
        <v>0</v>
      </c>
      <c r="AB124" s="72">
        <f t="shared" si="52"/>
        <v>0</v>
      </c>
      <c r="AC124" s="72">
        <f t="shared" si="21"/>
        <v>0</v>
      </c>
      <c r="AD124" s="72">
        <f t="shared" si="22"/>
        <v>0</v>
      </c>
      <c r="AE124" s="72">
        <f t="shared" si="53"/>
        <v>-24.202747697994688</v>
      </c>
      <c r="AF124" s="70">
        <f t="shared" si="44"/>
        <v>1162.2612481068729</v>
      </c>
      <c r="AG124" s="70">
        <f t="shared" si="23"/>
        <v>5724.2681537805529</v>
      </c>
      <c r="AH124" s="1">
        <f t="shared" si="61"/>
        <v>0</v>
      </c>
      <c r="AI124" s="1">
        <f t="shared" si="61"/>
        <v>0</v>
      </c>
      <c r="AJ124" s="1">
        <f t="shared" si="61"/>
        <v>0</v>
      </c>
      <c r="AK124" s="1">
        <f t="shared" si="61"/>
        <v>0</v>
      </c>
      <c r="AL124" s="1">
        <f t="shared" si="61"/>
        <v>1</v>
      </c>
      <c r="AM124" s="1">
        <f t="shared" si="61"/>
        <v>1</v>
      </c>
      <c r="AN124" s="1">
        <f t="shared" si="61"/>
        <v>1</v>
      </c>
      <c r="AO124" s="1">
        <f t="shared" si="61"/>
        <v>1</v>
      </c>
      <c r="AP124" s="1">
        <f t="shared" si="61"/>
        <v>1</v>
      </c>
      <c r="AQ124" s="1">
        <f t="shared" si="61"/>
        <v>1</v>
      </c>
      <c r="AR124" s="1">
        <f t="shared" si="61"/>
        <v>1</v>
      </c>
      <c r="AS124" s="1">
        <f t="shared" si="61"/>
        <v>1</v>
      </c>
      <c r="AT124" s="39">
        <f t="shared" si="25"/>
        <v>116226.12481068728</v>
      </c>
      <c r="AU124" s="39">
        <f t="shared" si="45"/>
        <v>116226.12481068728</v>
      </c>
      <c r="AV124" s="39">
        <f t="shared" si="58"/>
        <v>0</v>
      </c>
      <c r="AW124" s="3">
        <f t="shared" si="26"/>
        <v>50</v>
      </c>
      <c r="AX124" s="69">
        <f t="shared" si="46"/>
        <v>0</v>
      </c>
      <c r="AY124" s="75">
        <f t="shared" si="27"/>
        <v>0</v>
      </c>
      <c r="AZ124" s="75">
        <f t="shared" si="28"/>
        <v>0</v>
      </c>
      <c r="BA124" s="75">
        <f t="shared" si="29"/>
        <v>0</v>
      </c>
      <c r="BB124" s="75">
        <f t="shared" si="30"/>
        <v>0</v>
      </c>
      <c r="BD124" s="214">
        <f t="shared" si="47"/>
        <v>115853.90254150769</v>
      </c>
      <c r="BE124" s="214">
        <f t="shared" si="31"/>
        <v>563.92472881311414</v>
      </c>
      <c r="BF124" s="214">
        <f t="shared" si="48"/>
        <v>-191.70245963351954</v>
      </c>
      <c r="BG124" s="224">
        <f t="shared" si="54"/>
        <v>0</v>
      </c>
      <c r="BH124" s="19">
        <f t="shared" si="50"/>
        <v>125599.73608403814</v>
      </c>
      <c r="BI124" s="214">
        <f t="shared" si="32"/>
        <v>611.36306638279757</v>
      </c>
      <c r="BJ124" s="214">
        <f t="shared" si="33"/>
        <v>0</v>
      </c>
      <c r="BK124" s="19">
        <f t="shared" si="55"/>
        <v>0</v>
      </c>
    </row>
    <row r="125" spans="1:63">
      <c r="A125" s="165">
        <f t="shared" si="34"/>
        <v>66.222792607802873</v>
      </c>
      <c r="B125" s="69">
        <f t="shared" si="35"/>
        <v>5</v>
      </c>
      <c r="C125" s="70">
        <f t="shared" si="36"/>
        <v>51</v>
      </c>
      <c r="D125" s="13">
        <f t="shared" si="37"/>
        <v>4.8675505653430484E-3</v>
      </c>
      <c r="E125" s="15">
        <f t="shared" si="9"/>
        <v>1</v>
      </c>
      <c r="F125" s="15">
        <f t="shared" si="38"/>
        <v>0</v>
      </c>
      <c r="G125" s="15">
        <f t="shared" si="10"/>
        <v>0</v>
      </c>
      <c r="H125" s="73">
        <f t="shared" si="11"/>
        <v>0.01</v>
      </c>
      <c r="I125" s="189"/>
      <c r="J125" s="189"/>
      <c r="K125" s="5">
        <f t="shared" si="56"/>
        <v>116226.12481068728</v>
      </c>
      <c r="M125" s="5">
        <f t="shared" si="39"/>
        <v>565.73653952989253</v>
      </c>
      <c r="N125" s="5">
        <f t="shared" si="12"/>
        <v>-192.318372632277</v>
      </c>
      <c r="O125" s="5">
        <f t="shared" si="13"/>
        <v>0</v>
      </c>
      <c r="P125" s="5">
        <f t="shared" si="14"/>
        <v>0</v>
      </c>
      <c r="Q125" s="5">
        <f t="shared" si="51"/>
        <v>0</v>
      </c>
      <c r="R125" s="5">
        <f t="shared" si="40"/>
        <v>0</v>
      </c>
      <c r="S125" s="5">
        <f t="shared" si="15"/>
        <v>0</v>
      </c>
      <c r="T125" s="5">
        <f t="shared" si="16"/>
        <v>0</v>
      </c>
      <c r="U125" s="74">
        <f t="shared" si="17"/>
        <v>0</v>
      </c>
      <c r="V125" s="75">
        <f t="shared" si="41"/>
        <v>0</v>
      </c>
      <c r="W125" s="5">
        <f t="shared" si="18"/>
        <v>0</v>
      </c>
      <c r="X125" s="5">
        <f t="shared" si="19"/>
        <v>116599.5429775849</v>
      </c>
      <c r="Y125" s="5">
        <f t="shared" si="42"/>
        <v>100000</v>
      </c>
      <c r="Z125" s="215">
        <f t="shared" si="20"/>
        <v>1</v>
      </c>
      <c r="AA125" s="216">
        <f t="shared" si="43"/>
        <v>0</v>
      </c>
      <c r="AB125" s="72">
        <f t="shared" si="52"/>
        <v>0</v>
      </c>
      <c r="AC125" s="72">
        <f t="shared" si="21"/>
        <v>0</v>
      </c>
      <c r="AD125" s="72">
        <f t="shared" si="22"/>
        <v>0</v>
      </c>
      <c r="AE125" s="72">
        <f t="shared" si="53"/>
        <v>-24.280507717043687</v>
      </c>
      <c r="AF125" s="70">
        <f t="shared" si="44"/>
        <v>1165.9954297758491</v>
      </c>
      <c r="AG125" s="70">
        <f t="shared" si="23"/>
        <v>5864.7480681674397</v>
      </c>
      <c r="AH125" s="1">
        <f t="shared" ref="AH125:AS134" si="62">IF($B125&lt;=AH$74,1,0)</f>
        <v>0</v>
      </c>
      <c r="AI125" s="1">
        <f t="shared" si="62"/>
        <v>0</v>
      </c>
      <c r="AJ125" s="1">
        <f t="shared" si="62"/>
        <v>0</v>
      </c>
      <c r="AK125" s="1">
        <f t="shared" si="62"/>
        <v>0</v>
      </c>
      <c r="AL125" s="1">
        <f t="shared" si="62"/>
        <v>1</v>
      </c>
      <c r="AM125" s="1">
        <f t="shared" si="62"/>
        <v>1</v>
      </c>
      <c r="AN125" s="1">
        <f t="shared" si="62"/>
        <v>1</v>
      </c>
      <c r="AO125" s="1">
        <f t="shared" si="62"/>
        <v>1</v>
      </c>
      <c r="AP125" s="1">
        <f t="shared" si="62"/>
        <v>1</v>
      </c>
      <c r="AQ125" s="1">
        <f t="shared" si="62"/>
        <v>1</v>
      </c>
      <c r="AR125" s="1">
        <f t="shared" si="62"/>
        <v>1</v>
      </c>
      <c r="AS125" s="1">
        <f t="shared" si="62"/>
        <v>1</v>
      </c>
      <c r="AT125" s="39">
        <f t="shared" si="25"/>
        <v>116599.5429775849</v>
      </c>
      <c r="AU125" s="39">
        <f t="shared" si="45"/>
        <v>116599.5429775849</v>
      </c>
      <c r="AV125" s="39">
        <f t="shared" si="58"/>
        <v>0</v>
      </c>
      <c r="AW125" s="3">
        <f t="shared" si="26"/>
        <v>51</v>
      </c>
      <c r="AX125" s="69">
        <f t="shared" si="46"/>
        <v>0</v>
      </c>
      <c r="AY125" s="75">
        <f t="shared" si="27"/>
        <v>0</v>
      </c>
      <c r="AZ125" s="75">
        <f t="shared" si="28"/>
        <v>0</v>
      </c>
      <c r="BA125" s="75">
        <f t="shared" si="29"/>
        <v>0</v>
      </c>
      <c r="BB125" s="75">
        <f t="shared" si="30"/>
        <v>0</v>
      </c>
      <c r="BD125" s="214">
        <f t="shared" si="47"/>
        <v>116226.12481068728</v>
      </c>
      <c r="BE125" s="214">
        <f t="shared" si="31"/>
        <v>565.73653952989253</v>
      </c>
      <c r="BF125" s="214">
        <f t="shared" si="48"/>
        <v>-192.318372632277</v>
      </c>
      <c r="BG125" s="224">
        <f t="shared" si="54"/>
        <v>0</v>
      </c>
      <c r="BH125" s="19">
        <f t="shared" si="50"/>
        <v>126211.09915042094</v>
      </c>
      <c r="BI125" s="214">
        <f t="shared" si="32"/>
        <v>614.33890702219901</v>
      </c>
      <c r="BJ125" s="214">
        <f t="shared" si="33"/>
        <v>0</v>
      </c>
      <c r="BK125" s="19">
        <f t="shared" si="55"/>
        <v>0</v>
      </c>
    </row>
    <row r="126" spans="1:63">
      <c r="A126" s="165">
        <f t="shared" si="34"/>
        <v>66.306125941136202</v>
      </c>
      <c r="B126" s="69">
        <f t="shared" si="35"/>
        <v>5</v>
      </c>
      <c r="C126" s="70">
        <f t="shared" si="36"/>
        <v>52</v>
      </c>
      <c r="D126" s="13">
        <f t="shared" si="37"/>
        <v>4.8675505653430484E-3</v>
      </c>
      <c r="E126" s="15">
        <f t="shared" si="9"/>
        <v>1</v>
      </c>
      <c r="F126" s="15">
        <f t="shared" si="38"/>
        <v>0</v>
      </c>
      <c r="G126" s="15">
        <f t="shared" si="10"/>
        <v>0</v>
      </c>
      <c r="H126" s="73">
        <f t="shared" si="11"/>
        <v>0.01</v>
      </c>
      <c r="I126" s="189"/>
      <c r="J126" s="189"/>
      <c r="K126" s="5">
        <f t="shared" si="56"/>
        <v>116599.5429775849</v>
      </c>
      <c r="M126" s="5">
        <f t="shared" si="39"/>
        <v>567.55417133928449</v>
      </c>
      <c r="N126" s="5">
        <f t="shared" si="12"/>
        <v>-192.93626447273934</v>
      </c>
      <c r="O126" s="5">
        <f t="shared" si="13"/>
        <v>0</v>
      </c>
      <c r="P126" s="5">
        <f t="shared" si="14"/>
        <v>0</v>
      </c>
      <c r="Q126" s="5">
        <f t="shared" si="51"/>
        <v>0</v>
      </c>
      <c r="R126" s="5">
        <f t="shared" si="40"/>
        <v>0</v>
      </c>
      <c r="S126" s="5">
        <f t="shared" si="15"/>
        <v>0</v>
      </c>
      <c r="T126" s="5">
        <f t="shared" si="16"/>
        <v>0</v>
      </c>
      <c r="U126" s="74">
        <f t="shared" si="17"/>
        <v>0</v>
      </c>
      <c r="V126" s="75">
        <f t="shared" si="41"/>
        <v>0</v>
      </c>
      <c r="W126" s="5">
        <f t="shared" si="18"/>
        <v>0</v>
      </c>
      <c r="X126" s="5">
        <f t="shared" si="19"/>
        <v>116974.16088445146</v>
      </c>
      <c r="Y126" s="5">
        <f t="shared" si="42"/>
        <v>100000</v>
      </c>
      <c r="Z126" s="215">
        <f t="shared" si="20"/>
        <v>1</v>
      </c>
      <c r="AA126" s="216">
        <f t="shared" si="43"/>
        <v>0</v>
      </c>
      <c r="AB126" s="72">
        <f t="shared" si="52"/>
        <v>0</v>
      </c>
      <c r="AC126" s="72">
        <f t="shared" si="21"/>
        <v>0</v>
      </c>
      <c r="AD126" s="72">
        <f t="shared" si="22"/>
        <v>0</v>
      </c>
      <c r="AE126" s="72">
        <f t="shared" si="53"/>
        <v>-24.358517568080281</v>
      </c>
      <c r="AF126" s="70">
        <f t="shared" si="44"/>
        <v>1169.7416088445145</v>
      </c>
      <c r="AG126" s="70">
        <f t="shared" si="23"/>
        <v>6005.6793247306368</v>
      </c>
      <c r="AH126" s="1">
        <f t="shared" si="62"/>
        <v>0</v>
      </c>
      <c r="AI126" s="1">
        <f t="shared" si="62"/>
        <v>0</v>
      </c>
      <c r="AJ126" s="1">
        <f t="shared" si="62"/>
        <v>0</v>
      </c>
      <c r="AK126" s="1">
        <f t="shared" si="62"/>
        <v>0</v>
      </c>
      <c r="AL126" s="1">
        <f t="shared" si="62"/>
        <v>1</v>
      </c>
      <c r="AM126" s="1">
        <f t="shared" si="62"/>
        <v>1</v>
      </c>
      <c r="AN126" s="1">
        <f t="shared" si="62"/>
        <v>1</v>
      </c>
      <c r="AO126" s="1">
        <f t="shared" si="62"/>
        <v>1</v>
      </c>
      <c r="AP126" s="1">
        <f t="shared" si="62"/>
        <v>1</v>
      </c>
      <c r="AQ126" s="1">
        <f t="shared" si="62"/>
        <v>1</v>
      </c>
      <c r="AR126" s="1">
        <f t="shared" si="62"/>
        <v>1</v>
      </c>
      <c r="AS126" s="1">
        <f t="shared" si="62"/>
        <v>1</v>
      </c>
      <c r="AT126" s="39">
        <f t="shared" si="25"/>
        <v>116974.16088445146</v>
      </c>
      <c r="AU126" s="39">
        <f t="shared" si="45"/>
        <v>116974.16088445146</v>
      </c>
      <c r="AV126" s="39">
        <f t="shared" si="58"/>
        <v>0</v>
      </c>
      <c r="AW126" s="3">
        <f t="shared" si="26"/>
        <v>52</v>
      </c>
      <c r="AX126" s="69">
        <f t="shared" si="46"/>
        <v>0</v>
      </c>
      <c r="AY126" s="75">
        <f t="shared" si="27"/>
        <v>0</v>
      </c>
      <c r="AZ126" s="75">
        <f t="shared" si="28"/>
        <v>0</v>
      </c>
      <c r="BA126" s="75">
        <f t="shared" si="29"/>
        <v>0</v>
      </c>
      <c r="BB126" s="75">
        <f t="shared" si="30"/>
        <v>0</v>
      </c>
      <c r="BD126" s="214">
        <f t="shared" si="47"/>
        <v>116599.5429775849</v>
      </c>
      <c r="BE126" s="214">
        <f t="shared" si="31"/>
        <v>567.55417133928449</v>
      </c>
      <c r="BF126" s="214">
        <f t="shared" si="48"/>
        <v>-192.93626447273934</v>
      </c>
      <c r="BG126" s="224">
        <f t="shared" si="54"/>
        <v>0</v>
      </c>
      <c r="BH126" s="19">
        <f t="shared" si="50"/>
        <v>126825.43805744314</v>
      </c>
      <c r="BI126" s="214">
        <f t="shared" si="32"/>
        <v>617.32923271638708</v>
      </c>
      <c r="BJ126" s="214">
        <f t="shared" si="33"/>
        <v>0</v>
      </c>
      <c r="BK126" s="19">
        <f t="shared" si="55"/>
        <v>0</v>
      </c>
    </row>
    <row r="127" spans="1:63">
      <c r="A127" s="165">
        <f t="shared" si="34"/>
        <v>66.389459274469544</v>
      </c>
      <c r="B127" s="69">
        <f t="shared" si="35"/>
        <v>5</v>
      </c>
      <c r="C127" s="70">
        <f t="shared" si="36"/>
        <v>53</v>
      </c>
      <c r="D127" s="13">
        <f t="shared" si="37"/>
        <v>4.8675505653430484E-3</v>
      </c>
      <c r="E127" s="15">
        <f t="shared" si="9"/>
        <v>1</v>
      </c>
      <c r="F127" s="15">
        <f t="shared" si="38"/>
        <v>0</v>
      </c>
      <c r="G127" s="15">
        <f t="shared" si="10"/>
        <v>0</v>
      </c>
      <c r="H127" s="73">
        <f t="shared" si="11"/>
        <v>0.01</v>
      </c>
      <c r="I127" s="189"/>
      <c r="J127" s="189"/>
      <c r="K127" s="5">
        <f t="shared" si="56"/>
        <v>116974.16088445146</v>
      </c>
      <c r="M127" s="5">
        <f t="shared" si="39"/>
        <v>569.37764294364035</v>
      </c>
      <c r="N127" s="5">
        <f t="shared" si="12"/>
        <v>-193.55614151264612</v>
      </c>
      <c r="O127" s="5">
        <f t="shared" si="13"/>
        <v>0</v>
      </c>
      <c r="P127" s="5">
        <f t="shared" si="14"/>
        <v>0</v>
      </c>
      <c r="Q127" s="5">
        <f t="shared" si="51"/>
        <v>0</v>
      </c>
      <c r="R127" s="5">
        <f t="shared" si="40"/>
        <v>0</v>
      </c>
      <c r="S127" s="5">
        <f t="shared" si="15"/>
        <v>0</v>
      </c>
      <c r="T127" s="5">
        <f t="shared" si="16"/>
        <v>0</v>
      </c>
      <c r="U127" s="74">
        <f t="shared" si="17"/>
        <v>0</v>
      </c>
      <c r="V127" s="75">
        <f t="shared" si="41"/>
        <v>0</v>
      </c>
      <c r="W127" s="5">
        <f t="shared" si="18"/>
        <v>0</v>
      </c>
      <c r="X127" s="5">
        <f t="shared" si="19"/>
        <v>117349.98238588245</v>
      </c>
      <c r="Y127" s="5">
        <f t="shared" si="42"/>
        <v>100000</v>
      </c>
      <c r="Z127" s="215">
        <f t="shared" si="20"/>
        <v>1</v>
      </c>
      <c r="AA127" s="216">
        <f t="shared" si="43"/>
        <v>0</v>
      </c>
      <c r="AB127" s="72">
        <f t="shared" si="52"/>
        <v>0</v>
      </c>
      <c r="AC127" s="72">
        <f t="shared" si="21"/>
        <v>0</v>
      </c>
      <c r="AD127" s="72">
        <f t="shared" si="22"/>
        <v>0</v>
      </c>
      <c r="AE127" s="72">
        <f t="shared" si="53"/>
        <v>-24.436778053779445</v>
      </c>
      <c r="AF127" s="70">
        <f t="shared" si="44"/>
        <v>1173.4998238588246</v>
      </c>
      <c r="AG127" s="70">
        <f t="shared" si="23"/>
        <v>6147.0633735689762</v>
      </c>
      <c r="AH127" s="1">
        <f t="shared" si="62"/>
        <v>0</v>
      </c>
      <c r="AI127" s="1">
        <f t="shared" si="62"/>
        <v>0</v>
      </c>
      <c r="AJ127" s="1">
        <f t="shared" si="62"/>
        <v>0</v>
      </c>
      <c r="AK127" s="1">
        <f t="shared" si="62"/>
        <v>0</v>
      </c>
      <c r="AL127" s="1">
        <f t="shared" si="62"/>
        <v>1</v>
      </c>
      <c r="AM127" s="1">
        <f t="shared" si="62"/>
        <v>1</v>
      </c>
      <c r="AN127" s="1">
        <f t="shared" si="62"/>
        <v>1</v>
      </c>
      <c r="AO127" s="1">
        <f t="shared" si="62"/>
        <v>1</v>
      </c>
      <c r="AP127" s="1">
        <f t="shared" si="62"/>
        <v>1</v>
      </c>
      <c r="AQ127" s="1">
        <f t="shared" si="62"/>
        <v>1</v>
      </c>
      <c r="AR127" s="1">
        <f t="shared" si="62"/>
        <v>1</v>
      </c>
      <c r="AS127" s="1">
        <f t="shared" si="62"/>
        <v>1</v>
      </c>
      <c r="AT127" s="39">
        <f t="shared" si="25"/>
        <v>117349.98238588245</v>
      </c>
      <c r="AU127" s="39">
        <f t="shared" si="45"/>
        <v>117349.98238588245</v>
      </c>
      <c r="AV127" s="39">
        <f t="shared" si="58"/>
        <v>0</v>
      </c>
      <c r="AW127" s="3">
        <f t="shared" si="26"/>
        <v>53</v>
      </c>
      <c r="AX127" s="69">
        <f t="shared" si="46"/>
        <v>0</v>
      </c>
      <c r="AY127" s="75">
        <f t="shared" si="27"/>
        <v>0</v>
      </c>
      <c r="AZ127" s="75">
        <f t="shared" si="28"/>
        <v>0</v>
      </c>
      <c r="BA127" s="75">
        <f t="shared" si="29"/>
        <v>0</v>
      </c>
      <c r="BB127" s="75">
        <f t="shared" si="30"/>
        <v>0</v>
      </c>
      <c r="BD127" s="214">
        <f t="shared" si="47"/>
        <v>116974.16088445146</v>
      </c>
      <c r="BE127" s="214">
        <f t="shared" si="31"/>
        <v>569.37764294364035</v>
      </c>
      <c r="BF127" s="214">
        <f t="shared" si="48"/>
        <v>-193.55614151264612</v>
      </c>
      <c r="BG127" s="224">
        <f t="shared" si="54"/>
        <v>0</v>
      </c>
      <c r="BH127" s="19">
        <f t="shared" si="50"/>
        <v>127442.76729015952</v>
      </c>
      <c r="BI127" s="214">
        <f t="shared" si="32"/>
        <v>620.33411397209852</v>
      </c>
      <c r="BJ127" s="214">
        <f t="shared" si="33"/>
        <v>0</v>
      </c>
      <c r="BK127" s="19">
        <f t="shared" si="55"/>
        <v>0</v>
      </c>
    </row>
    <row r="128" spans="1:63">
      <c r="A128" s="165">
        <f t="shared" si="34"/>
        <v>66.472792607802873</v>
      </c>
      <c r="B128" s="69">
        <f t="shared" si="35"/>
        <v>5</v>
      </c>
      <c r="C128" s="70">
        <f t="shared" si="36"/>
        <v>54</v>
      </c>
      <c r="D128" s="13">
        <f t="shared" si="37"/>
        <v>4.8675505653430484E-3</v>
      </c>
      <c r="E128" s="15">
        <f t="shared" si="9"/>
        <v>1</v>
      </c>
      <c r="F128" s="15">
        <f t="shared" si="38"/>
        <v>0</v>
      </c>
      <c r="G128" s="15">
        <f t="shared" si="10"/>
        <v>0</v>
      </c>
      <c r="H128" s="73">
        <f t="shared" si="11"/>
        <v>0.01</v>
      </c>
      <c r="I128" s="189"/>
      <c r="J128" s="189"/>
      <c r="K128" s="5">
        <f t="shared" si="56"/>
        <v>117349.98238588245</v>
      </c>
      <c r="M128" s="5">
        <f t="shared" si="39"/>
        <v>571.2069731053989</v>
      </c>
      <c r="N128" s="5">
        <f t="shared" si="12"/>
        <v>-194.17801013016353</v>
      </c>
      <c r="O128" s="5">
        <f t="shared" si="13"/>
        <v>0</v>
      </c>
      <c r="P128" s="5">
        <f t="shared" si="14"/>
        <v>0</v>
      </c>
      <c r="Q128" s="5">
        <f t="shared" si="51"/>
        <v>0</v>
      </c>
      <c r="R128" s="5">
        <f t="shared" si="40"/>
        <v>0</v>
      </c>
      <c r="S128" s="5">
        <f t="shared" si="15"/>
        <v>0</v>
      </c>
      <c r="T128" s="5">
        <f t="shared" si="16"/>
        <v>0</v>
      </c>
      <c r="U128" s="74">
        <f t="shared" si="17"/>
        <v>0</v>
      </c>
      <c r="V128" s="75">
        <f t="shared" si="41"/>
        <v>0</v>
      </c>
      <c r="W128" s="5">
        <f t="shared" si="18"/>
        <v>0</v>
      </c>
      <c r="X128" s="5">
        <f t="shared" si="19"/>
        <v>117727.01134885768</v>
      </c>
      <c r="Y128" s="5">
        <f t="shared" si="42"/>
        <v>100000</v>
      </c>
      <c r="Z128" s="215">
        <f t="shared" si="20"/>
        <v>1</v>
      </c>
      <c r="AA128" s="216">
        <f t="shared" si="43"/>
        <v>0</v>
      </c>
      <c r="AB128" s="72">
        <f t="shared" si="52"/>
        <v>0</v>
      </c>
      <c r="AC128" s="72">
        <f t="shared" si="21"/>
        <v>0</v>
      </c>
      <c r="AD128" s="72">
        <f t="shared" si="22"/>
        <v>0</v>
      </c>
      <c r="AE128" s="72">
        <f t="shared" si="53"/>
        <v>-24.515289979395046</v>
      </c>
      <c r="AF128" s="70">
        <f t="shared" si="44"/>
        <v>1177.2701134885767</v>
      </c>
      <c r="AG128" s="70">
        <f t="shared" si="23"/>
        <v>6288.901669440259</v>
      </c>
      <c r="AH128" s="1">
        <f t="shared" si="62"/>
        <v>0</v>
      </c>
      <c r="AI128" s="1">
        <f t="shared" si="62"/>
        <v>0</v>
      </c>
      <c r="AJ128" s="1">
        <f t="shared" si="62"/>
        <v>0</v>
      </c>
      <c r="AK128" s="1">
        <f t="shared" si="62"/>
        <v>0</v>
      </c>
      <c r="AL128" s="1">
        <f t="shared" si="62"/>
        <v>1</v>
      </c>
      <c r="AM128" s="1">
        <f t="shared" si="62"/>
        <v>1</v>
      </c>
      <c r="AN128" s="1">
        <f t="shared" si="62"/>
        <v>1</v>
      </c>
      <c r="AO128" s="1">
        <f t="shared" si="62"/>
        <v>1</v>
      </c>
      <c r="AP128" s="1">
        <f t="shared" si="62"/>
        <v>1</v>
      </c>
      <c r="AQ128" s="1">
        <f t="shared" si="62"/>
        <v>1</v>
      </c>
      <c r="AR128" s="1">
        <f t="shared" si="62"/>
        <v>1</v>
      </c>
      <c r="AS128" s="1">
        <f t="shared" si="62"/>
        <v>1</v>
      </c>
      <c r="AT128" s="39">
        <f t="shared" si="25"/>
        <v>117727.01134885768</v>
      </c>
      <c r="AU128" s="39">
        <f t="shared" si="45"/>
        <v>117727.01134885768</v>
      </c>
      <c r="AV128" s="39">
        <f t="shared" si="58"/>
        <v>0</v>
      </c>
      <c r="AW128" s="3">
        <f t="shared" si="26"/>
        <v>54</v>
      </c>
      <c r="AX128" s="69">
        <f t="shared" si="46"/>
        <v>0</v>
      </c>
      <c r="AY128" s="75">
        <f t="shared" si="27"/>
        <v>0</v>
      </c>
      <c r="AZ128" s="75">
        <f t="shared" si="28"/>
        <v>0</v>
      </c>
      <c r="BA128" s="75">
        <f t="shared" si="29"/>
        <v>0</v>
      </c>
      <c r="BB128" s="75">
        <f t="shared" si="30"/>
        <v>0</v>
      </c>
      <c r="BD128" s="214">
        <f t="shared" si="47"/>
        <v>117349.98238588245</v>
      </c>
      <c r="BE128" s="214">
        <f t="shared" si="31"/>
        <v>571.2069731053989</v>
      </c>
      <c r="BF128" s="214">
        <f t="shared" si="48"/>
        <v>-194.17801013016353</v>
      </c>
      <c r="BG128" s="224">
        <f t="shared" si="54"/>
        <v>0</v>
      </c>
      <c r="BH128" s="19">
        <f t="shared" si="50"/>
        <v>128063.10140413162</v>
      </c>
      <c r="BI128" s="214">
        <f t="shared" si="32"/>
        <v>623.35362163926504</v>
      </c>
      <c r="BJ128" s="214">
        <f t="shared" si="33"/>
        <v>0</v>
      </c>
      <c r="BK128" s="19">
        <f t="shared" si="55"/>
        <v>0</v>
      </c>
    </row>
    <row r="129" spans="1:63">
      <c r="A129" s="165">
        <f t="shared" si="34"/>
        <v>66.556125941136202</v>
      </c>
      <c r="B129" s="69">
        <f t="shared" si="35"/>
        <v>5</v>
      </c>
      <c r="C129" s="70">
        <f t="shared" si="36"/>
        <v>55</v>
      </c>
      <c r="D129" s="13">
        <f t="shared" si="37"/>
        <v>4.8675505653430484E-3</v>
      </c>
      <c r="E129" s="15">
        <f t="shared" si="9"/>
        <v>1</v>
      </c>
      <c r="F129" s="15">
        <f t="shared" si="38"/>
        <v>0</v>
      </c>
      <c r="G129" s="15">
        <f t="shared" si="10"/>
        <v>0</v>
      </c>
      <c r="H129" s="73">
        <f t="shared" si="11"/>
        <v>0.01</v>
      </c>
      <c r="I129" s="189"/>
      <c r="J129" s="189"/>
      <c r="K129" s="5">
        <f t="shared" si="56"/>
        <v>117727.01134885768</v>
      </c>
      <c r="M129" s="5">
        <f t="shared" si="39"/>
        <v>573.04218064727968</v>
      </c>
      <c r="N129" s="5">
        <f t="shared" si="12"/>
        <v>-194.80187672394987</v>
      </c>
      <c r="O129" s="5">
        <f t="shared" si="13"/>
        <v>0</v>
      </c>
      <c r="P129" s="5">
        <f t="shared" si="14"/>
        <v>0</v>
      </c>
      <c r="Q129" s="5">
        <f t="shared" si="51"/>
        <v>0</v>
      </c>
      <c r="R129" s="5">
        <f t="shared" si="40"/>
        <v>0</v>
      </c>
      <c r="S129" s="5">
        <f t="shared" si="15"/>
        <v>0</v>
      </c>
      <c r="T129" s="5">
        <f t="shared" si="16"/>
        <v>0</v>
      </c>
      <c r="U129" s="74">
        <f t="shared" si="17"/>
        <v>0</v>
      </c>
      <c r="V129" s="75">
        <f t="shared" si="41"/>
        <v>0</v>
      </c>
      <c r="W129" s="5">
        <f t="shared" si="18"/>
        <v>0</v>
      </c>
      <c r="X129" s="5">
        <f t="shared" si="19"/>
        <v>118105.25165278099</v>
      </c>
      <c r="Y129" s="5">
        <f t="shared" si="42"/>
        <v>100000</v>
      </c>
      <c r="Z129" s="215">
        <f t="shared" si="20"/>
        <v>1</v>
      </c>
      <c r="AA129" s="216">
        <f t="shared" si="43"/>
        <v>0</v>
      </c>
      <c r="AB129" s="72">
        <f t="shared" si="52"/>
        <v>0</v>
      </c>
      <c r="AC129" s="72">
        <f t="shared" si="21"/>
        <v>0</v>
      </c>
      <c r="AD129" s="72">
        <f t="shared" si="22"/>
        <v>0</v>
      </c>
      <c r="AE129" s="72">
        <f t="shared" si="53"/>
        <v>-24.594054152768116</v>
      </c>
      <c r="AF129" s="70">
        <f t="shared" si="44"/>
        <v>1181.05251652781</v>
      </c>
      <c r="AG129" s="70">
        <f t="shared" si="23"/>
        <v>6431.1956717762105</v>
      </c>
      <c r="AH129" s="1">
        <f t="shared" si="62"/>
        <v>0</v>
      </c>
      <c r="AI129" s="1">
        <f t="shared" si="62"/>
        <v>0</v>
      </c>
      <c r="AJ129" s="1">
        <f t="shared" si="62"/>
        <v>0</v>
      </c>
      <c r="AK129" s="1">
        <f t="shared" si="62"/>
        <v>0</v>
      </c>
      <c r="AL129" s="1">
        <f t="shared" si="62"/>
        <v>1</v>
      </c>
      <c r="AM129" s="1">
        <f t="shared" si="62"/>
        <v>1</v>
      </c>
      <c r="AN129" s="1">
        <f t="shared" si="62"/>
        <v>1</v>
      </c>
      <c r="AO129" s="1">
        <f t="shared" si="62"/>
        <v>1</v>
      </c>
      <c r="AP129" s="1">
        <f t="shared" si="62"/>
        <v>1</v>
      </c>
      <c r="AQ129" s="1">
        <f t="shared" si="62"/>
        <v>1</v>
      </c>
      <c r="AR129" s="1">
        <f t="shared" si="62"/>
        <v>1</v>
      </c>
      <c r="AS129" s="1">
        <f t="shared" si="62"/>
        <v>1</v>
      </c>
      <c r="AT129" s="39">
        <f t="shared" si="25"/>
        <v>118105.25165278099</v>
      </c>
      <c r="AU129" s="39">
        <f t="shared" si="45"/>
        <v>118105.25165278099</v>
      </c>
      <c r="AV129" s="39">
        <f t="shared" si="58"/>
        <v>0</v>
      </c>
      <c r="AW129" s="3">
        <f t="shared" si="26"/>
        <v>55</v>
      </c>
      <c r="AX129" s="69">
        <f t="shared" si="46"/>
        <v>0</v>
      </c>
      <c r="AY129" s="75">
        <f t="shared" si="27"/>
        <v>0</v>
      </c>
      <c r="AZ129" s="75">
        <f t="shared" si="28"/>
        <v>0</v>
      </c>
      <c r="BA129" s="75">
        <f t="shared" si="29"/>
        <v>0</v>
      </c>
      <c r="BB129" s="75">
        <f t="shared" si="30"/>
        <v>0</v>
      </c>
      <c r="BD129" s="214">
        <f t="shared" si="47"/>
        <v>117727.01134885768</v>
      </c>
      <c r="BE129" s="214">
        <f t="shared" si="31"/>
        <v>573.04218064727968</v>
      </c>
      <c r="BF129" s="214">
        <f t="shared" si="48"/>
        <v>-194.80187672394987</v>
      </c>
      <c r="BG129" s="224">
        <f t="shared" si="54"/>
        <v>0</v>
      </c>
      <c r="BH129" s="19">
        <f t="shared" si="50"/>
        <v>128686.45502577089</v>
      </c>
      <c r="BI129" s="214">
        <f t="shared" si="32"/>
        <v>626.38782691268386</v>
      </c>
      <c r="BJ129" s="214">
        <f t="shared" si="33"/>
        <v>0</v>
      </c>
      <c r="BK129" s="19">
        <f t="shared" si="55"/>
        <v>0</v>
      </c>
    </row>
    <row r="130" spans="1:63">
      <c r="A130" s="165">
        <f t="shared" si="34"/>
        <v>66.639459274469544</v>
      </c>
      <c r="B130" s="69">
        <f t="shared" si="35"/>
        <v>5</v>
      </c>
      <c r="C130" s="70">
        <f t="shared" si="36"/>
        <v>56</v>
      </c>
      <c r="D130" s="13">
        <f t="shared" si="37"/>
        <v>4.8675505653430484E-3</v>
      </c>
      <c r="E130" s="15">
        <f t="shared" si="9"/>
        <v>1</v>
      </c>
      <c r="F130" s="15">
        <f t="shared" si="38"/>
        <v>0</v>
      </c>
      <c r="G130" s="15">
        <f t="shared" si="10"/>
        <v>0</v>
      </c>
      <c r="H130" s="73">
        <f t="shared" si="11"/>
        <v>0.01</v>
      </c>
      <c r="I130" s="189"/>
      <c r="J130" s="189"/>
      <c r="K130" s="5">
        <f t="shared" si="56"/>
        <v>118105.25165278099</v>
      </c>
      <c r="M130" s="5">
        <f t="shared" si="39"/>
        <v>574.88328445247714</v>
      </c>
      <c r="N130" s="5">
        <f t="shared" si="12"/>
        <v>-195.42774771322149</v>
      </c>
      <c r="O130" s="5">
        <f t="shared" si="13"/>
        <v>0</v>
      </c>
      <c r="P130" s="5">
        <f t="shared" si="14"/>
        <v>0</v>
      </c>
      <c r="Q130" s="5">
        <f t="shared" si="51"/>
        <v>0</v>
      </c>
      <c r="R130" s="5">
        <f t="shared" si="40"/>
        <v>0</v>
      </c>
      <c r="S130" s="5">
        <f t="shared" si="15"/>
        <v>0</v>
      </c>
      <c r="T130" s="5">
        <f t="shared" si="16"/>
        <v>0</v>
      </c>
      <c r="U130" s="74">
        <f t="shared" si="17"/>
        <v>0</v>
      </c>
      <c r="V130" s="75">
        <f t="shared" si="41"/>
        <v>0</v>
      </c>
      <c r="W130" s="5">
        <f t="shared" si="18"/>
        <v>0</v>
      </c>
      <c r="X130" s="5">
        <f t="shared" si="19"/>
        <v>118484.70718952024</v>
      </c>
      <c r="Y130" s="5">
        <f t="shared" si="42"/>
        <v>100000</v>
      </c>
      <c r="Z130" s="215">
        <f t="shared" si="20"/>
        <v>1</v>
      </c>
      <c r="AA130" s="216">
        <f t="shared" si="43"/>
        <v>0</v>
      </c>
      <c r="AB130" s="72">
        <f t="shared" si="52"/>
        <v>0</v>
      </c>
      <c r="AC130" s="72">
        <f t="shared" si="21"/>
        <v>0</v>
      </c>
      <c r="AD130" s="72">
        <f t="shared" si="22"/>
        <v>0</v>
      </c>
      <c r="AE130" s="72">
        <f t="shared" si="53"/>
        <v>-24.673071384335167</v>
      </c>
      <c r="AF130" s="70">
        <f t="shared" si="44"/>
        <v>1184.8470718952024</v>
      </c>
      <c r="AG130" s="70">
        <f t="shared" si="23"/>
        <v>6573.9468446975143</v>
      </c>
      <c r="AH130" s="1">
        <f t="shared" si="62"/>
        <v>0</v>
      </c>
      <c r="AI130" s="1">
        <f t="shared" si="62"/>
        <v>0</v>
      </c>
      <c r="AJ130" s="1">
        <f t="shared" si="62"/>
        <v>0</v>
      </c>
      <c r="AK130" s="1">
        <f t="shared" si="62"/>
        <v>0</v>
      </c>
      <c r="AL130" s="1">
        <f t="shared" si="62"/>
        <v>1</v>
      </c>
      <c r="AM130" s="1">
        <f t="shared" si="62"/>
        <v>1</v>
      </c>
      <c r="AN130" s="1">
        <f t="shared" si="62"/>
        <v>1</v>
      </c>
      <c r="AO130" s="1">
        <f t="shared" si="62"/>
        <v>1</v>
      </c>
      <c r="AP130" s="1">
        <f t="shared" si="62"/>
        <v>1</v>
      </c>
      <c r="AQ130" s="1">
        <f t="shared" si="62"/>
        <v>1</v>
      </c>
      <c r="AR130" s="1">
        <f t="shared" si="62"/>
        <v>1</v>
      </c>
      <c r="AS130" s="1">
        <f t="shared" si="62"/>
        <v>1</v>
      </c>
      <c r="AT130" s="39">
        <f t="shared" si="25"/>
        <v>118484.70718952024</v>
      </c>
      <c r="AU130" s="39">
        <f t="shared" si="45"/>
        <v>118484.70718952024</v>
      </c>
      <c r="AV130" s="39">
        <f t="shared" si="58"/>
        <v>0</v>
      </c>
      <c r="AW130" s="3">
        <f t="shared" si="26"/>
        <v>56</v>
      </c>
      <c r="AX130" s="69">
        <f t="shared" si="46"/>
        <v>0</v>
      </c>
      <c r="AY130" s="75">
        <f t="shared" si="27"/>
        <v>0</v>
      </c>
      <c r="AZ130" s="75">
        <f t="shared" si="28"/>
        <v>0</v>
      </c>
      <c r="BA130" s="75">
        <f t="shared" si="29"/>
        <v>0</v>
      </c>
      <c r="BB130" s="75">
        <f t="shared" si="30"/>
        <v>0</v>
      </c>
      <c r="BD130" s="214">
        <f t="shared" si="47"/>
        <v>118105.25165278099</v>
      </c>
      <c r="BE130" s="214">
        <f t="shared" si="31"/>
        <v>574.88328445247714</v>
      </c>
      <c r="BF130" s="214">
        <f t="shared" si="48"/>
        <v>-195.42774771322149</v>
      </c>
      <c r="BG130" s="224">
        <f t="shared" si="54"/>
        <v>0</v>
      </c>
      <c r="BH130" s="19">
        <f t="shared" si="50"/>
        <v>129312.84285268358</v>
      </c>
      <c r="BI130" s="214">
        <f t="shared" si="32"/>
        <v>629.43680133369674</v>
      </c>
      <c r="BJ130" s="214">
        <f t="shared" si="33"/>
        <v>0</v>
      </c>
      <c r="BK130" s="19">
        <f t="shared" si="55"/>
        <v>0</v>
      </c>
    </row>
    <row r="131" spans="1:63">
      <c r="A131" s="165">
        <f t="shared" si="34"/>
        <v>66.722792607802873</v>
      </c>
      <c r="B131" s="69">
        <f t="shared" si="35"/>
        <v>5</v>
      </c>
      <c r="C131" s="70">
        <f t="shared" si="36"/>
        <v>57</v>
      </c>
      <c r="D131" s="13">
        <f t="shared" si="37"/>
        <v>4.8675505653430484E-3</v>
      </c>
      <c r="E131" s="15">
        <f t="shared" si="9"/>
        <v>1</v>
      </c>
      <c r="F131" s="15">
        <f t="shared" si="38"/>
        <v>0</v>
      </c>
      <c r="G131" s="15">
        <f t="shared" si="10"/>
        <v>0</v>
      </c>
      <c r="H131" s="73">
        <f t="shared" si="11"/>
        <v>0.01</v>
      </c>
      <c r="I131" s="189"/>
      <c r="J131" s="189"/>
      <c r="K131" s="5">
        <f t="shared" si="56"/>
        <v>118484.70718952024</v>
      </c>
      <c r="M131" s="5">
        <f t="shared" si="39"/>
        <v>576.73030346485484</v>
      </c>
      <c r="N131" s="5">
        <f t="shared" si="12"/>
        <v>-196.0556295378187</v>
      </c>
      <c r="O131" s="5">
        <f t="shared" si="13"/>
        <v>0</v>
      </c>
      <c r="P131" s="5">
        <f t="shared" si="14"/>
        <v>0</v>
      </c>
      <c r="Q131" s="5">
        <f t="shared" si="51"/>
        <v>0</v>
      </c>
      <c r="R131" s="5">
        <f t="shared" si="40"/>
        <v>0</v>
      </c>
      <c r="S131" s="5">
        <f t="shared" si="15"/>
        <v>0</v>
      </c>
      <c r="T131" s="5">
        <f t="shared" si="16"/>
        <v>0</v>
      </c>
      <c r="U131" s="74">
        <f t="shared" si="17"/>
        <v>0</v>
      </c>
      <c r="V131" s="75">
        <f t="shared" si="41"/>
        <v>0</v>
      </c>
      <c r="W131" s="5">
        <f t="shared" si="18"/>
        <v>0</v>
      </c>
      <c r="X131" s="5">
        <f t="shared" si="19"/>
        <v>118865.38186344727</v>
      </c>
      <c r="Y131" s="5">
        <f t="shared" si="42"/>
        <v>100000</v>
      </c>
      <c r="Z131" s="215">
        <f t="shared" si="20"/>
        <v>1</v>
      </c>
      <c r="AA131" s="216">
        <f t="shared" si="43"/>
        <v>0</v>
      </c>
      <c r="AB131" s="72">
        <f t="shared" si="52"/>
        <v>0</v>
      </c>
      <c r="AC131" s="72">
        <f t="shared" si="21"/>
        <v>0</v>
      </c>
      <c r="AD131" s="72">
        <f t="shared" si="22"/>
        <v>0</v>
      </c>
      <c r="AE131" s="72">
        <f t="shared" si="53"/>
        <v>-24.752342487136531</v>
      </c>
      <c r="AF131" s="70">
        <f t="shared" si="44"/>
        <v>1188.6538186344728</v>
      </c>
      <c r="AG131" s="70">
        <f t="shared" si="23"/>
        <v>6717.1566570288642</v>
      </c>
      <c r="AH131" s="1">
        <f t="shared" si="62"/>
        <v>0</v>
      </c>
      <c r="AI131" s="1">
        <f t="shared" si="62"/>
        <v>0</v>
      </c>
      <c r="AJ131" s="1">
        <f t="shared" si="62"/>
        <v>0</v>
      </c>
      <c r="AK131" s="1">
        <f t="shared" si="62"/>
        <v>0</v>
      </c>
      <c r="AL131" s="1">
        <f t="shared" si="62"/>
        <v>1</v>
      </c>
      <c r="AM131" s="1">
        <f t="shared" si="62"/>
        <v>1</v>
      </c>
      <c r="AN131" s="1">
        <f t="shared" si="62"/>
        <v>1</v>
      </c>
      <c r="AO131" s="1">
        <f t="shared" si="62"/>
        <v>1</v>
      </c>
      <c r="AP131" s="1">
        <f t="shared" si="62"/>
        <v>1</v>
      </c>
      <c r="AQ131" s="1">
        <f t="shared" si="62"/>
        <v>1</v>
      </c>
      <c r="AR131" s="1">
        <f t="shared" si="62"/>
        <v>1</v>
      </c>
      <c r="AS131" s="1">
        <f t="shared" si="62"/>
        <v>1</v>
      </c>
      <c r="AT131" s="39">
        <f t="shared" si="25"/>
        <v>118865.38186344727</v>
      </c>
      <c r="AU131" s="39">
        <f t="shared" si="45"/>
        <v>118865.38186344727</v>
      </c>
      <c r="AV131" s="39">
        <f t="shared" si="58"/>
        <v>0</v>
      </c>
      <c r="AW131" s="3">
        <f t="shared" si="26"/>
        <v>57</v>
      </c>
      <c r="AX131" s="69">
        <f t="shared" si="46"/>
        <v>0</v>
      </c>
      <c r="AY131" s="75">
        <f t="shared" si="27"/>
        <v>0</v>
      </c>
      <c r="AZ131" s="75">
        <f t="shared" si="28"/>
        <v>0</v>
      </c>
      <c r="BA131" s="75">
        <f t="shared" si="29"/>
        <v>0</v>
      </c>
      <c r="BB131" s="75">
        <f t="shared" si="30"/>
        <v>0</v>
      </c>
      <c r="BD131" s="214">
        <f t="shared" si="47"/>
        <v>118484.70718952024</v>
      </c>
      <c r="BE131" s="214">
        <f t="shared" si="31"/>
        <v>576.73030346485484</v>
      </c>
      <c r="BF131" s="214">
        <f t="shared" si="48"/>
        <v>-196.0556295378187</v>
      </c>
      <c r="BG131" s="224">
        <f t="shared" si="54"/>
        <v>0</v>
      </c>
      <c r="BH131" s="19">
        <f t="shared" si="50"/>
        <v>129942.27965401727</v>
      </c>
      <c r="BI131" s="214">
        <f t="shared" si="32"/>
        <v>632.50061679187627</v>
      </c>
      <c r="BJ131" s="214">
        <f t="shared" si="33"/>
        <v>0</v>
      </c>
      <c r="BK131" s="19">
        <f t="shared" si="55"/>
        <v>0</v>
      </c>
    </row>
    <row r="132" spans="1:63">
      <c r="A132" s="165">
        <f t="shared" si="34"/>
        <v>66.806125941136202</v>
      </c>
      <c r="B132" s="69">
        <f t="shared" si="35"/>
        <v>5</v>
      </c>
      <c r="C132" s="70">
        <f t="shared" si="36"/>
        <v>58</v>
      </c>
      <c r="D132" s="13">
        <f t="shared" si="37"/>
        <v>4.8675505653430484E-3</v>
      </c>
      <c r="E132" s="15">
        <f t="shared" si="9"/>
        <v>1</v>
      </c>
      <c r="F132" s="15">
        <f t="shared" si="38"/>
        <v>0</v>
      </c>
      <c r="G132" s="15">
        <f t="shared" si="10"/>
        <v>0</v>
      </c>
      <c r="H132" s="73">
        <f t="shared" si="11"/>
        <v>0.01</v>
      </c>
      <c r="I132" s="189"/>
      <c r="J132" s="189"/>
      <c r="K132" s="5">
        <f t="shared" si="56"/>
        <v>118865.38186344727</v>
      </c>
      <c r="M132" s="5">
        <f t="shared" si="39"/>
        <v>578.58325668914006</v>
      </c>
      <c r="N132" s="5">
        <f t="shared" si="12"/>
        <v>-196.68552865827218</v>
      </c>
      <c r="O132" s="5">
        <f t="shared" si="13"/>
        <v>0</v>
      </c>
      <c r="P132" s="5">
        <f t="shared" si="14"/>
        <v>0</v>
      </c>
      <c r="Q132" s="5">
        <f t="shared" si="51"/>
        <v>0</v>
      </c>
      <c r="R132" s="5">
        <f t="shared" si="40"/>
        <v>0</v>
      </c>
      <c r="S132" s="5">
        <f t="shared" si="15"/>
        <v>0</v>
      </c>
      <c r="T132" s="5">
        <f t="shared" si="16"/>
        <v>0</v>
      </c>
      <c r="U132" s="74">
        <f t="shared" si="17"/>
        <v>0</v>
      </c>
      <c r="V132" s="75">
        <f t="shared" si="41"/>
        <v>0</v>
      </c>
      <c r="W132" s="5">
        <f t="shared" si="18"/>
        <v>0</v>
      </c>
      <c r="X132" s="5">
        <f t="shared" si="19"/>
        <v>119247.27959147813</v>
      </c>
      <c r="Y132" s="5">
        <f t="shared" si="42"/>
        <v>100000</v>
      </c>
      <c r="Z132" s="215">
        <f t="shared" si="20"/>
        <v>1</v>
      </c>
      <c r="AA132" s="216">
        <f t="shared" si="43"/>
        <v>0</v>
      </c>
      <c r="AB132" s="72">
        <f t="shared" si="52"/>
        <v>0</v>
      </c>
      <c r="AC132" s="72">
        <f t="shared" si="21"/>
        <v>0</v>
      </c>
      <c r="AD132" s="72">
        <f t="shared" si="22"/>
        <v>0</v>
      </c>
      <c r="AE132" s="72">
        <f t="shared" si="53"/>
        <v>-24.831868276824721</v>
      </c>
      <c r="AF132" s="70">
        <f t="shared" si="44"/>
        <v>1192.4727959147813</v>
      </c>
      <c r="AG132" s="70">
        <f t="shared" si="23"/>
        <v>6860.8265823140709</v>
      </c>
      <c r="AH132" s="1">
        <f t="shared" si="62"/>
        <v>0</v>
      </c>
      <c r="AI132" s="1">
        <f t="shared" si="62"/>
        <v>0</v>
      </c>
      <c r="AJ132" s="1">
        <f t="shared" si="62"/>
        <v>0</v>
      </c>
      <c r="AK132" s="1">
        <f t="shared" si="62"/>
        <v>0</v>
      </c>
      <c r="AL132" s="1">
        <f t="shared" si="62"/>
        <v>1</v>
      </c>
      <c r="AM132" s="1">
        <f t="shared" si="62"/>
        <v>1</v>
      </c>
      <c r="AN132" s="1">
        <f t="shared" si="62"/>
        <v>1</v>
      </c>
      <c r="AO132" s="1">
        <f t="shared" si="62"/>
        <v>1</v>
      </c>
      <c r="AP132" s="1">
        <f t="shared" si="62"/>
        <v>1</v>
      </c>
      <c r="AQ132" s="1">
        <f t="shared" si="62"/>
        <v>1</v>
      </c>
      <c r="AR132" s="1">
        <f t="shared" si="62"/>
        <v>1</v>
      </c>
      <c r="AS132" s="1">
        <f t="shared" si="62"/>
        <v>1</v>
      </c>
      <c r="AT132" s="39">
        <f t="shared" si="25"/>
        <v>119247.27959147813</v>
      </c>
      <c r="AU132" s="39">
        <f t="shared" si="45"/>
        <v>119247.27959147813</v>
      </c>
      <c r="AV132" s="39">
        <f t="shared" si="58"/>
        <v>0</v>
      </c>
      <c r="AW132" s="3">
        <f t="shared" si="26"/>
        <v>58</v>
      </c>
      <c r="AX132" s="69">
        <f t="shared" si="46"/>
        <v>0</v>
      </c>
      <c r="AY132" s="75">
        <f t="shared" si="27"/>
        <v>0</v>
      </c>
      <c r="AZ132" s="75">
        <f t="shared" si="28"/>
        <v>0</v>
      </c>
      <c r="BA132" s="75">
        <f t="shared" si="29"/>
        <v>0</v>
      </c>
      <c r="BB132" s="75">
        <f t="shared" si="30"/>
        <v>0</v>
      </c>
      <c r="BD132" s="214">
        <f t="shared" si="47"/>
        <v>118865.38186344727</v>
      </c>
      <c r="BE132" s="214">
        <f t="shared" si="31"/>
        <v>578.58325668914006</v>
      </c>
      <c r="BF132" s="214">
        <f t="shared" si="48"/>
        <v>-196.68552865827218</v>
      </c>
      <c r="BG132" s="224">
        <f t="shared" si="54"/>
        <v>0</v>
      </c>
      <c r="BH132" s="19">
        <f t="shared" si="50"/>
        <v>130574.78027080915</v>
      </c>
      <c r="BI132" s="214">
        <f t="shared" si="32"/>
        <v>635.57934552672134</v>
      </c>
      <c r="BJ132" s="214">
        <f t="shared" si="33"/>
        <v>0</v>
      </c>
      <c r="BK132" s="19">
        <f t="shared" si="55"/>
        <v>0</v>
      </c>
    </row>
    <row r="133" spans="1:63">
      <c r="A133" s="165">
        <f t="shared" si="34"/>
        <v>66.889459274469544</v>
      </c>
      <c r="B133" s="69">
        <f t="shared" si="35"/>
        <v>5</v>
      </c>
      <c r="C133" s="70">
        <f t="shared" si="36"/>
        <v>59</v>
      </c>
      <c r="D133" s="13">
        <f t="shared" si="37"/>
        <v>4.8675505653430484E-3</v>
      </c>
      <c r="E133" s="15">
        <f t="shared" si="9"/>
        <v>1</v>
      </c>
      <c r="F133" s="15">
        <f t="shared" si="38"/>
        <v>0</v>
      </c>
      <c r="G133" s="15">
        <f t="shared" si="10"/>
        <v>0</v>
      </c>
      <c r="H133" s="73">
        <f t="shared" si="11"/>
        <v>0.01</v>
      </c>
      <c r="I133" s="189"/>
      <c r="J133" s="189"/>
      <c r="K133" s="5">
        <f t="shared" si="56"/>
        <v>119247.27959147813</v>
      </c>
      <c r="M133" s="5">
        <f t="shared" si="39"/>
        <v>580.4421631911199</v>
      </c>
      <c r="N133" s="5">
        <f t="shared" si="12"/>
        <v>-197.31745155586935</v>
      </c>
      <c r="O133" s="5">
        <f t="shared" si="13"/>
        <v>0</v>
      </c>
      <c r="P133" s="5">
        <f t="shared" si="14"/>
        <v>0</v>
      </c>
      <c r="Q133" s="5">
        <f t="shared" si="51"/>
        <v>0</v>
      </c>
      <c r="R133" s="5">
        <f t="shared" si="40"/>
        <v>0</v>
      </c>
      <c r="S133" s="5">
        <f t="shared" si="15"/>
        <v>0</v>
      </c>
      <c r="T133" s="5">
        <f t="shared" si="16"/>
        <v>0</v>
      </c>
      <c r="U133" s="74">
        <f t="shared" si="17"/>
        <v>0</v>
      </c>
      <c r="V133" s="75">
        <f t="shared" si="41"/>
        <v>0</v>
      </c>
      <c r="W133" s="5">
        <f t="shared" si="18"/>
        <v>0</v>
      </c>
      <c r="X133" s="5">
        <f t="shared" si="19"/>
        <v>119630.40430311339</v>
      </c>
      <c r="Y133" s="5">
        <f t="shared" si="42"/>
        <v>100000</v>
      </c>
      <c r="Z133" s="215">
        <f t="shared" si="20"/>
        <v>1</v>
      </c>
      <c r="AA133" s="216">
        <f t="shared" si="43"/>
        <v>0</v>
      </c>
      <c r="AB133" s="72">
        <f t="shared" si="52"/>
        <v>0</v>
      </c>
      <c r="AC133" s="72">
        <f t="shared" si="21"/>
        <v>0</v>
      </c>
      <c r="AD133" s="72">
        <f t="shared" si="22"/>
        <v>0</v>
      </c>
      <c r="AE133" s="72">
        <f t="shared" si="53"/>
        <v>-24.911649571672836</v>
      </c>
      <c r="AF133" s="70">
        <f t="shared" si="44"/>
        <v>1196.3040430311339</v>
      </c>
      <c r="AG133" s="70">
        <f t="shared" si="23"/>
        <v>7004.9580988312564</v>
      </c>
      <c r="AH133" s="1">
        <f t="shared" si="62"/>
        <v>0</v>
      </c>
      <c r="AI133" s="1">
        <f t="shared" si="62"/>
        <v>0</v>
      </c>
      <c r="AJ133" s="1">
        <f t="shared" si="62"/>
        <v>0</v>
      </c>
      <c r="AK133" s="1">
        <f t="shared" si="62"/>
        <v>0</v>
      </c>
      <c r="AL133" s="1">
        <f t="shared" si="62"/>
        <v>1</v>
      </c>
      <c r="AM133" s="1">
        <f t="shared" si="62"/>
        <v>1</v>
      </c>
      <c r="AN133" s="1">
        <f t="shared" si="62"/>
        <v>1</v>
      </c>
      <c r="AO133" s="1">
        <f t="shared" si="62"/>
        <v>1</v>
      </c>
      <c r="AP133" s="1">
        <f t="shared" si="62"/>
        <v>1</v>
      </c>
      <c r="AQ133" s="1">
        <f t="shared" si="62"/>
        <v>1</v>
      </c>
      <c r="AR133" s="1">
        <f t="shared" si="62"/>
        <v>1</v>
      </c>
      <c r="AS133" s="1">
        <f t="shared" si="62"/>
        <v>1</v>
      </c>
      <c r="AT133" s="39">
        <f t="shared" si="25"/>
        <v>119630.40430311339</v>
      </c>
      <c r="AU133" s="39">
        <f t="shared" si="45"/>
        <v>119630.40430311339</v>
      </c>
      <c r="AV133" s="39">
        <f t="shared" si="58"/>
        <v>0</v>
      </c>
      <c r="AW133" s="3">
        <f t="shared" si="26"/>
        <v>59</v>
      </c>
      <c r="AX133" s="69">
        <f t="shared" si="46"/>
        <v>0</v>
      </c>
      <c r="AY133" s="75">
        <f t="shared" si="27"/>
        <v>0</v>
      </c>
      <c r="AZ133" s="75">
        <f t="shared" si="28"/>
        <v>0</v>
      </c>
      <c r="BA133" s="75">
        <f t="shared" si="29"/>
        <v>0</v>
      </c>
      <c r="BB133" s="75">
        <f t="shared" si="30"/>
        <v>0</v>
      </c>
      <c r="BD133" s="214">
        <f t="shared" si="47"/>
        <v>119247.27959147813</v>
      </c>
      <c r="BE133" s="214">
        <f t="shared" si="31"/>
        <v>580.4421631911199</v>
      </c>
      <c r="BF133" s="214">
        <f t="shared" si="48"/>
        <v>-197.31745155586935</v>
      </c>
      <c r="BG133" s="224">
        <f t="shared" si="54"/>
        <v>0</v>
      </c>
      <c r="BH133" s="19">
        <f t="shared" si="50"/>
        <v>131210.35961633586</v>
      </c>
      <c r="BI133" s="214">
        <f t="shared" si="32"/>
        <v>638.67306012936035</v>
      </c>
      <c r="BJ133" s="214">
        <f t="shared" si="33"/>
        <v>0</v>
      </c>
      <c r="BK133" s="19">
        <f t="shared" si="55"/>
        <v>0</v>
      </c>
    </row>
    <row r="134" spans="1:63">
      <c r="A134" s="165">
        <f t="shared" si="34"/>
        <v>66.972792607802873</v>
      </c>
      <c r="B134" s="69">
        <f t="shared" si="35"/>
        <v>5</v>
      </c>
      <c r="C134" s="70">
        <f t="shared" si="36"/>
        <v>60</v>
      </c>
      <c r="D134" s="13">
        <f t="shared" si="37"/>
        <v>4.8675505653430484E-3</v>
      </c>
      <c r="E134" s="15">
        <f t="shared" si="9"/>
        <v>1</v>
      </c>
      <c r="F134" s="15">
        <f t="shared" si="38"/>
        <v>0</v>
      </c>
      <c r="G134" s="15">
        <f t="shared" si="10"/>
        <v>0</v>
      </c>
      <c r="H134" s="73">
        <f t="shared" si="11"/>
        <v>0.01</v>
      </c>
      <c r="I134" s="189"/>
      <c r="J134" s="189"/>
      <c r="K134" s="5">
        <f t="shared" si="56"/>
        <v>119630.40430311339</v>
      </c>
      <c r="M134" s="5">
        <f t="shared" si="39"/>
        <v>582.3070420978371</v>
      </c>
      <c r="N134" s="5">
        <f t="shared" si="12"/>
        <v>-197.95140473272113</v>
      </c>
      <c r="O134" s="5">
        <f t="shared" si="13"/>
        <v>0</v>
      </c>
      <c r="P134" s="5">
        <f t="shared" si="14"/>
        <v>0</v>
      </c>
      <c r="Q134" s="5">
        <f t="shared" si="51"/>
        <v>0</v>
      </c>
      <c r="R134" s="5">
        <f t="shared" si="40"/>
        <v>0</v>
      </c>
      <c r="S134" s="5">
        <f t="shared" si="15"/>
        <v>0</v>
      </c>
      <c r="T134" s="5">
        <f t="shared" si="16"/>
        <v>0</v>
      </c>
      <c r="U134" s="74">
        <f t="shared" si="17"/>
        <v>0</v>
      </c>
      <c r="V134" s="75">
        <f t="shared" si="41"/>
        <v>0</v>
      </c>
      <c r="W134" s="5">
        <f t="shared" si="18"/>
        <v>0</v>
      </c>
      <c r="X134" s="5">
        <f t="shared" si="19"/>
        <v>120014.7599404785</v>
      </c>
      <c r="Y134" s="5">
        <f t="shared" si="42"/>
        <v>100000</v>
      </c>
      <c r="Z134" s="215">
        <f t="shared" si="20"/>
        <v>1</v>
      </c>
      <c r="AA134" s="216">
        <f t="shared" si="43"/>
        <v>0</v>
      </c>
      <c r="AB134" s="72">
        <f t="shared" si="52"/>
        <v>0</v>
      </c>
      <c r="AC134" s="72">
        <f t="shared" si="21"/>
        <v>0</v>
      </c>
      <c r="AD134" s="72">
        <f t="shared" si="22"/>
        <v>0</v>
      </c>
      <c r="AE134" s="72">
        <f t="shared" si="53"/>
        <v>-24.991687192582955</v>
      </c>
      <c r="AF134" s="70">
        <f t="shared" si="44"/>
        <v>1200.1475994047851</v>
      </c>
      <c r="AG134" s="70">
        <f t="shared" si="23"/>
        <v>7149.5526896080137</v>
      </c>
      <c r="AH134" s="1">
        <f t="shared" si="62"/>
        <v>0</v>
      </c>
      <c r="AI134" s="1">
        <f t="shared" si="62"/>
        <v>0</v>
      </c>
      <c r="AJ134" s="1">
        <f t="shared" si="62"/>
        <v>0</v>
      </c>
      <c r="AK134" s="1">
        <f t="shared" si="62"/>
        <v>0</v>
      </c>
      <c r="AL134" s="1">
        <f t="shared" si="62"/>
        <v>1</v>
      </c>
      <c r="AM134" s="1">
        <f t="shared" si="62"/>
        <v>1</v>
      </c>
      <c r="AN134" s="1">
        <f t="shared" si="62"/>
        <v>1</v>
      </c>
      <c r="AO134" s="1">
        <f t="shared" si="62"/>
        <v>1</v>
      </c>
      <c r="AP134" s="1">
        <f t="shared" si="62"/>
        <v>1</v>
      </c>
      <c r="AQ134" s="1">
        <f t="shared" si="62"/>
        <v>1</v>
      </c>
      <c r="AR134" s="1">
        <f t="shared" si="62"/>
        <v>1</v>
      </c>
      <c r="AS134" s="1">
        <f t="shared" si="62"/>
        <v>1</v>
      </c>
      <c r="AT134" s="39">
        <f t="shared" si="25"/>
        <v>120014.7599404785</v>
      </c>
      <c r="AU134" s="39">
        <f t="shared" si="45"/>
        <v>120014.7599404785</v>
      </c>
      <c r="AV134" s="39">
        <f t="shared" si="58"/>
        <v>0</v>
      </c>
      <c r="AW134" s="3">
        <f t="shared" si="26"/>
        <v>60</v>
      </c>
      <c r="AX134" s="69">
        <f t="shared" si="46"/>
        <v>0</v>
      </c>
      <c r="AY134" s="75">
        <f t="shared" si="27"/>
        <v>0</v>
      </c>
      <c r="AZ134" s="75">
        <f t="shared" si="28"/>
        <v>0</v>
      </c>
      <c r="BA134" s="75">
        <f t="shared" si="29"/>
        <v>0</v>
      </c>
      <c r="BB134" s="75">
        <f t="shared" si="30"/>
        <v>0</v>
      </c>
      <c r="BD134" s="214">
        <f t="shared" si="47"/>
        <v>119630.40430311339</v>
      </c>
      <c r="BE134" s="214">
        <f t="shared" si="31"/>
        <v>582.3070420978371</v>
      </c>
      <c r="BF134" s="214">
        <f t="shared" si="48"/>
        <v>-197.95140473272113</v>
      </c>
      <c r="BG134" s="224">
        <f t="shared" si="54"/>
        <v>0</v>
      </c>
      <c r="BH134" s="19">
        <f t="shared" si="50"/>
        <v>131849.03267646523</v>
      </c>
      <c r="BI134" s="214">
        <f t="shared" si="32"/>
        <v>641.78183354426233</v>
      </c>
      <c r="BJ134" s="214">
        <f t="shared" si="33"/>
        <v>0</v>
      </c>
      <c r="BK134" s="19">
        <f t="shared" si="55"/>
        <v>0</v>
      </c>
    </row>
    <row r="135" spans="1:63">
      <c r="A135" s="165">
        <f t="shared" si="34"/>
        <v>67.056125941136202</v>
      </c>
      <c r="B135" s="69">
        <f t="shared" si="35"/>
        <v>6</v>
      </c>
      <c r="C135" s="70">
        <f t="shared" si="36"/>
        <v>61</v>
      </c>
      <c r="D135" s="13">
        <f t="shared" si="37"/>
        <v>4.8675505653430484E-3</v>
      </c>
      <c r="E135" s="15">
        <f t="shared" si="9"/>
        <v>1</v>
      </c>
      <c r="F135" s="15">
        <f t="shared" si="38"/>
        <v>0</v>
      </c>
      <c r="G135" s="15">
        <f t="shared" si="10"/>
        <v>0</v>
      </c>
      <c r="H135" s="73">
        <f t="shared" si="11"/>
        <v>0</v>
      </c>
      <c r="I135" s="189"/>
      <c r="J135" s="189"/>
      <c r="K135" s="5">
        <f t="shared" si="56"/>
        <v>120014.7599404785</v>
      </c>
      <c r="M135" s="5">
        <f t="shared" si="39"/>
        <v>584.17791259778642</v>
      </c>
      <c r="N135" s="5">
        <f t="shared" si="12"/>
        <v>-198.58739471182864</v>
      </c>
      <c r="O135" s="5">
        <f t="shared" si="13"/>
        <v>0</v>
      </c>
      <c r="P135" s="5">
        <f t="shared" si="14"/>
        <v>0</v>
      </c>
      <c r="Q135" s="5">
        <f t="shared" si="51"/>
        <v>0</v>
      </c>
      <c r="R135" s="5">
        <f t="shared" si="40"/>
        <v>0</v>
      </c>
      <c r="S135" s="5">
        <f t="shared" si="15"/>
        <v>0</v>
      </c>
      <c r="T135" s="5">
        <f t="shared" si="16"/>
        <v>0</v>
      </c>
      <c r="U135" s="74">
        <f t="shared" si="17"/>
        <v>0</v>
      </c>
      <c r="V135" s="75">
        <f t="shared" si="41"/>
        <v>0</v>
      </c>
      <c r="W135" s="5">
        <f t="shared" si="18"/>
        <v>0</v>
      </c>
      <c r="X135" s="5">
        <f t="shared" si="19"/>
        <v>120400.35045836447</v>
      </c>
      <c r="Y135" s="5">
        <f t="shared" si="42"/>
        <v>100000</v>
      </c>
      <c r="Z135" s="215">
        <f t="shared" si="20"/>
        <v>1</v>
      </c>
      <c r="AA135" s="216">
        <f t="shared" si="43"/>
        <v>0</v>
      </c>
      <c r="AB135" s="72">
        <f t="shared" si="52"/>
        <v>0</v>
      </c>
      <c r="AC135" s="72">
        <f t="shared" si="21"/>
        <v>0</v>
      </c>
      <c r="AD135" s="72">
        <f t="shared" si="22"/>
        <v>0</v>
      </c>
      <c r="AE135" s="72">
        <f t="shared" si="53"/>
        <v>-25.071981963094604</v>
      </c>
      <c r="AF135" s="70">
        <f t="shared" si="44"/>
        <v>0</v>
      </c>
      <c r="AG135" s="70">
        <f t="shared" si="23"/>
        <v>7752.1331741784979</v>
      </c>
      <c r="AH135" s="1">
        <f t="shared" ref="AH135:AS144" si="63">IF($B135&lt;=AH$74,1,0)</f>
        <v>0</v>
      </c>
      <c r="AI135" s="1">
        <f t="shared" si="63"/>
        <v>0</v>
      </c>
      <c r="AJ135" s="1">
        <f t="shared" si="63"/>
        <v>0</v>
      </c>
      <c r="AK135" s="1">
        <f t="shared" si="63"/>
        <v>0</v>
      </c>
      <c r="AL135" s="1">
        <f t="shared" si="63"/>
        <v>0</v>
      </c>
      <c r="AM135" s="1">
        <f t="shared" si="63"/>
        <v>1</v>
      </c>
      <c r="AN135" s="1">
        <f t="shared" si="63"/>
        <v>1</v>
      </c>
      <c r="AO135" s="1">
        <f t="shared" si="63"/>
        <v>1</v>
      </c>
      <c r="AP135" s="1">
        <f t="shared" si="63"/>
        <v>1</v>
      </c>
      <c r="AQ135" s="1">
        <f t="shared" si="63"/>
        <v>1</v>
      </c>
      <c r="AR135" s="1">
        <f t="shared" si="63"/>
        <v>1</v>
      </c>
      <c r="AS135" s="1">
        <f t="shared" si="63"/>
        <v>1</v>
      </c>
      <c r="AT135" s="39">
        <f t="shared" si="25"/>
        <v>120400.35045836447</v>
      </c>
      <c r="AU135" s="39">
        <f t="shared" si="45"/>
        <v>120400.35045836447</v>
      </c>
      <c r="AV135" s="39">
        <f t="shared" si="58"/>
        <v>0</v>
      </c>
      <c r="AW135" s="3">
        <f t="shared" si="26"/>
        <v>61</v>
      </c>
      <c r="AX135" s="69">
        <f t="shared" si="46"/>
        <v>0</v>
      </c>
      <c r="AY135" s="75">
        <f t="shared" si="27"/>
        <v>0</v>
      </c>
      <c r="AZ135" s="75">
        <f t="shared" si="28"/>
        <v>0</v>
      </c>
      <c r="BA135" s="75">
        <f t="shared" si="29"/>
        <v>0</v>
      </c>
      <c r="BB135" s="75">
        <f t="shared" si="30"/>
        <v>0</v>
      </c>
      <c r="BD135" s="214">
        <f t="shared" si="47"/>
        <v>120014.7599404785</v>
      </c>
      <c r="BE135" s="214">
        <f t="shared" si="31"/>
        <v>584.17791259778642</v>
      </c>
      <c r="BF135" s="214">
        <f t="shared" si="48"/>
        <v>-198.58739471182864</v>
      </c>
      <c r="BG135" s="224">
        <f t="shared" si="54"/>
        <v>0</v>
      </c>
      <c r="BH135" s="19">
        <f t="shared" si="50"/>
        <v>132490.81451000948</v>
      </c>
      <c r="BI135" s="214">
        <f t="shared" si="32"/>
        <v>644.90573907095768</v>
      </c>
      <c r="BJ135" s="214">
        <f t="shared" si="33"/>
        <v>0</v>
      </c>
      <c r="BK135" s="19">
        <f t="shared" si="55"/>
        <v>0</v>
      </c>
    </row>
    <row r="136" spans="1:63">
      <c r="A136" s="165">
        <f t="shared" si="34"/>
        <v>67.139459274469544</v>
      </c>
      <c r="B136" s="69">
        <f t="shared" si="35"/>
        <v>6</v>
      </c>
      <c r="C136" s="70">
        <f t="shared" si="36"/>
        <v>62</v>
      </c>
      <c r="D136" s="13">
        <f t="shared" si="37"/>
        <v>4.8675505653430484E-3</v>
      </c>
      <c r="E136" s="15">
        <f t="shared" si="9"/>
        <v>1</v>
      </c>
      <c r="F136" s="15">
        <f t="shared" si="38"/>
        <v>0</v>
      </c>
      <c r="G136" s="15">
        <f t="shared" si="10"/>
        <v>0</v>
      </c>
      <c r="H136" s="73">
        <f t="shared" si="11"/>
        <v>0</v>
      </c>
      <c r="I136" s="189"/>
      <c r="J136" s="189"/>
      <c r="K136" s="5">
        <f t="shared" si="56"/>
        <v>120400.35045836447</v>
      </c>
      <c r="M136" s="5">
        <f t="shared" si="39"/>
        <v>586.05479394111308</v>
      </c>
      <c r="N136" s="5">
        <f t="shared" si="12"/>
        <v>-199.22542803715078</v>
      </c>
      <c r="O136" s="5">
        <f t="shared" si="13"/>
        <v>0</v>
      </c>
      <c r="P136" s="5">
        <f t="shared" si="14"/>
        <v>0</v>
      </c>
      <c r="Q136" s="5">
        <f t="shared" si="51"/>
        <v>0</v>
      </c>
      <c r="R136" s="5">
        <f t="shared" si="40"/>
        <v>0</v>
      </c>
      <c r="S136" s="5">
        <f t="shared" si="15"/>
        <v>0</v>
      </c>
      <c r="T136" s="5">
        <f t="shared" si="16"/>
        <v>0</v>
      </c>
      <c r="U136" s="74">
        <f t="shared" si="17"/>
        <v>0</v>
      </c>
      <c r="V136" s="75">
        <f t="shared" si="41"/>
        <v>0</v>
      </c>
      <c r="W136" s="5">
        <f t="shared" si="18"/>
        <v>0</v>
      </c>
      <c r="X136" s="5">
        <f t="shared" si="19"/>
        <v>120787.17982426843</v>
      </c>
      <c r="Y136" s="5">
        <f t="shared" si="42"/>
        <v>100000</v>
      </c>
      <c r="Z136" s="215">
        <f t="shared" si="20"/>
        <v>1</v>
      </c>
      <c r="AA136" s="216">
        <f t="shared" si="43"/>
        <v>0</v>
      </c>
      <c r="AB136" s="72">
        <f t="shared" si="52"/>
        <v>0</v>
      </c>
      <c r="AC136" s="72">
        <f t="shared" si="21"/>
        <v>0</v>
      </c>
      <c r="AD136" s="72">
        <f t="shared" si="22"/>
        <v>0</v>
      </c>
      <c r="AE136" s="72">
        <f t="shared" si="53"/>
        <v>-25.152534709393244</v>
      </c>
      <c r="AF136" s="70">
        <f t="shared" si="44"/>
        <v>0</v>
      </c>
      <c r="AG136" s="70">
        <f t="shared" si="23"/>
        <v>7899.1283332220037</v>
      </c>
      <c r="AH136" s="1">
        <f t="shared" si="63"/>
        <v>0</v>
      </c>
      <c r="AI136" s="1">
        <f t="shared" si="63"/>
        <v>0</v>
      </c>
      <c r="AJ136" s="1">
        <f t="shared" si="63"/>
        <v>0</v>
      </c>
      <c r="AK136" s="1">
        <f t="shared" si="63"/>
        <v>0</v>
      </c>
      <c r="AL136" s="1">
        <f t="shared" si="63"/>
        <v>0</v>
      </c>
      <c r="AM136" s="1">
        <f t="shared" si="63"/>
        <v>1</v>
      </c>
      <c r="AN136" s="1">
        <f t="shared" si="63"/>
        <v>1</v>
      </c>
      <c r="AO136" s="1">
        <f t="shared" si="63"/>
        <v>1</v>
      </c>
      <c r="AP136" s="1">
        <f t="shared" si="63"/>
        <v>1</v>
      </c>
      <c r="AQ136" s="1">
        <f t="shared" si="63"/>
        <v>1</v>
      </c>
      <c r="AR136" s="1">
        <f t="shared" si="63"/>
        <v>1</v>
      </c>
      <c r="AS136" s="1">
        <f t="shared" si="63"/>
        <v>1</v>
      </c>
      <c r="AT136" s="39">
        <f t="shared" si="25"/>
        <v>120787.17982426843</v>
      </c>
      <c r="AU136" s="39">
        <f t="shared" si="45"/>
        <v>120787.17982426843</v>
      </c>
      <c r="AV136" s="39">
        <f t="shared" si="58"/>
        <v>0</v>
      </c>
      <c r="AW136" s="3">
        <f t="shared" si="26"/>
        <v>62</v>
      </c>
      <c r="AX136" s="69">
        <f t="shared" si="46"/>
        <v>0</v>
      </c>
      <c r="AY136" s="75">
        <f t="shared" si="27"/>
        <v>0</v>
      </c>
      <c r="AZ136" s="75">
        <f t="shared" si="28"/>
        <v>0</v>
      </c>
      <c r="BA136" s="75">
        <f t="shared" si="29"/>
        <v>0</v>
      </c>
      <c r="BB136" s="75">
        <f t="shared" si="30"/>
        <v>0</v>
      </c>
      <c r="BD136" s="214">
        <f t="shared" si="47"/>
        <v>120400.35045836447</v>
      </c>
      <c r="BE136" s="214">
        <f t="shared" si="31"/>
        <v>586.05479394111308</v>
      </c>
      <c r="BF136" s="214">
        <f t="shared" si="48"/>
        <v>-199.22542803715078</v>
      </c>
      <c r="BG136" s="224">
        <f t="shared" si="54"/>
        <v>0</v>
      </c>
      <c r="BH136" s="19">
        <f t="shared" si="50"/>
        <v>133135.72024908045</v>
      </c>
      <c r="BI136" s="214">
        <f t="shared" si="32"/>
        <v>648.04485036576546</v>
      </c>
      <c r="BJ136" s="214">
        <f t="shared" si="33"/>
        <v>0</v>
      </c>
      <c r="BK136" s="19">
        <f t="shared" si="55"/>
        <v>0</v>
      </c>
    </row>
    <row r="137" spans="1:63">
      <c r="A137" s="165">
        <f t="shared" si="34"/>
        <v>67.222792607802873</v>
      </c>
      <c r="B137" s="69">
        <f t="shared" si="35"/>
        <v>6</v>
      </c>
      <c r="C137" s="70">
        <f t="shared" si="36"/>
        <v>63</v>
      </c>
      <c r="D137" s="13">
        <f t="shared" si="37"/>
        <v>4.8675505653430484E-3</v>
      </c>
      <c r="E137" s="15">
        <f t="shared" si="9"/>
        <v>1</v>
      </c>
      <c r="F137" s="15">
        <f t="shared" si="38"/>
        <v>0</v>
      </c>
      <c r="G137" s="15">
        <f t="shared" si="10"/>
        <v>0</v>
      </c>
      <c r="H137" s="73">
        <f t="shared" si="11"/>
        <v>0</v>
      </c>
      <c r="I137" s="189"/>
      <c r="J137" s="189"/>
      <c r="K137" s="5">
        <f t="shared" si="56"/>
        <v>120787.17982426843</v>
      </c>
      <c r="M137" s="5">
        <f t="shared" si="39"/>
        <v>587.9377054398102</v>
      </c>
      <c r="N137" s="5">
        <f t="shared" si="12"/>
        <v>-199.86551127367096</v>
      </c>
      <c r="O137" s="5">
        <f t="shared" si="13"/>
        <v>0</v>
      </c>
      <c r="P137" s="5">
        <f t="shared" si="14"/>
        <v>0</v>
      </c>
      <c r="Q137" s="5">
        <f t="shared" si="51"/>
        <v>0</v>
      </c>
      <c r="R137" s="5">
        <f t="shared" si="40"/>
        <v>0</v>
      </c>
      <c r="S137" s="5">
        <f t="shared" si="15"/>
        <v>0</v>
      </c>
      <c r="T137" s="5">
        <f t="shared" si="16"/>
        <v>0</v>
      </c>
      <c r="U137" s="74">
        <f t="shared" si="17"/>
        <v>0</v>
      </c>
      <c r="V137" s="75">
        <f t="shared" si="41"/>
        <v>0</v>
      </c>
      <c r="W137" s="5">
        <f t="shared" si="18"/>
        <v>0</v>
      </c>
      <c r="X137" s="5">
        <f t="shared" si="19"/>
        <v>121175.25201843456</v>
      </c>
      <c r="Y137" s="5">
        <f t="shared" si="42"/>
        <v>100000</v>
      </c>
      <c r="Z137" s="215">
        <f t="shared" si="20"/>
        <v>1</v>
      </c>
      <c r="AA137" s="216">
        <f t="shared" si="43"/>
        <v>0</v>
      </c>
      <c r="AB137" s="72">
        <f t="shared" si="52"/>
        <v>0</v>
      </c>
      <c r="AC137" s="72">
        <f t="shared" si="21"/>
        <v>0</v>
      </c>
      <c r="AD137" s="72">
        <f t="shared" si="22"/>
        <v>0</v>
      </c>
      <c r="AE137" s="72">
        <f t="shared" si="53"/>
        <v>-25.233346260318726</v>
      </c>
      <c r="AF137" s="70">
        <f t="shared" si="44"/>
        <v>0</v>
      </c>
      <c r="AG137" s="70">
        <f t="shared" si="23"/>
        <v>8046.5957670051339</v>
      </c>
      <c r="AH137" s="1">
        <f t="shared" si="63"/>
        <v>0</v>
      </c>
      <c r="AI137" s="1">
        <f t="shared" si="63"/>
        <v>0</v>
      </c>
      <c r="AJ137" s="1">
        <f t="shared" si="63"/>
        <v>0</v>
      </c>
      <c r="AK137" s="1">
        <f t="shared" si="63"/>
        <v>0</v>
      </c>
      <c r="AL137" s="1">
        <f t="shared" si="63"/>
        <v>0</v>
      </c>
      <c r="AM137" s="1">
        <f t="shared" si="63"/>
        <v>1</v>
      </c>
      <c r="AN137" s="1">
        <f t="shared" si="63"/>
        <v>1</v>
      </c>
      <c r="AO137" s="1">
        <f t="shared" si="63"/>
        <v>1</v>
      </c>
      <c r="AP137" s="1">
        <f t="shared" si="63"/>
        <v>1</v>
      </c>
      <c r="AQ137" s="1">
        <f t="shared" si="63"/>
        <v>1</v>
      </c>
      <c r="AR137" s="1">
        <f t="shared" si="63"/>
        <v>1</v>
      </c>
      <c r="AS137" s="1">
        <f t="shared" si="63"/>
        <v>1</v>
      </c>
      <c r="AT137" s="39">
        <f t="shared" si="25"/>
        <v>121175.25201843456</v>
      </c>
      <c r="AU137" s="39">
        <f t="shared" si="45"/>
        <v>121175.25201843456</v>
      </c>
      <c r="AV137" s="39">
        <f t="shared" si="58"/>
        <v>0</v>
      </c>
      <c r="AW137" s="3">
        <f t="shared" si="26"/>
        <v>63</v>
      </c>
      <c r="AX137" s="69">
        <f t="shared" si="46"/>
        <v>0</v>
      </c>
      <c r="AY137" s="75">
        <f t="shared" si="27"/>
        <v>0</v>
      </c>
      <c r="AZ137" s="75">
        <f t="shared" si="28"/>
        <v>0</v>
      </c>
      <c r="BA137" s="75">
        <f t="shared" si="29"/>
        <v>0</v>
      </c>
      <c r="BB137" s="75">
        <f t="shared" si="30"/>
        <v>0</v>
      </c>
      <c r="BD137" s="214">
        <f t="shared" si="47"/>
        <v>120787.17982426843</v>
      </c>
      <c r="BE137" s="214">
        <f t="shared" si="31"/>
        <v>587.9377054398102</v>
      </c>
      <c r="BF137" s="214">
        <f t="shared" si="48"/>
        <v>-199.86551127367096</v>
      </c>
      <c r="BG137" s="224">
        <f t="shared" si="54"/>
        <v>0</v>
      </c>
      <c r="BH137" s="19">
        <f t="shared" si="50"/>
        <v>133783.7650994462</v>
      </c>
      <c r="BI137" s="214">
        <f t="shared" si="32"/>
        <v>651.19924144353092</v>
      </c>
      <c r="BJ137" s="214">
        <f t="shared" si="33"/>
        <v>0</v>
      </c>
      <c r="BK137" s="19">
        <f t="shared" si="55"/>
        <v>0</v>
      </c>
    </row>
    <row r="138" spans="1:63">
      <c r="A138" s="165">
        <f t="shared" si="34"/>
        <v>67.306125941136202</v>
      </c>
      <c r="B138" s="69">
        <f t="shared" si="35"/>
        <v>6</v>
      </c>
      <c r="C138" s="70">
        <f t="shared" si="36"/>
        <v>64</v>
      </c>
      <c r="D138" s="13">
        <f t="shared" si="37"/>
        <v>4.8675505653430484E-3</v>
      </c>
      <c r="E138" s="15">
        <f t="shared" si="9"/>
        <v>1</v>
      </c>
      <c r="F138" s="15">
        <f t="shared" si="38"/>
        <v>0</v>
      </c>
      <c r="G138" s="15">
        <f t="shared" si="10"/>
        <v>0</v>
      </c>
      <c r="H138" s="73">
        <f t="shared" si="11"/>
        <v>0</v>
      </c>
      <c r="I138" s="189"/>
      <c r="J138" s="189"/>
      <c r="K138" s="5">
        <f t="shared" si="56"/>
        <v>121175.25201843456</v>
      </c>
      <c r="M138" s="5">
        <f t="shared" si="39"/>
        <v>589.82666646791756</v>
      </c>
      <c r="N138" s="5">
        <f t="shared" si="12"/>
        <v>-200.50765100746517</v>
      </c>
      <c r="O138" s="5">
        <f t="shared" si="13"/>
        <v>0</v>
      </c>
      <c r="P138" s="5">
        <f t="shared" si="14"/>
        <v>0</v>
      </c>
      <c r="Q138" s="5">
        <f t="shared" si="51"/>
        <v>0</v>
      </c>
      <c r="R138" s="5">
        <f t="shared" si="40"/>
        <v>0</v>
      </c>
      <c r="S138" s="5">
        <f t="shared" si="15"/>
        <v>0</v>
      </c>
      <c r="T138" s="5">
        <f t="shared" si="16"/>
        <v>0</v>
      </c>
      <c r="U138" s="74">
        <f t="shared" si="17"/>
        <v>0</v>
      </c>
      <c r="V138" s="75">
        <f t="shared" si="41"/>
        <v>0</v>
      </c>
      <c r="W138" s="5">
        <f t="shared" si="18"/>
        <v>0</v>
      </c>
      <c r="X138" s="5">
        <f t="shared" si="19"/>
        <v>121564.571033895</v>
      </c>
      <c r="Y138" s="5">
        <f t="shared" si="42"/>
        <v>100000</v>
      </c>
      <c r="Z138" s="215">
        <f t="shared" si="20"/>
        <v>1</v>
      </c>
      <c r="AA138" s="216">
        <f t="shared" si="43"/>
        <v>0</v>
      </c>
      <c r="AB138" s="72">
        <f t="shared" si="52"/>
        <v>0</v>
      </c>
      <c r="AC138" s="72">
        <f t="shared" si="21"/>
        <v>0</v>
      </c>
      <c r="AD138" s="72">
        <f t="shared" si="22"/>
        <v>0</v>
      </c>
      <c r="AE138" s="72">
        <f t="shared" si="53"/>
        <v>-25.314417447373859</v>
      </c>
      <c r="AF138" s="70">
        <f t="shared" si="44"/>
        <v>0</v>
      </c>
      <c r="AG138" s="70">
        <f t="shared" si="23"/>
        <v>8194.536992880101</v>
      </c>
      <c r="AH138" s="1">
        <f t="shared" si="63"/>
        <v>0</v>
      </c>
      <c r="AI138" s="1">
        <f t="shared" si="63"/>
        <v>0</v>
      </c>
      <c r="AJ138" s="1">
        <f t="shared" si="63"/>
        <v>0</v>
      </c>
      <c r="AK138" s="1">
        <f t="shared" si="63"/>
        <v>0</v>
      </c>
      <c r="AL138" s="1">
        <f t="shared" si="63"/>
        <v>0</v>
      </c>
      <c r="AM138" s="1">
        <f t="shared" si="63"/>
        <v>1</v>
      </c>
      <c r="AN138" s="1">
        <f t="shared" si="63"/>
        <v>1</v>
      </c>
      <c r="AO138" s="1">
        <f t="shared" si="63"/>
        <v>1</v>
      </c>
      <c r="AP138" s="1">
        <f t="shared" si="63"/>
        <v>1</v>
      </c>
      <c r="AQ138" s="1">
        <f t="shared" si="63"/>
        <v>1</v>
      </c>
      <c r="AR138" s="1">
        <f t="shared" si="63"/>
        <v>1</v>
      </c>
      <c r="AS138" s="1">
        <f t="shared" si="63"/>
        <v>1</v>
      </c>
      <c r="AT138" s="39">
        <f t="shared" si="25"/>
        <v>121564.571033895</v>
      </c>
      <c r="AU138" s="39">
        <f t="shared" si="45"/>
        <v>121564.571033895</v>
      </c>
      <c r="AV138" s="39">
        <f t="shared" si="58"/>
        <v>0</v>
      </c>
      <c r="AW138" s="3">
        <f t="shared" si="26"/>
        <v>64</v>
      </c>
      <c r="AX138" s="69">
        <f t="shared" si="46"/>
        <v>0</v>
      </c>
      <c r="AY138" s="75">
        <f t="shared" si="27"/>
        <v>0</v>
      </c>
      <c r="AZ138" s="75">
        <f t="shared" si="28"/>
        <v>0</v>
      </c>
      <c r="BA138" s="75">
        <f t="shared" si="29"/>
        <v>0</v>
      </c>
      <c r="BB138" s="75">
        <f t="shared" si="30"/>
        <v>0</v>
      </c>
      <c r="BD138" s="214">
        <f t="shared" si="47"/>
        <v>121175.25201843456</v>
      </c>
      <c r="BE138" s="214">
        <f t="shared" si="31"/>
        <v>589.82666646791756</v>
      </c>
      <c r="BF138" s="214">
        <f t="shared" si="48"/>
        <v>-200.50765100746517</v>
      </c>
      <c r="BG138" s="224">
        <f t="shared" si="54"/>
        <v>0</v>
      </c>
      <c r="BH138" s="19">
        <f t="shared" si="50"/>
        <v>134434.96434088974</v>
      </c>
      <c r="BI138" s="214">
        <f t="shared" si="32"/>
        <v>654.36898667937044</v>
      </c>
      <c r="BJ138" s="214">
        <f t="shared" si="33"/>
        <v>0</v>
      </c>
      <c r="BK138" s="19">
        <f t="shared" si="55"/>
        <v>0</v>
      </c>
    </row>
    <row r="139" spans="1:63">
      <c r="A139" s="165">
        <f t="shared" si="34"/>
        <v>67.389459274469544</v>
      </c>
      <c r="B139" s="69">
        <f t="shared" si="35"/>
        <v>6</v>
      </c>
      <c r="C139" s="70">
        <f t="shared" si="36"/>
        <v>65</v>
      </c>
      <c r="D139" s="13">
        <f t="shared" ref="D139:D202" si="64">Growth_Rate_1_Monthly</f>
        <v>4.8675505653430484E-3</v>
      </c>
      <c r="E139" s="15">
        <f t="shared" ref="E139:E202" si="65">IF(Gtee_Flag="on",1,0)</f>
        <v>1</v>
      </c>
      <c r="F139" s="15">
        <f t="shared" si="38"/>
        <v>0</v>
      </c>
      <c r="G139" s="15">
        <f t="shared" ref="G139:G202" si="66">IF(AND(RP_Flag = "Yes",RP_Allowed="Yes"),IF(RP_PremFreq = "Annual",IF(MOD(C139-1, 12) = 0, 1, 0), IF(RP_PremFreq = "Half-Yearly", IF(MOD(C139-1, 6) = 0, 1, 0), IF(RP_PremFreq = "Quarterly", IF(MOD(C139-1, 3) = 0, 1, 0), IF(RP_PremFreq = "Monthly", IF(MOD(C139-1, 1) = 0, 1, 0), "Error")))),0)</f>
        <v>0</v>
      </c>
      <c r="H139" s="73">
        <f t="shared" ref="H139:H202" si="67">IF(ISERROR(VLOOKUP(Product_Code,Product_Parameters,B139+8,FALSE)),0,VLOOKUP(Product_Code,Product_Parameters,B139+8,FALSE))</f>
        <v>0</v>
      </c>
      <c r="I139" s="189"/>
      <c r="J139" s="189"/>
      <c r="K139" s="5">
        <f t="shared" si="56"/>
        <v>121564.571033895</v>
      </c>
      <c r="M139" s="5">
        <f t="shared" ref="M139:M202" si="68">(K139+L139)*D139</f>
        <v>591.72169646172074</v>
      </c>
      <c r="N139" s="5">
        <f t="shared" ref="N139:N202" si="69">-(($K139+(L139)+M139/2)*(External_Fund_Charge_Monthly+Fund_Charge_Monthly+Gtee_Charge_Monthly*$E139))-I139*Government_Levy</f>
        <v>-201.15185384576947</v>
      </c>
      <c r="O139" s="5">
        <f t="shared" ref="O139:O202" si="70">(Reg_Contrib/Contrib_Per_Year)*(1+RP_Escalation_Rate)^(B139-1)*G139</f>
        <v>0</v>
      </c>
      <c r="P139" s="5">
        <f t="shared" ref="P139:P202" si="71">O139*(RP_Allocation_Rate-1)</f>
        <v>0</v>
      </c>
      <c r="Q139" s="5">
        <f t="shared" si="51"/>
        <v>0</v>
      </c>
      <c r="R139" s="5">
        <f t="shared" si="40"/>
        <v>0</v>
      </c>
      <c r="S139" s="5">
        <f t="shared" ref="S139:S202" si="72">(Q139+R139)*D139</f>
        <v>0</v>
      </c>
      <c r="T139" s="5">
        <f t="shared" ref="T139:T202" si="73">-(($Q139+(R139)+S139/2)*(External_Fund_Charge_Monthly+Fund_Charge_Monthly+Gtee_Charge_Monthly*$E139))-O139*Government_Levy</f>
        <v>0</v>
      </c>
      <c r="U139" s="74">
        <f t="shared" ref="U139:U202" si="74">IF(OR(Reg_Income_Flag="No",Income_Type="Fixed Percent"),0,IF(C139&gt;=Regular_Income_Start_Month,
MIN(Regular_Income_Amount/12*(1+Income_Escalation_Rate_Annual)^($B139-1),AU139),0))</f>
        <v>0</v>
      </c>
      <c r="V139" s="75">
        <f t="shared" ref="V139:V202" si="75">IF(Reg_Income_Flag="No",0,MAX(IF(C139&gt;=Regular_Income_Start_Month,
MIN(IF(Income_Type="Fixed Percent",$C$43,0)/12*(K139+L139+M139+N139+Q139+R139+S139+T139),AU139),0),0))</f>
        <v>0</v>
      </c>
      <c r="W139" s="5">
        <f t="shared" ref="W139:W202" si="76">-MAX(U139:V139)</f>
        <v>0</v>
      </c>
      <c r="X139" s="5">
        <f t="shared" ref="X139:X202" si="77">SUM(K139:N139,Q139:T139)</f>
        <v>121955.14087651095</v>
      </c>
      <c r="Y139" s="5">
        <f t="shared" si="42"/>
        <v>100000</v>
      </c>
      <c r="Z139" s="215">
        <f t="shared" ref="Z139:Z202" si="78">IFERROR(SUM(K139:N139)/X139,0)</f>
        <v>1</v>
      </c>
      <c r="AA139" s="216">
        <f t="shared" si="43"/>
        <v>0</v>
      </c>
      <c r="AB139" s="72">
        <f t="shared" si="52"/>
        <v>0</v>
      </c>
      <c r="AC139" s="72">
        <f t="shared" ref="AC139:AC202" si="79">IF(Y139=0,0,-IF(F139=1,1,AA139)*(MAX(X139+AB139-Y139,0)*Exit_Tax_Rate-AB139))</f>
        <v>0</v>
      </c>
      <c r="AD139" s="72">
        <f t="shared" ref="AD139:AD202" si="80">W139-IF(F139=1,AA139,1)*AC139</f>
        <v>0</v>
      </c>
      <c r="AE139" s="72">
        <f t="shared" si="53"/>
        <v>-25.395749104732964</v>
      </c>
      <c r="AF139" s="70">
        <f t="shared" ref="AF139:AF202" si="81">SUM(K139:N139,SUM(AC139:AD139)*Z139)*$H139</f>
        <v>0</v>
      </c>
      <c r="AG139" s="70">
        <f t="shared" ref="AG139:AG202" si="82">IF(F139=1,0,MAX(X139+AB139+AC139+AD139-AF139-Y139,0)*Exit_Tax_Rate-AB139)</f>
        <v>8342.9535330741619</v>
      </c>
      <c r="AH139" s="1">
        <f t="shared" si="63"/>
        <v>0</v>
      </c>
      <c r="AI139" s="1">
        <f t="shared" si="63"/>
        <v>0</v>
      </c>
      <c r="AJ139" s="1">
        <f t="shared" si="63"/>
        <v>0</v>
      </c>
      <c r="AK139" s="1">
        <f t="shared" si="63"/>
        <v>0</v>
      </c>
      <c r="AL139" s="1">
        <f t="shared" si="63"/>
        <v>0</v>
      </c>
      <c r="AM139" s="1">
        <f t="shared" si="63"/>
        <v>1</v>
      </c>
      <c r="AN139" s="1">
        <f t="shared" si="63"/>
        <v>1</v>
      </c>
      <c r="AO139" s="1">
        <f t="shared" si="63"/>
        <v>1</v>
      </c>
      <c r="AP139" s="1">
        <f t="shared" si="63"/>
        <v>1</v>
      </c>
      <c r="AQ139" s="1">
        <f t="shared" si="63"/>
        <v>1</v>
      </c>
      <c r="AR139" s="1">
        <f t="shared" si="63"/>
        <v>1</v>
      </c>
      <c r="AS139" s="1">
        <f t="shared" si="63"/>
        <v>1</v>
      </c>
      <c r="AT139" s="39">
        <f t="shared" ref="AT139:AT202" si="83">SUM(K139:N139,Q139:T139,W139,AC139)</f>
        <v>121955.14087651095</v>
      </c>
      <c r="AU139" s="39">
        <f t="shared" si="45"/>
        <v>121955.14087651095</v>
      </c>
      <c r="AV139" s="39">
        <f t="shared" si="58"/>
        <v>0</v>
      </c>
      <c r="AW139" s="3">
        <f t="shared" ref="AW139:AW202" si="84">C139</f>
        <v>65</v>
      </c>
      <c r="AX139" s="69">
        <f t="shared" si="46"/>
        <v>0</v>
      </c>
      <c r="AY139" s="75">
        <f t="shared" ref="AY139:AY202" si="85">IF(OR(AND(B139=Fund_Zero_Year,BD140=0,BD139&gt;0),C139=$C$53*12),-BH139,IF(AND(B139+1=Fund_Zero_Year,BD140=0,BD139&gt;0),-BH139,0))</f>
        <v>0</v>
      </c>
      <c r="AZ139" s="75">
        <f t="shared" ref="AZ139:AZ202" si="86">IF(OR(AND(B139=Fund_Zero_Year,BD140=0,BD139&gt;0),C139=$C$53*12),-BD139,IF(AND(B139+1=Fund_Zero_Year,BD140=0,BD139&gt;0),-BD139,0))</f>
        <v>0</v>
      </c>
      <c r="BA139" s="75">
        <f t="shared" ref="BA139:BA202" si="87">AY139+AX139+IF(OR(B139&gt;Fund_Zero_Year,BD139=0,C139&gt;MAX($C$53,$C$52)*12),0,W139)</f>
        <v>0</v>
      </c>
      <c r="BB139" s="75">
        <f t="shared" ref="BB139:BB202" si="88">AZ139+AX139+IF(OR(B139&gt;Fund_Zero_Year,BD139=0,C139&gt;MAX($C$53,$C$52)*12),0,W139)</f>
        <v>0</v>
      </c>
      <c r="BD139" s="214">
        <f t="shared" si="47"/>
        <v>121564.571033895</v>
      </c>
      <c r="BE139" s="214">
        <f t="shared" ref="BE139:BE202" si="89">BD139*D139</f>
        <v>591.72169646172074</v>
      </c>
      <c r="BF139" s="214">
        <f t="shared" ref="BF139:BF202" si="90">-(BD139+BE139/2)*(External_Fund_Charge_Monthly+Fund_Charge_Monthly+Gtee_Charge_Monthly*$E139)-(I139+O139)*Government_Levy</f>
        <v>-201.15185384576947</v>
      </c>
      <c r="BG139" s="224">
        <f t="shared" si="54"/>
        <v>0</v>
      </c>
      <c r="BH139" s="19">
        <f t="shared" si="50"/>
        <v>135089.3333275691</v>
      </c>
      <c r="BI139" s="214">
        <f t="shared" ref="BI139:BI202" si="91">BH139*D139</f>
        <v>657.55416081042449</v>
      </c>
      <c r="BJ139" s="214">
        <f t="shared" ref="BJ139:BJ202" si="92">-(I139+O139)*Government_Levy</f>
        <v>0</v>
      </c>
      <c r="BK139" s="19">
        <f t="shared" si="55"/>
        <v>0</v>
      </c>
    </row>
    <row r="140" spans="1:63">
      <c r="A140" s="165">
        <f t="shared" ref="A140:A203" si="93">$C$35+C139/12</f>
        <v>67.472792607802873</v>
      </c>
      <c r="B140" s="69">
        <f t="shared" ref="B140:B203" si="94">INT((C140-1)/12)+1</f>
        <v>6</v>
      </c>
      <c r="C140" s="70">
        <f t="shared" ref="C140:C203" si="95">C139+1</f>
        <v>66</v>
      </c>
      <c r="D140" s="13">
        <f t="shared" si="64"/>
        <v>4.8675505653430484E-3</v>
      </c>
      <c r="E140" s="15">
        <f t="shared" si="65"/>
        <v>1</v>
      </c>
      <c r="F140" s="15">
        <f t="shared" ref="F140:F203" si="96">IF(MOD(C140,96)=0,1,0)</f>
        <v>0</v>
      </c>
      <c r="G140" s="15">
        <f t="shared" si="66"/>
        <v>0</v>
      </c>
      <c r="H140" s="73">
        <f t="shared" si="67"/>
        <v>0</v>
      </c>
      <c r="I140" s="189"/>
      <c r="J140" s="189"/>
      <c r="K140" s="5">
        <f t="shared" si="56"/>
        <v>121955.14087651095</v>
      </c>
      <c r="M140" s="5">
        <f t="shared" si="68"/>
        <v>593.62281491995202</v>
      </c>
      <c r="N140" s="5">
        <f t="shared" si="69"/>
        <v>-201.798126417048</v>
      </c>
      <c r="O140" s="5">
        <f t="shared" si="70"/>
        <v>0</v>
      </c>
      <c r="P140" s="5">
        <f t="shared" si="71"/>
        <v>0</v>
      </c>
      <c r="Q140" s="5">
        <f t="shared" si="51"/>
        <v>0</v>
      </c>
      <c r="R140" s="5">
        <f t="shared" ref="R140:R203" si="97">O140+P140</f>
        <v>0</v>
      </c>
      <c r="S140" s="5">
        <f t="shared" si="72"/>
        <v>0</v>
      </c>
      <c r="T140" s="5">
        <f t="shared" si="73"/>
        <v>0</v>
      </c>
      <c r="U140" s="74">
        <f t="shared" si="74"/>
        <v>0</v>
      </c>
      <c r="V140" s="75">
        <f t="shared" si="75"/>
        <v>0</v>
      </c>
      <c r="W140" s="5">
        <f t="shared" si="76"/>
        <v>0</v>
      </c>
      <c r="X140" s="5">
        <f t="shared" si="77"/>
        <v>122346.96556501384</v>
      </c>
      <c r="Y140" s="5">
        <f t="shared" ref="Y140:Y203" si="98">I140+O140+Y139*(1-AA139)</f>
        <v>100000</v>
      </c>
      <c r="Z140" s="215">
        <f t="shared" si="78"/>
        <v>1</v>
      </c>
      <c r="AA140" s="216">
        <f t="shared" ref="AA140:AA203" si="99">IFERROR(-W140/X140,0)</f>
        <v>0</v>
      </c>
      <c r="AB140" s="72">
        <f t="shared" si="52"/>
        <v>0</v>
      </c>
      <c r="AC140" s="72">
        <f t="shared" si="79"/>
        <v>0</v>
      </c>
      <c r="AD140" s="72">
        <f t="shared" si="80"/>
        <v>0</v>
      </c>
      <c r="AE140" s="72">
        <f t="shared" ref="AE140:AE203" si="100">-(($K140+I140+M140/2+N140/2+W140/2+$Q140+O140+S140/2+T140/2))*(Ongoing_Commission_Monthly)</f>
        <v>-25.47734206925043</v>
      </c>
      <c r="AF140" s="70">
        <f t="shared" si="81"/>
        <v>0</v>
      </c>
      <c r="AG140" s="70">
        <f t="shared" si="82"/>
        <v>8491.846914705262</v>
      </c>
      <c r="AH140" s="1">
        <f t="shared" si="63"/>
        <v>0</v>
      </c>
      <c r="AI140" s="1">
        <f t="shared" si="63"/>
        <v>0</v>
      </c>
      <c r="AJ140" s="1">
        <f t="shared" si="63"/>
        <v>0</v>
      </c>
      <c r="AK140" s="1">
        <f t="shared" si="63"/>
        <v>0</v>
      </c>
      <c r="AL140" s="1">
        <f t="shared" si="63"/>
        <v>0</v>
      </c>
      <c r="AM140" s="1">
        <f t="shared" si="63"/>
        <v>1</v>
      </c>
      <c r="AN140" s="1">
        <f t="shared" si="63"/>
        <v>1</v>
      </c>
      <c r="AO140" s="1">
        <f t="shared" si="63"/>
        <v>1</v>
      </c>
      <c r="AP140" s="1">
        <f t="shared" si="63"/>
        <v>1</v>
      </c>
      <c r="AQ140" s="1">
        <f t="shared" si="63"/>
        <v>1</v>
      </c>
      <c r="AR140" s="1">
        <f t="shared" si="63"/>
        <v>1</v>
      </c>
      <c r="AS140" s="1">
        <f t="shared" si="63"/>
        <v>1</v>
      </c>
      <c r="AT140" s="39">
        <f t="shared" si="83"/>
        <v>122346.96556501384</v>
      </c>
      <c r="AU140" s="39">
        <f t="shared" ref="AU140:AU203" si="101">MAX(0,SUM(K140:N140)-$C$51)</f>
        <v>122346.96556501384</v>
      </c>
      <c r="AV140" s="39">
        <f t="shared" si="58"/>
        <v>0</v>
      </c>
      <c r="AW140" s="3">
        <f t="shared" si="84"/>
        <v>66</v>
      </c>
      <c r="AX140" s="69">
        <f t="shared" ref="AX140:AX203" si="102">IF(OR(B140&gt;Fund_Zero_Year,SUM(K140,Q140)=0,C140&gt;$C$53*12),0,I140+O140)</f>
        <v>0</v>
      </c>
      <c r="AY140" s="75">
        <f t="shared" si="85"/>
        <v>0</v>
      </c>
      <c r="AZ140" s="75">
        <f t="shared" si="86"/>
        <v>0</v>
      </c>
      <c r="BA140" s="75">
        <f t="shared" si="87"/>
        <v>0</v>
      </c>
      <c r="BB140" s="75">
        <f t="shared" si="88"/>
        <v>0</v>
      </c>
      <c r="BD140" s="214">
        <f t="shared" ref="BD140:BD203" si="103">SUM(BD139:BG139)+L140+R140</f>
        <v>121955.14087651095</v>
      </c>
      <c r="BE140" s="214">
        <f t="shared" si="89"/>
        <v>593.62281491995202</v>
      </c>
      <c r="BF140" s="214">
        <f t="shared" si="90"/>
        <v>-201.798126417048</v>
      </c>
      <c r="BG140" s="224">
        <f t="shared" si="54"/>
        <v>0</v>
      </c>
      <c r="BH140" s="19">
        <f t="shared" ref="BH140:BH203" si="104">SUM(BH139:BK139)+L140+R140</f>
        <v>135746.88748837952</v>
      </c>
      <c r="BI140" s="214">
        <f t="shared" si="91"/>
        <v>660.75483893762089</v>
      </c>
      <c r="BJ140" s="214">
        <f t="shared" si="92"/>
        <v>0</v>
      </c>
      <c r="BK140" s="19">
        <f t="shared" si="55"/>
        <v>0</v>
      </c>
    </row>
    <row r="141" spans="1:63">
      <c r="A141" s="165">
        <f t="shared" si="93"/>
        <v>67.556125941136202</v>
      </c>
      <c r="B141" s="69">
        <f t="shared" si="94"/>
        <v>6</v>
      </c>
      <c r="C141" s="70">
        <f t="shared" si="95"/>
        <v>67</v>
      </c>
      <c r="D141" s="13">
        <f t="shared" si="64"/>
        <v>4.8675505653430484E-3</v>
      </c>
      <c r="E141" s="15">
        <f t="shared" si="65"/>
        <v>1</v>
      </c>
      <c r="F141" s="15">
        <f t="shared" si="96"/>
        <v>0</v>
      </c>
      <c r="G141" s="15">
        <f t="shared" si="66"/>
        <v>0</v>
      </c>
      <c r="H141" s="73">
        <f t="shared" si="67"/>
        <v>0</v>
      </c>
      <c r="I141" s="189"/>
      <c r="J141" s="189"/>
      <c r="K141" s="5">
        <f t="shared" si="56"/>
        <v>122346.96556501384</v>
      </c>
      <c r="M141" s="5">
        <f t="shared" si="68"/>
        <v>595.53004140398957</v>
      </c>
      <c r="N141" s="5">
        <f t="shared" si="69"/>
        <v>-202.44647537106127</v>
      </c>
      <c r="O141" s="5">
        <f t="shared" si="70"/>
        <v>0</v>
      </c>
      <c r="P141" s="5">
        <f t="shared" si="71"/>
        <v>0</v>
      </c>
      <c r="Q141" s="5">
        <f t="shared" ref="Q141:Q204" si="105">SUM(Q140:T140)+SUM(AC140)*(1-Z140)</f>
        <v>0</v>
      </c>
      <c r="R141" s="5">
        <f t="shared" si="97"/>
        <v>0</v>
      </c>
      <c r="S141" s="5">
        <f t="shared" si="72"/>
        <v>0</v>
      </c>
      <c r="T141" s="5">
        <f t="shared" si="73"/>
        <v>0</v>
      </c>
      <c r="U141" s="74">
        <f t="shared" si="74"/>
        <v>0</v>
      </c>
      <c r="V141" s="75">
        <f t="shared" si="75"/>
        <v>0</v>
      </c>
      <c r="W141" s="5">
        <f t="shared" si="76"/>
        <v>0</v>
      </c>
      <c r="X141" s="5">
        <f t="shared" si="77"/>
        <v>122740.04913104678</v>
      </c>
      <c r="Y141" s="5">
        <f t="shared" si="98"/>
        <v>100000</v>
      </c>
      <c r="Z141" s="215">
        <f t="shared" si="78"/>
        <v>1</v>
      </c>
      <c r="AA141" s="216">
        <f t="shared" si="99"/>
        <v>0</v>
      </c>
      <c r="AB141" s="72">
        <f t="shared" ref="AB141:AB204" si="106">-IF(F140=1,AC140*(1-AA140),0)+AB140*(1-AA140)</f>
        <v>0</v>
      </c>
      <c r="AC141" s="72">
        <f t="shared" si="79"/>
        <v>0</v>
      </c>
      <c r="AD141" s="72">
        <f t="shared" si="80"/>
        <v>0</v>
      </c>
      <c r="AE141" s="72">
        <f t="shared" si="100"/>
        <v>-25.559197180469351</v>
      </c>
      <c r="AF141" s="70">
        <f t="shared" si="81"/>
        <v>0</v>
      </c>
      <c r="AG141" s="70">
        <f t="shared" si="82"/>
        <v>8641.2186697977759</v>
      </c>
      <c r="AH141" s="1">
        <f t="shared" si="63"/>
        <v>0</v>
      </c>
      <c r="AI141" s="1">
        <f t="shared" si="63"/>
        <v>0</v>
      </c>
      <c r="AJ141" s="1">
        <f t="shared" si="63"/>
        <v>0</v>
      </c>
      <c r="AK141" s="1">
        <f t="shared" si="63"/>
        <v>0</v>
      </c>
      <c r="AL141" s="1">
        <f t="shared" si="63"/>
        <v>0</v>
      </c>
      <c r="AM141" s="1">
        <f t="shared" si="63"/>
        <v>1</v>
      </c>
      <c r="AN141" s="1">
        <f t="shared" si="63"/>
        <v>1</v>
      </c>
      <c r="AO141" s="1">
        <f t="shared" si="63"/>
        <v>1</v>
      </c>
      <c r="AP141" s="1">
        <f t="shared" si="63"/>
        <v>1</v>
      </c>
      <c r="AQ141" s="1">
        <f t="shared" si="63"/>
        <v>1</v>
      </c>
      <c r="AR141" s="1">
        <f t="shared" si="63"/>
        <v>1</v>
      </c>
      <c r="AS141" s="1">
        <f t="shared" si="63"/>
        <v>1</v>
      </c>
      <c r="AT141" s="39">
        <f t="shared" si="83"/>
        <v>122740.04913104678</v>
      </c>
      <c r="AU141" s="39">
        <f t="shared" si="101"/>
        <v>122740.04913104678</v>
      </c>
      <c r="AV141" s="39">
        <f t="shared" si="58"/>
        <v>0</v>
      </c>
      <c r="AW141" s="3">
        <f t="shared" si="84"/>
        <v>67</v>
      </c>
      <c r="AX141" s="69">
        <f t="shared" si="102"/>
        <v>0</v>
      </c>
      <c r="AY141" s="75">
        <f t="shared" si="85"/>
        <v>0</v>
      </c>
      <c r="AZ141" s="75">
        <f t="shared" si="86"/>
        <v>0</v>
      </c>
      <c r="BA141" s="75">
        <f t="shared" si="87"/>
        <v>0</v>
      </c>
      <c r="BB141" s="75">
        <f t="shared" si="88"/>
        <v>0</v>
      </c>
      <c r="BD141" s="214">
        <f t="shared" si="103"/>
        <v>122346.96556501384</v>
      </c>
      <c r="BE141" s="214">
        <f t="shared" si="89"/>
        <v>595.53004140398957</v>
      </c>
      <c r="BF141" s="214">
        <f t="shared" si="90"/>
        <v>-202.44647537106127</v>
      </c>
      <c r="BG141" s="224">
        <f t="shared" ref="BG141:BG204" si="107">W141</f>
        <v>0</v>
      </c>
      <c r="BH141" s="19">
        <f t="shared" si="104"/>
        <v>136407.64232731715</v>
      </c>
      <c r="BI141" s="214">
        <f t="shared" si="91"/>
        <v>663.97109652744496</v>
      </c>
      <c r="BJ141" s="214">
        <f t="shared" si="92"/>
        <v>0</v>
      </c>
      <c r="BK141" s="19">
        <f t="shared" ref="BK141:BK204" si="108">W141</f>
        <v>0</v>
      </c>
    </row>
    <row r="142" spans="1:63">
      <c r="A142" s="165">
        <f t="shared" si="93"/>
        <v>67.639459274469544</v>
      </c>
      <c r="B142" s="69">
        <f t="shared" si="94"/>
        <v>6</v>
      </c>
      <c r="C142" s="70">
        <f t="shared" si="95"/>
        <v>68</v>
      </c>
      <c r="D142" s="13">
        <f t="shared" si="64"/>
        <v>4.8675505653430484E-3</v>
      </c>
      <c r="E142" s="15">
        <f t="shared" si="65"/>
        <v>1</v>
      </c>
      <c r="F142" s="15">
        <f t="shared" si="96"/>
        <v>0</v>
      </c>
      <c r="G142" s="15">
        <f t="shared" si="66"/>
        <v>0</v>
      </c>
      <c r="H142" s="73">
        <f t="shared" si="67"/>
        <v>0</v>
      </c>
      <c r="I142" s="189"/>
      <c r="J142" s="189"/>
      <c r="K142" s="5">
        <f t="shared" ref="K142:K205" si="109">SUM(K141:N141)+AD141+AC141*Z141</f>
        <v>122740.04913104678</v>
      </c>
      <c r="M142" s="5">
        <f t="shared" si="68"/>
        <v>597.44339553806026</v>
      </c>
      <c r="N142" s="5">
        <f t="shared" si="69"/>
        <v>-203.09690737893456</v>
      </c>
      <c r="O142" s="5">
        <f t="shared" si="70"/>
        <v>0</v>
      </c>
      <c r="P142" s="5">
        <f t="shared" si="71"/>
        <v>0</v>
      </c>
      <c r="Q142" s="5">
        <f t="shared" si="105"/>
        <v>0</v>
      </c>
      <c r="R142" s="5">
        <f t="shared" si="97"/>
        <v>0</v>
      </c>
      <c r="S142" s="5">
        <f t="shared" si="72"/>
        <v>0</v>
      </c>
      <c r="T142" s="5">
        <f t="shared" si="73"/>
        <v>0</v>
      </c>
      <c r="U142" s="74">
        <f t="shared" si="74"/>
        <v>0</v>
      </c>
      <c r="V142" s="75">
        <f t="shared" si="75"/>
        <v>0</v>
      </c>
      <c r="W142" s="5">
        <f t="shared" si="76"/>
        <v>0</v>
      </c>
      <c r="X142" s="5">
        <f t="shared" si="77"/>
        <v>123134.39561920591</v>
      </c>
      <c r="Y142" s="5">
        <f t="shared" si="98"/>
        <v>100000</v>
      </c>
      <c r="Z142" s="215">
        <f t="shared" si="78"/>
        <v>1</v>
      </c>
      <c r="AA142" s="216">
        <f t="shared" si="99"/>
        <v>0</v>
      </c>
      <c r="AB142" s="72">
        <f t="shared" si="106"/>
        <v>0</v>
      </c>
      <c r="AC142" s="72">
        <f t="shared" si="79"/>
        <v>0</v>
      </c>
      <c r="AD142" s="72">
        <f t="shared" si="80"/>
        <v>0</v>
      </c>
      <c r="AE142" s="72">
        <f t="shared" si="100"/>
        <v>-25.641315280630149</v>
      </c>
      <c r="AF142" s="70">
        <f t="shared" si="81"/>
        <v>0</v>
      </c>
      <c r="AG142" s="70">
        <f t="shared" si="82"/>
        <v>8791.0703352982473</v>
      </c>
      <c r="AH142" s="1">
        <f t="shared" si="63"/>
        <v>0</v>
      </c>
      <c r="AI142" s="1">
        <f t="shared" si="63"/>
        <v>0</v>
      </c>
      <c r="AJ142" s="1">
        <f t="shared" si="63"/>
        <v>0</v>
      </c>
      <c r="AK142" s="1">
        <f t="shared" si="63"/>
        <v>0</v>
      </c>
      <c r="AL142" s="1">
        <f t="shared" si="63"/>
        <v>0</v>
      </c>
      <c r="AM142" s="1">
        <f t="shared" si="63"/>
        <v>1</v>
      </c>
      <c r="AN142" s="1">
        <f t="shared" si="63"/>
        <v>1</v>
      </c>
      <c r="AO142" s="1">
        <f t="shared" si="63"/>
        <v>1</v>
      </c>
      <c r="AP142" s="1">
        <f t="shared" si="63"/>
        <v>1</v>
      </c>
      <c r="AQ142" s="1">
        <f t="shared" si="63"/>
        <v>1</v>
      </c>
      <c r="AR142" s="1">
        <f t="shared" si="63"/>
        <v>1</v>
      </c>
      <c r="AS142" s="1">
        <f t="shared" si="63"/>
        <v>1</v>
      </c>
      <c r="AT142" s="39">
        <f t="shared" si="83"/>
        <v>123134.39561920591</v>
      </c>
      <c r="AU142" s="39">
        <f t="shared" si="101"/>
        <v>123134.39561920591</v>
      </c>
      <c r="AV142" s="39">
        <f t="shared" si="58"/>
        <v>0</v>
      </c>
      <c r="AW142" s="3">
        <f t="shared" si="84"/>
        <v>68</v>
      </c>
      <c r="AX142" s="69">
        <f t="shared" si="102"/>
        <v>0</v>
      </c>
      <c r="AY142" s="75">
        <f t="shared" si="85"/>
        <v>0</v>
      </c>
      <c r="AZ142" s="75">
        <f t="shared" si="86"/>
        <v>0</v>
      </c>
      <c r="BA142" s="75">
        <f t="shared" si="87"/>
        <v>0</v>
      </c>
      <c r="BB142" s="75">
        <f t="shared" si="88"/>
        <v>0</v>
      </c>
      <c r="BD142" s="214">
        <f t="shared" si="103"/>
        <v>122740.04913104678</v>
      </c>
      <c r="BE142" s="214">
        <f t="shared" si="89"/>
        <v>597.44339553806026</v>
      </c>
      <c r="BF142" s="214">
        <f t="shared" si="90"/>
        <v>-203.09690737893456</v>
      </c>
      <c r="BG142" s="224">
        <f t="shared" si="107"/>
        <v>0</v>
      </c>
      <c r="BH142" s="19">
        <f t="shared" si="104"/>
        <v>137071.6134238446</v>
      </c>
      <c r="BI142" s="214">
        <f t="shared" si="91"/>
        <v>667.20300941371852</v>
      </c>
      <c r="BJ142" s="214">
        <f t="shared" si="92"/>
        <v>0</v>
      </c>
      <c r="BK142" s="19">
        <f t="shared" si="108"/>
        <v>0</v>
      </c>
    </row>
    <row r="143" spans="1:63">
      <c r="A143" s="165">
        <f t="shared" si="93"/>
        <v>67.722792607802873</v>
      </c>
      <c r="B143" s="69">
        <f t="shared" si="94"/>
        <v>6</v>
      </c>
      <c r="C143" s="70">
        <f t="shared" si="95"/>
        <v>69</v>
      </c>
      <c r="D143" s="13">
        <f t="shared" si="64"/>
        <v>4.8675505653430484E-3</v>
      </c>
      <c r="E143" s="15">
        <f t="shared" si="65"/>
        <v>1</v>
      </c>
      <c r="F143" s="15">
        <f t="shared" si="96"/>
        <v>0</v>
      </c>
      <c r="G143" s="15">
        <f t="shared" si="66"/>
        <v>0</v>
      </c>
      <c r="H143" s="73">
        <f t="shared" si="67"/>
        <v>0</v>
      </c>
      <c r="I143" s="189"/>
      <c r="J143" s="189"/>
      <c r="K143" s="5">
        <f t="shared" si="109"/>
        <v>123134.39561920591</v>
      </c>
      <c r="M143" s="5">
        <f t="shared" si="68"/>
        <v>599.3628970094403</v>
      </c>
      <c r="N143" s="5">
        <f t="shared" si="69"/>
        <v>-203.74942913322644</v>
      </c>
      <c r="O143" s="5">
        <f t="shared" si="70"/>
        <v>0</v>
      </c>
      <c r="P143" s="5">
        <f t="shared" si="71"/>
        <v>0</v>
      </c>
      <c r="Q143" s="5">
        <f t="shared" si="105"/>
        <v>0</v>
      </c>
      <c r="R143" s="5">
        <f t="shared" si="97"/>
        <v>0</v>
      </c>
      <c r="S143" s="5">
        <f t="shared" si="72"/>
        <v>0</v>
      </c>
      <c r="T143" s="5">
        <f t="shared" si="73"/>
        <v>0</v>
      </c>
      <c r="U143" s="74">
        <f t="shared" si="74"/>
        <v>0</v>
      </c>
      <c r="V143" s="75">
        <f t="shared" si="75"/>
        <v>0</v>
      </c>
      <c r="W143" s="5">
        <f t="shared" si="76"/>
        <v>0</v>
      </c>
      <c r="X143" s="5">
        <f t="shared" si="77"/>
        <v>123530.00908708213</v>
      </c>
      <c r="Y143" s="5">
        <f t="shared" si="98"/>
        <v>100000</v>
      </c>
      <c r="Z143" s="215">
        <f t="shared" si="78"/>
        <v>1</v>
      </c>
      <c r="AA143" s="216">
        <f t="shared" si="99"/>
        <v>0</v>
      </c>
      <c r="AB143" s="72">
        <f t="shared" si="106"/>
        <v>0</v>
      </c>
      <c r="AC143" s="72">
        <f t="shared" si="79"/>
        <v>0</v>
      </c>
      <c r="AD143" s="72">
        <f t="shared" si="80"/>
        <v>0</v>
      </c>
      <c r="AE143" s="72">
        <f t="shared" si="100"/>
        <v>-25.723697214679255</v>
      </c>
      <c r="AF143" s="70">
        <f t="shared" si="81"/>
        <v>0</v>
      </c>
      <c r="AG143" s="70">
        <f t="shared" si="82"/>
        <v>8941.4034530912086</v>
      </c>
      <c r="AH143" s="1">
        <f t="shared" si="63"/>
        <v>0</v>
      </c>
      <c r="AI143" s="1">
        <f t="shared" si="63"/>
        <v>0</v>
      </c>
      <c r="AJ143" s="1">
        <f t="shared" si="63"/>
        <v>0</v>
      </c>
      <c r="AK143" s="1">
        <f t="shared" si="63"/>
        <v>0</v>
      </c>
      <c r="AL143" s="1">
        <f t="shared" si="63"/>
        <v>0</v>
      </c>
      <c r="AM143" s="1">
        <f t="shared" si="63"/>
        <v>1</v>
      </c>
      <c r="AN143" s="1">
        <f t="shared" si="63"/>
        <v>1</v>
      </c>
      <c r="AO143" s="1">
        <f t="shared" si="63"/>
        <v>1</v>
      </c>
      <c r="AP143" s="1">
        <f t="shared" si="63"/>
        <v>1</v>
      </c>
      <c r="AQ143" s="1">
        <f t="shared" si="63"/>
        <v>1</v>
      </c>
      <c r="AR143" s="1">
        <f t="shared" si="63"/>
        <v>1</v>
      </c>
      <c r="AS143" s="1">
        <f t="shared" si="63"/>
        <v>1</v>
      </c>
      <c r="AT143" s="39">
        <f t="shared" si="83"/>
        <v>123530.00908708213</v>
      </c>
      <c r="AU143" s="39">
        <f t="shared" si="101"/>
        <v>123530.00908708213</v>
      </c>
      <c r="AV143" s="39">
        <f t="shared" si="58"/>
        <v>0</v>
      </c>
      <c r="AW143" s="3">
        <f t="shared" si="84"/>
        <v>69</v>
      </c>
      <c r="AX143" s="69">
        <f t="shared" si="102"/>
        <v>0</v>
      </c>
      <c r="AY143" s="75">
        <f t="shared" si="85"/>
        <v>0</v>
      </c>
      <c r="AZ143" s="75">
        <f t="shared" si="86"/>
        <v>0</v>
      </c>
      <c r="BA143" s="75">
        <f t="shared" si="87"/>
        <v>0</v>
      </c>
      <c r="BB143" s="75">
        <f t="shared" si="88"/>
        <v>0</v>
      </c>
      <c r="BD143" s="214">
        <f t="shared" si="103"/>
        <v>123134.39561920591</v>
      </c>
      <c r="BE143" s="214">
        <f t="shared" si="89"/>
        <v>599.3628970094403</v>
      </c>
      <c r="BF143" s="214">
        <f t="shared" si="90"/>
        <v>-203.74942913322644</v>
      </c>
      <c r="BG143" s="224">
        <f t="shared" si="107"/>
        <v>0</v>
      </c>
      <c r="BH143" s="19">
        <f t="shared" si="104"/>
        <v>137738.81643325833</v>
      </c>
      <c r="BI143" s="214">
        <f t="shared" si="91"/>
        <v>670.45065379938887</v>
      </c>
      <c r="BJ143" s="214">
        <f t="shared" si="92"/>
        <v>0</v>
      </c>
      <c r="BK143" s="19">
        <f t="shared" si="108"/>
        <v>0</v>
      </c>
    </row>
    <row r="144" spans="1:63">
      <c r="A144" s="165">
        <f t="shared" si="93"/>
        <v>67.806125941136202</v>
      </c>
      <c r="B144" s="69">
        <f t="shared" si="94"/>
        <v>6</v>
      </c>
      <c r="C144" s="70">
        <f t="shared" si="95"/>
        <v>70</v>
      </c>
      <c r="D144" s="13">
        <f t="shared" si="64"/>
        <v>4.8675505653430484E-3</v>
      </c>
      <c r="E144" s="15">
        <f t="shared" si="65"/>
        <v>1</v>
      </c>
      <c r="F144" s="15">
        <f t="shared" si="96"/>
        <v>0</v>
      </c>
      <c r="G144" s="15">
        <f t="shared" si="66"/>
        <v>0</v>
      </c>
      <c r="H144" s="73">
        <f t="shared" si="67"/>
        <v>0</v>
      </c>
      <c r="I144" s="189"/>
      <c r="J144" s="189"/>
      <c r="K144" s="5">
        <f t="shared" si="109"/>
        <v>123530.00908708213</v>
      </c>
      <c r="M144" s="5">
        <f t="shared" si="68"/>
        <v>601.28856556865856</v>
      </c>
      <c r="N144" s="5">
        <f t="shared" si="69"/>
        <v>-204.40404734799782</v>
      </c>
      <c r="O144" s="5">
        <f t="shared" si="70"/>
        <v>0</v>
      </c>
      <c r="P144" s="5">
        <f t="shared" si="71"/>
        <v>0</v>
      </c>
      <c r="Q144" s="5">
        <f t="shared" si="105"/>
        <v>0</v>
      </c>
      <c r="R144" s="5">
        <f t="shared" si="97"/>
        <v>0</v>
      </c>
      <c r="S144" s="5">
        <f t="shared" si="72"/>
        <v>0</v>
      </c>
      <c r="T144" s="5">
        <f t="shared" si="73"/>
        <v>0</v>
      </c>
      <c r="U144" s="74">
        <f t="shared" si="74"/>
        <v>0</v>
      </c>
      <c r="V144" s="75">
        <f t="shared" si="75"/>
        <v>0</v>
      </c>
      <c r="W144" s="5">
        <f t="shared" si="76"/>
        <v>0</v>
      </c>
      <c r="X144" s="5">
        <f t="shared" si="77"/>
        <v>123926.89360530279</v>
      </c>
      <c r="Y144" s="5">
        <f t="shared" si="98"/>
        <v>100000</v>
      </c>
      <c r="Z144" s="215">
        <f t="shared" si="78"/>
        <v>1</v>
      </c>
      <c r="AA144" s="216">
        <f t="shared" si="99"/>
        <v>0</v>
      </c>
      <c r="AB144" s="72">
        <f t="shared" si="106"/>
        <v>0</v>
      </c>
      <c r="AC144" s="72">
        <f t="shared" si="79"/>
        <v>0</v>
      </c>
      <c r="AD144" s="72">
        <f t="shared" si="80"/>
        <v>0</v>
      </c>
      <c r="AE144" s="72">
        <f t="shared" si="100"/>
        <v>-25.806343830277779</v>
      </c>
      <c r="AF144" s="70">
        <f t="shared" si="81"/>
        <v>0</v>
      </c>
      <c r="AG144" s="70">
        <f t="shared" si="82"/>
        <v>9092.2195700150587</v>
      </c>
      <c r="AH144" s="1">
        <f t="shared" si="63"/>
        <v>0</v>
      </c>
      <c r="AI144" s="1">
        <f t="shared" si="63"/>
        <v>0</v>
      </c>
      <c r="AJ144" s="1">
        <f t="shared" si="63"/>
        <v>0</v>
      </c>
      <c r="AK144" s="1">
        <f t="shared" si="63"/>
        <v>0</v>
      </c>
      <c r="AL144" s="1">
        <f t="shared" si="63"/>
        <v>0</v>
      </c>
      <c r="AM144" s="1">
        <f t="shared" si="63"/>
        <v>1</v>
      </c>
      <c r="AN144" s="1">
        <f t="shared" si="63"/>
        <v>1</v>
      </c>
      <c r="AO144" s="1">
        <f t="shared" si="63"/>
        <v>1</v>
      </c>
      <c r="AP144" s="1">
        <f t="shared" si="63"/>
        <v>1</v>
      </c>
      <c r="AQ144" s="1">
        <f t="shared" si="63"/>
        <v>1</v>
      </c>
      <c r="AR144" s="1">
        <f t="shared" si="63"/>
        <v>1</v>
      </c>
      <c r="AS144" s="1">
        <f t="shared" si="63"/>
        <v>1</v>
      </c>
      <c r="AT144" s="39">
        <f t="shared" si="83"/>
        <v>123926.89360530279</v>
      </c>
      <c r="AU144" s="39">
        <f t="shared" si="101"/>
        <v>123926.89360530279</v>
      </c>
      <c r="AV144" s="39">
        <f t="shared" si="58"/>
        <v>0</v>
      </c>
      <c r="AW144" s="3">
        <f t="shared" si="84"/>
        <v>70</v>
      </c>
      <c r="AX144" s="69">
        <f t="shared" si="102"/>
        <v>0</v>
      </c>
      <c r="AY144" s="75">
        <f t="shared" si="85"/>
        <v>0</v>
      </c>
      <c r="AZ144" s="75">
        <f t="shared" si="86"/>
        <v>0</v>
      </c>
      <c r="BA144" s="75">
        <f t="shared" si="87"/>
        <v>0</v>
      </c>
      <c r="BB144" s="75">
        <f t="shared" si="88"/>
        <v>0</v>
      </c>
      <c r="BD144" s="214">
        <f t="shared" si="103"/>
        <v>123530.00908708213</v>
      </c>
      <c r="BE144" s="214">
        <f t="shared" si="89"/>
        <v>601.28856556865856</v>
      </c>
      <c r="BF144" s="214">
        <f t="shared" si="90"/>
        <v>-204.40404734799782</v>
      </c>
      <c r="BG144" s="224">
        <f t="shared" si="107"/>
        <v>0</v>
      </c>
      <c r="BH144" s="19">
        <f t="shared" si="104"/>
        <v>138409.26708705773</v>
      </c>
      <c r="BI144" s="214">
        <f t="shared" si="91"/>
        <v>673.71410625832482</v>
      </c>
      <c r="BJ144" s="214">
        <f t="shared" si="92"/>
        <v>0</v>
      </c>
      <c r="BK144" s="19">
        <f t="shared" si="108"/>
        <v>0</v>
      </c>
    </row>
    <row r="145" spans="1:63">
      <c r="A145" s="165">
        <f t="shared" si="93"/>
        <v>67.889459274469544</v>
      </c>
      <c r="B145" s="69">
        <f t="shared" si="94"/>
        <v>6</v>
      </c>
      <c r="C145" s="70">
        <f t="shared" si="95"/>
        <v>71</v>
      </c>
      <c r="D145" s="13">
        <f t="shared" si="64"/>
        <v>4.8675505653430484E-3</v>
      </c>
      <c r="E145" s="15">
        <f t="shared" si="65"/>
        <v>1</v>
      </c>
      <c r="F145" s="15">
        <f t="shared" si="96"/>
        <v>0</v>
      </c>
      <c r="G145" s="15">
        <f t="shared" si="66"/>
        <v>0</v>
      </c>
      <c r="H145" s="73">
        <f t="shared" si="67"/>
        <v>0</v>
      </c>
      <c r="I145" s="189"/>
      <c r="J145" s="189"/>
      <c r="K145" s="5">
        <f t="shared" si="109"/>
        <v>123926.89360530279</v>
      </c>
      <c r="M145" s="5">
        <f t="shared" si="68"/>
        <v>603.22042102969942</v>
      </c>
      <c r="N145" s="5">
        <f t="shared" si="69"/>
        <v>-205.06076875888084</v>
      </c>
      <c r="O145" s="5">
        <f t="shared" si="70"/>
        <v>0</v>
      </c>
      <c r="P145" s="5">
        <f t="shared" si="71"/>
        <v>0</v>
      </c>
      <c r="Q145" s="5">
        <f t="shared" si="105"/>
        <v>0</v>
      </c>
      <c r="R145" s="5">
        <f t="shared" si="97"/>
        <v>0</v>
      </c>
      <c r="S145" s="5">
        <f t="shared" si="72"/>
        <v>0</v>
      </c>
      <c r="T145" s="5">
        <f t="shared" si="73"/>
        <v>0</v>
      </c>
      <c r="U145" s="74">
        <f t="shared" si="74"/>
        <v>0</v>
      </c>
      <c r="V145" s="75">
        <f t="shared" si="75"/>
        <v>0</v>
      </c>
      <c r="W145" s="5">
        <f t="shared" si="76"/>
        <v>0</v>
      </c>
      <c r="X145" s="5">
        <f t="shared" si="77"/>
        <v>124325.05325757361</v>
      </c>
      <c r="Y145" s="5">
        <f t="shared" si="98"/>
        <v>100000</v>
      </c>
      <c r="Z145" s="215">
        <f t="shared" si="78"/>
        <v>1</v>
      </c>
      <c r="AA145" s="216">
        <f t="shared" si="99"/>
        <v>0</v>
      </c>
      <c r="AB145" s="72">
        <f t="shared" si="106"/>
        <v>0</v>
      </c>
      <c r="AC145" s="72">
        <f t="shared" si="79"/>
        <v>0</v>
      </c>
      <c r="AD145" s="72">
        <f t="shared" si="80"/>
        <v>0</v>
      </c>
      <c r="AE145" s="72">
        <f t="shared" si="100"/>
        <v>-25.889255977810254</v>
      </c>
      <c r="AF145" s="70">
        <f t="shared" si="81"/>
        <v>0</v>
      </c>
      <c r="AG145" s="70">
        <f t="shared" si="82"/>
        <v>9243.5202378779741</v>
      </c>
      <c r="AH145" s="1">
        <f t="shared" ref="AH145:AS154" si="110">IF($B145&lt;=AH$74,1,0)</f>
        <v>0</v>
      </c>
      <c r="AI145" s="1">
        <f t="shared" si="110"/>
        <v>0</v>
      </c>
      <c r="AJ145" s="1">
        <f t="shared" si="110"/>
        <v>0</v>
      </c>
      <c r="AK145" s="1">
        <f t="shared" si="110"/>
        <v>0</v>
      </c>
      <c r="AL145" s="1">
        <f t="shared" si="110"/>
        <v>0</v>
      </c>
      <c r="AM145" s="1">
        <f t="shared" si="110"/>
        <v>1</v>
      </c>
      <c r="AN145" s="1">
        <f t="shared" si="110"/>
        <v>1</v>
      </c>
      <c r="AO145" s="1">
        <f t="shared" si="110"/>
        <v>1</v>
      </c>
      <c r="AP145" s="1">
        <f t="shared" si="110"/>
        <v>1</v>
      </c>
      <c r="AQ145" s="1">
        <f t="shared" si="110"/>
        <v>1</v>
      </c>
      <c r="AR145" s="1">
        <f t="shared" si="110"/>
        <v>1</v>
      </c>
      <c r="AS145" s="1">
        <f t="shared" si="110"/>
        <v>1</v>
      </c>
      <c r="AT145" s="39">
        <f t="shared" si="83"/>
        <v>124325.05325757361</v>
      </c>
      <c r="AU145" s="39">
        <f t="shared" si="101"/>
        <v>124325.05325757361</v>
      </c>
      <c r="AV145" s="39">
        <f t="shared" si="58"/>
        <v>0</v>
      </c>
      <c r="AW145" s="3">
        <f t="shared" si="84"/>
        <v>71</v>
      </c>
      <c r="AX145" s="69">
        <f t="shared" si="102"/>
        <v>0</v>
      </c>
      <c r="AY145" s="75">
        <f t="shared" si="85"/>
        <v>0</v>
      </c>
      <c r="AZ145" s="75">
        <f t="shared" si="86"/>
        <v>0</v>
      </c>
      <c r="BA145" s="75">
        <f t="shared" si="87"/>
        <v>0</v>
      </c>
      <c r="BB145" s="75">
        <f t="shared" si="88"/>
        <v>0</v>
      </c>
      <c r="BD145" s="214">
        <f t="shared" si="103"/>
        <v>123926.89360530279</v>
      </c>
      <c r="BE145" s="214">
        <f t="shared" si="89"/>
        <v>603.22042102969942</v>
      </c>
      <c r="BF145" s="214">
        <f t="shared" si="90"/>
        <v>-205.06076875888084</v>
      </c>
      <c r="BG145" s="224">
        <f t="shared" si="107"/>
        <v>0</v>
      </c>
      <c r="BH145" s="19">
        <f t="shared" si="104"/>
        <v>139082.98119331605</v>
      </c>
      <c r="BI145" s="214">
        <f t="shared" si="91"/>
        <v>676.99344373712211</v>
      </c>
      <c r="BJ145" s="214">
        <f t="shared" si="92"/>
        <v>0</v>
      </c>
      <c r="BK145" s="19">
        <f t="shared" si="108"/>
        <v>0</v>
      </c>
    </row>
    <row r="146" spans="1:63">
      <c r="A146" s="165">
        <f t="shared" si="93"/>
        <v>67.972792607802873</v>
      </c>
      <c r="B146" s="69">
        <f t="shared" si="94"/>
        <v>6</v>
      </c>
      <c r="C146" s="70">
        <f t="shared" si="95"/>
        <v>72</v>
      </c>
      <c r="D146" s="13">
        <f t="shared" si="64"/>
        <v>4.8675505653430484E-3</v>
      </c>
      <c r="E146" s="15">
        <f t="shared" si="65"/>
        <v>1</v>
      </c>
      <c r="F146" s="15">
        <f t="shared" si="96"/>
        <v>0</v>
      </c>
      <c r="G146" s="15">
        <f t="shared" si="66"/>
        <v>0</v>
      </c>
      <c r="H146" s="73">
        <f t="shared" si="67"/>
        <v>0</v>
      </c>
      <c r="I146" s="189"/>
      <c r="J146" s="189"/>
      <c r="K146" s="5">
        <f t="shared" si="109"/>
        <v>124325.05325757361</v>
      </c>
      <c r="M146" s="5">
        <f t="shared" si="68"/>
        <v>605.15848327020706</v>
      </c>
      <c r="N146" s="5">
        <f t="shared" si="69"/>
        <v>-205.71960012314844</v>
      </c>
      <c r="O146" s="5">
        <f t="shared" si="70"/>
        <v>0</v>
      </c>
      <c r="P146" s="5">
        <f t="shared" si="71"/>
        <v>0</v>
      </c>
      <c r="Q146" s="5">
        <f t="shared" si="105"/>
        <v>0</v>
      </c>
      <c r="R146" s="5">
        <f t="shared" si="97"/>
        <v>0</v>
      </c>
      <c r="S146" s="5">
        <f t="shared" si="72"/>
        <v>0</v>
      </c>
      <c r="T146" s="5">
        <f t="shared" si="73"/>
        <v>0</v>
      </c>
      <c r="U146" s="74">
        <f t="shared" si="74"/>
        <v>0</v>
      </c>
      <c r="V146" s="75">
        <f t="shared" si="75"/>
        <v>0</v>
      </c>
      <c r="W146" s="5">
        <f t="shared" si="76"/>
        <v>0</v>
      </c>
      <c r="X146" s="5">
        <f t="shared" si="77"/>
        <v>124724.49214072067</v>
      </c>
      <c r="Y146" s="5">
        <f t="shared" si="98"/>
        <v>100000</v>
      </c>
      <c r="Z146" s="215">
        <f t="shared" si="78"/>
        <v>1</v>
      </c>
      <c r="AA146" s="216">
        <f t="shared" si="99"/>
        <v>0</v>
      </c>
      <c r="AB146" s="72">
        <f t="shared" si="106"/>
        <v>0</v>
      </c>
      <c r="AC146" s="72">
        <f t="shared" si="79"/>
        <v>0</v>
      </c>
      <c r="AD146" s="72">
        <f t="shared" si="80"/>
        <v>0</v>
      </c>
      <c r="AE146" s="72">
        <f t="shared" si="100"/>
        <v>-25.972434510393388</v>
      </c>
      <c r="AF146" s="70">
        <f t="shared" si="81"/>
        <v>0</v>
      </c>
      <c r="AG146" s="70">
        <f t="shared" si="82"/>
        <v>9395.3070134738555</v>
      </c>
      <c r="AH146" s="1">
        <f t="shared" si="110"/>
        <v>0</v>
      </c>
      <c r="AI146" s="1">
        <f t="shared" si="110"/>
        <v>0</v>
      </c>
      <c r="AJ146" s="1">
        <f t="shared" si="110"/>
        <v>0</v>
      </c>
      <c r="AK146" s="1">
        <f t="shared" si="110"/>
        <v>0</v>
      </c>
      <c r="AL146" s="1">
        <f t="shared" si="110"/>
        <v>0</v>
      </c>
      <c r="AM146" s="1">
        <f t="shared" si="110"/>
        <v>1</v>
      </c>
      <c r="AN146" s="1">
        <f t="shared" si="110"/>
        <v>1</v>
      </c>
      <c r="AO146" s="1">
        <f t="shared" si="110"/>
        <v>1</v>
      </c>
      <c r="AP146" s="1">
        <f t="shared" si="110"/>
        <v>1</v>
      </c>
      <c r="AQ146" s="1">
        <f t="shared" si="110"/>
        <v>1</v>
      </c>
      <c r="AR146" s="1">
        <f t="shared" si="110"/>
        <v>1</v>
      </c>
      <c r="AS146" s="1">
        <f t="shared" si="110"/>
        <v>1</v>
      </c>
      <c r="AT146" s="39">
        <f t="shared" si="83"/>
        <v>124724.49214072067</v>
      </c>
      <c r="AU146" s="39">
        <f t="shared" si="101"/>
        <v>124724.49214072067</v>
      </c>
      <c r="AV146" s="39">
        <f t="shared" si="58"/>
        <v>0</v>
      </c>
      <c r="AW146" s="3">
        <f t="shared" si="84"/>
        <v>72</v>
      </c>
      <c r="AX146" s="69">
        <f t="shared" si="102"/>
        <v>0</v>
      </c>
      <c r="AY146" s="75">
        <f t="shared" si="85"/>
        <v>0</v>
      </c>
      <c r="AZ146" s="75">
        <f t="shared" si="86"/>
        <v>0</v>
      </c>
      <c r="BA146" s="75">
        <f t="shared" si="87"/>
        <v>0</v>
      </c>
      <c r="BB146" s="75">
        <f t="shared" si="88"/>
        <v>0</v>
      </c>
      <c r="BD146" s="214">
        <f t="shared" si="103"/>
        <v>124325.05325757361</v>
      </c>
      <c r="BE146" s="214">
        <f t="shared" si="89"/>
        <v>605.15848327020706</v>
      </c>
      <c r="BF146" s="214">
        <f t="shared" si="90"/>
        <v>-205.71960012314844</v>
      </c>
      <c r="BG146" s="224">
        <f t="shared" si="107"/>
        <v>0</v>
      </c>
      <c r="BH146" s="19">
        <f t="shared" si="104"/>
        <v>139759.97463705318</v>
      </c>
      <c r="BI146" s="214">
        <f t="shared" si="91"/>
        <v>680.28874355691835</v>
      </c>
      <c r="BJ146" s="214">
        <f t="shared" si="92"/>
        <v>0</v>
      </c>
      <c r="BK146" s="19">
        <f t="shared" si="108"/>
        <v>0</v>
      </c>
    </row>
    <row r="147" spans="1:63">
      <c r="A147" s="165">
        <f t="shared" si="93"/>
        <v>68.056125941136202</v>
      </c>
      <c r="B147" s="69">
        <f t="shared" si="94"/>
        <v>7</v>
      </c>
      <c r="C147" s="70">
        <f t="shared" si="95"/>
        <v>73</v>
      </c>
      <c r="D147" s="13">
        <f t="shared" si="64"/>
        <v>4.8675505653430484E-3</v>
      </c>
      <c r="E147" s="15">
        <f t="shared" si="65"/>
        <v>1</v>
      </c>
      <c r="F147" s="15">
        <f t="shared" si="96"/>
        <v>0</v>
      </c>
      <c r="G147" s="15">
        <f t="shared" si="66"/>
        <v>0</v>
      </c>
      <c r="H147" s="73">
        <f t="shared" si="67"/>
        <v>0</v>
      </c>
      <c r="I147" s="189"/>
      <c r="J147" s="189"/>
      <c r="K147" s="5">
        <f t="shared" si="109"/>
        <v>124724.49214072067</v>
      </c>
      <c r="M147" s="5">
        <f t="shared" si="68"/>
        <v>607.10277223168953</v>
      </c>
      <c r="N147" s="5">
        <f t="shared" si="69"/>
        <v>-206.38054821978352</v>
      </c>
      <c r="O147" s="5">
        <f t="shared" si="70"/>
        <v>0</v>
      </c>
      <c r="P147" s="5">
        <f t="shared" si="71"/>
        <v>0</v>
      </c>
      <c r="Q147" s="5">
        <f t="shared" si="105"/>
        <v>0</v>
      </c>
      <c r="R147" s="5">
        <f t="shared" si="97"/>
        <v>0</v>
      </c>
      <c r="S147" s="5">
        <f t="shared" si="72"/>
        <v>0</v>
      </c>
      <c r="T147" s="5">
        <f t="shared" si="73"/>
        <v>0</v>
      </c>
      <c r="U147" s="74">
        <f t="shared" si="74"/>
        <v>0</v>
      </c>
      <c r="V147" s="75">
        <f t="shared" si="75"/>
        <v>0</v>
      </c>
      <c r="W147" s="5">
        <f t="shared" si="76"/>
        <v>0</v>
      </c>
      <c r="X147" s="5">
        <f t="shared" si="77"/>
        <v>125125.21436473259</v>
      </c>
      <c r="Y147" s="5">
        <f t="shared" si="98"/>
        <v>100000</v>
      </c>
      <c r="Z147" s="215">
        <f t="shared" si="78"/>
        <v>1</v>
      </c>
      <c r="AA147" s="216">
        <f t="shared" si="99"/>
        <v>0</v>
      </c>
      <c r="AB147" s="72">
        <f t="shared" si="106"/>
        <v>0</v>
      </c>
      <c r="AC147" s="72">
        <f t="shared" si="79"/>
        <v>0</v>
      </c>
      <c r="AD147" s="72">
        <f t="shared" si="80"/>
        <v>0</v>
      </c>
      <c r="AE147" s="72">
        <f t="shared" si="100"/>
        <v>-26.055880283884822</v>
      </c>
      <c r="AF147" s="70">
        <f t="shared" si="81"/>
        <v>0</v>
      </c>
      <c r="AG147" s="70">
        <f t="shared" si="82"/>
        <v>9547.5814585983826</v>
      </c>
      <c r="AH147" s="1">
        <f t="shared" si="110"/>
        <v>0</v>
      </c>
      <c r="AI147" s="1">
        <f t="shared" si="110"/>
        <v>0</v>
      </c>
      <c r="AJ147" s="1">
        <f t="shared" si="110"/>
        <v>0</v>
      </c>
      <c r="AK147" s="1">
        <f t="shared" si="110"/>
        <v>0</v>
      </c>
      <c r="AL147" s="1">
        <f t="shared" si="110"/>
        <v>0</v>
      </c>
      <c r="AM147" s="1">
        <f t="shared" si="110"/>
        <v>1</v>
      </c>
      <c r="AN147" s="1">
        <f t="shared" si="110"/>
        <v>1</v>
      </c>
      <c r="AO147" s="1">
        <f t="shared" si="110"/>
        <v>1</v>
      </c>
      <c r="AP147" s="1">
        <f t="shared" si="110"/>
        <v>1</v>
      </c>
      <c r="AQ147" s="1">
        <f t="shared" si="110"/>
        <v>1</v>
      </c>
      <c r="AR147" s="1">
        <f t="shared" si="110"/>
        <v>1</v>
      </c>
      <c r="AS147" s="1">
        <f t="shared" si="110"/>
        <v>1</v>
      </c>
      <c r="AT147" s="39">
        <f t="shared" si="83"/>
        <v>125125.21436473259</v>
      </c>
      <c r="AU147" s="39">
        <f t="shared" si="101"/>
        <v>125125.21436473259</v>
      </c>
      <c r="AV147" s="39">
        <f t="shared" si="58"/>
        <v>0</v>
      </c>
      <c r="AW147" s="3">
        <f t="shared" si="84"/>
        <v>73</v>
      </c>
      <c r="AX147" s="69">
        <f t="shared" si="102"/>
        <v>0</v>
      </c>
      <c r="AY147" s="75">
        <f t="shared" si="85"/>
        <v>0</v>
      </c>
      <c r="AZ147" s="75">
        <f t="shared" si="86"/>
        <v>0</v>
      </c>
      <c r="BA147" s="75">
        <f t="shared" si="87"/>
        <v>0</v>
      </c>
      <c r="BB147" s="75">
        <f t="shared" si="88"/>
        <v>0</v>
      </c>
      <c r="BD147" s="214">
        <f t="shared" si="103"/>
        <v>124724.49214072067</v>
      </c>
      <c r="BE147" s="214">
        <f t="shared" si="89"/>
        <v>607.10277223168953</v>
      </c>
      <c r="BF147" s="214">
        <f t="shared" si="90"/>
        <v>-206.38054821978352</v>
      </c>
      <c r="BG147" s="224">
        <f t="shared" si="107"/>
        <v>0</v>
      </c>
      <c r="BH147" s="19">
        <f t="shared" si="104"/>
        <v>140440.26338061009</v>
      </c>
      <c r="BI147" s="214">
        <f t="shared" si="91"/>
        <v>683.60008341521529</v>
      </c>
      <c r="BJ147" s="214">
        <f t="shared" si="92"/>
        <v>0</v>
      </c>
      <c r="BK147" s="19">
        <f t="shared" si="108"/>
        <v>0</v>
      </c>
    </row>
    <row r="148" spans="1:63">
      <c r="A148" s="165">
        <f t="shared" si="93"/>
        <v>68.139459274469544</v>
      </c>
      <c r="B148" s="69">
        <f t="shared" si="94"/>
        <v>7</v>
      </c>
      <c r="C148" s="70">
        <f t="shared" si="95"/>
        <v>74</v>
      </c>
      <c r="D148" s="13">
        <f t="shared" si="64"/>
        <v>4.8675505653430484E-3</v>
      </c>
      <c r="E148" s="15">
        <f t="shared" si="65"/>
        <v>1</v>
      </c>
      <c r="F148" s="15">
        <f t="shared" si="96"/>
        <v>0</v>
      </c>
      <c r="G148" s="15">
        <f t="shared" si="66"/>
        <v>0</v>
      </c>
      <c r="H148" s="73">
        <f t="shared" si="67"/>
        <v>0</v>
      </c>
      <c r="I148" s="189"/>
      <c r="J148" s="189"/>
      <c r="K148" s="5">
        <f t="shared" si="109"/>
        <v>125125.21436473259</v>
      </c>
      <c r="M148" s="5">
        <f t="shared" si="68"/>
        <v>609.05330791972426</v>
      </c>
      <c r="N148" s="5">
        <f t="shared" si="69"/>
        <v>-207.04361984954909</v>
      </c>
      <c r="O148" s="5">
        <f t="shared" si="70"/>
        <v>0</v>
      </c>
      <c r="P148" s="5">
        <f t="shared" si="71"/>
        <v>0</v>
      </c>
      <c r="Q148" s="5">
        <f t="shared" si="105"/>
        <v>0</v>
      </c>
      <c r="R148" s="5">
        <f t="shared" si="97"/>
        <v>0</v>
      </c>
      <c r="S148" s="5">
        <f t="shared" si="72"/>
        <v>0</v>
      </c>
      <c r="T148" s="5">
        <f t="shared" si="73"/>
        <v>0</v>
      </c>
      <c r="U148" s="74">
        <f t="shared" si="74"/>
        <v>0</v>
      </c>
      <c r="V148" s="75">
        <f t="shared" si="75"/>
        <v>0</v>
      </c>
      <c r="W148" s="5">
        <f t="shared" si="76"/>
        <v>0</v>
      </c>
      <c r="X148" s="5">
        <f t="shared" si="77"/>
        <v>125527.22405280276</v>
      </c>
      <c r="Y148" s="5">
        <f t="shared" si="98"/>
        <v>100000</v>
      </c>
      <c r="Z148" s="215">
        <f t="shared" si="78"/>
        <v>1</v>
      </c>
      <c r="AA148" s="216">
        <f t="shared" si="99"/>
        <v>0</v>
      </c>
      <c r="AB148" s="72">
        <f t="shared" si="106"/>
        <v>0</v>
      </c>
      <c r="AC148" s="72">
        <f t="shared" si="79"/>
        <v>0</v>
      </c>
      <c r="AD148" s="72">
        <f t="shared" si="80"/>
        <v>0</v>
      </c>
      <c r="AE148" s="72">
        <f t="shared" si="100"/>
        <v>-26.139594156891949</v>
      </c>
      <c r="AF148" s="70">
        <f t="shared" si="81"/>
        <v>0</v>
      </c>
      <c r="AG148" s="70">
        <f t="shared" si="82"/>
        <v>9700.3451400650501</v>
      </c>
      <c r="AH148" s="1">
        <f t="shared" si="110"/>
        <v>0</v>
      </c>
      <c r="AI148" s="1">
        <f t="shared" si="110"/>
        <v>0</v>
      </c>
      <c r="AJ148" s="1">
        <f t="shared" si="110"/>
        <v>0</v>
      </c>
      <c r="AK148" s="1">
        <f t="shared" si="110"/>
        <v>0</v>
      </c>
      <c r="AL148" s="1">
        <f t="shared" si="110"/>
        <v>0</v>
      </c>
      <c r="AM148" s="1">
        <f t="shared" si="110"/>
        <v>1</v>
      </c>
      <c r="AN148" s="1">
        <f t="shared" si="110"/>
        <v>1</v>
      </c>
      <c r="AO148" s="1">
        <f t="shared" si="110"/>
        <v>1</v>
      </c>
      <c r="AP148" s="1">
        <f t="shared" si="110"/>
        <v>1</v>
      </c>
      <c r="AQ148" s="1">
        <f t="shared" si="110"/>
        <v>1</v>
      </c>
      <c r="AR148" s="1">
        <f t="shared" si="110"/>
        <v>1</v>
      </c>
      <c r="AS148" s="1">
        <f t="shared" si="110"/>
        <v>1</v>
      </c>
      <c r="AT148" s="39">
        <f t="shared" si="83"/>
        <v>125527.22405280276</v>
      </c>
      <c r="AU148" s="39">
        <f t="shared" si="101"/>
        <v>125527.22405280276</v>
      </c>
      <c r="AV148" s="39">
        <f t="shared" si="58"/>
        <v>0</v>
      </c>
      <c r="AW148" s="3">
        <f t="shared" si="84"/>
        <v>74</v>
      </c>
      <c r="AX148" s="69">
        <f t="shared" si="102"/>
        <v>0</v>
      </c>
      <c r="AY148" s="75">
        <f t="shared" si="85"/>
        <v>0</v>
      </c>
      <c r="AZ148" s="75">
        <f t="shared" si="86"/>
        <v>0</v>
      </c>
      <c r="BA148" s="75">
        <f t="shared" si="87"/>
        <v>0</v>
      </c>
      <c r="BB148" s="75">
        <f t="shared" si="88"/>
        <v>0</v>
      </c>
      <c r="BD148" s="214">
        <f t="shared" si="103"/>
        <v>125125.21436473259</v>
      </c>
      <c r="BE148" s="214">
        <f t="shared" si="89"/>
        <v>609.05330791972426</v>
      </c>
      <c r="BF148" s="214">
        <f t="shared" si="90"/>
        <v>-207.04361984954909</v>
      </c>
      <c r="BG148" s="224">
        <f t="shared" si="107"/>
        <v>0</v>
      </c>
      <c r="BH148" s="19">
        <f t="shared" si="104"/>
        <v>141123.86346402531</v>
      </c>
      <c r="BI148" s="214">
        <f t="shared" si="91"/>
        <v>686.92754138771159</v>
      </c>
      <c r="BJ148" s="214">
        <f t="shared" si="92"/>
        <v>0</v>
      </c>
      <c r="BK148" s="19">
        <f t="shared" si="108"/>
        <v>0</v>
      </c>
    </row>
    <row r="149" spans="1:63">
      <c r="A149" s="165">
        <f t="shared" si="93"/>
        <v>68.222792607802873</v>
      </c>
      <c r="B149" s="69">
        <f t="shared" si="94"/>
        <v>7</v>
      </c>
      <c r="C149" s="70">
        <f t="shared" si="95"/>
        <v>75</v>
      </c>
      <c r="D149" s="13">
        <f t="shared" si="64"/>
        <v>4.8675505653430484E-3</v>
      </c>
      <c r="E149" s="15">
        <f t="shared" si="65"/>
        <v>1</v>
      </c>
      <c r="F149" s="15">
        <f t="shared" si="96"/>
        <v>0</v>
      </c>
      <c r="G149" s="15">
        <f t="shared" si="66"/>
        <v>0</v>
      </c>
      <c r="H149" s="73">
        <f t="shared" si="67"/>
        <v>0</v>
      </c>
      <c r="I149" s="189"/>
      <c r="J149" s="189"/>
      <c r="K149" s="5">
        <f t="shared" si="109"/>
        <v>125527.22405280276</v>
      </c>
      <c r="M149" s="5">
        <f t="shared" si="68"/>
        <v>611.01011040416358</v>
      </c>
      <c r="N149" s="5">
        <f t="shared" si="69"/>
        <v>-207.7088218350579</v>
      </c>
      <c r="O149" s="5">
        <f t="shared" si="70"/>
        <v>0</v>
      </c>
      <c r="P149" s="5">
        <f t="shared" si="71"/>
        <v>0</v>
      </c>
      <c r="Q149" s="5">
        <f t="shared" si="105"/>
        <v>0</v>
      </c>
      <c r="R149" s="5">
        <f t="shared" si="97"/>
        <v>0</v>
      </c>
      <c r="S149" s="5">
        <f t="shared" si="72"/>
        <v>0</v>
      </c>
      <c r="T149" s="5">
        <f t="shared" si="73"/>
        <v>0</v>
      </c>
      <c r="U149" s="74">
        <f t="shared" si="74"/>
        <v>0</v>
      </c>
      <c r="V149" s="75">
        <f t="shared" si="75"/>
        <v>0</v>
      </c>
      <c r="W149" s="5">
        <f t="shared" si="76"/>
        <v>0</v>
      </c>
      <c r="X149" s="5">
        <f t="shared" si="77"/>
        <v>125930.52534137187</v>
      </c>
      <c r="Y149" s="5">
        <f t="shared" si="98"/>
        <v>100000</v>
      </c>
      <c r="Z149" s="215">
        <f t="shared" si="78"/>
        <v>1</v>
      </c>
      <c r="AA149" s="216">
        <f t="shared" si="99"/>
        <v>0</v>
      </c>
      <c r="AB149" s="72">
        <f t="shared" si="106"/>
        <v>0</v>
      </c>
      <c r="AC149" s="72">
        <f t="shared" si="79"/>
        <v>0</v>
      </c>
      <c r="AD149" s="72">
        <f t="shared" si="80"/>
        <v>0</v>
      </c>
      <c r="AE149" s="72">
        <f t="shared" si="100"/>
        <v>-26.223576990780742</v>
      </c>
      <c r="AF149" s="70">
        <f t="shared" si="81"/>
        <v>0</v>
      </c>
      <c r="AG149" s="70">
        <f t="shared" si="82"/>
        <v>9853.5996297213132</v>
      </c>
      <c r="AH149" s="1">
        <f t="shared" si="110"/>
        <v>0</v>
      </c>
      <c r="AI149" s="1">
        <f t="shared" si="110"/>
        <v>0</v>
      </c>
      <c r="AJ149" s="1">
        <f t="shared" si="110"/>
        <v>0</v>
      </c>
      <c r="AK149" s="1">
        <f t="shared" si="110"/>
        <v>0</v>
      </c>
      <c r="AL149" s="1">
        <f t="shared" si="110"/>
        <v>0</v>
      </c>
      <c r="AM149" s="1">
        <f t="shared" si="110"/>
        <v>1</v>
      </c>
      <c r="AN149" s="1">
        <f t="shared" si="110"/>
        <v>1</v>
      </c>
      <c r="AO149" s="1">
        <f t="shared" si="110"/>
        <v>1</v>
      </c>
      <c r="AP149" s="1">
        <f t="shared" si="110"/>
        <v>1</v>
      </c>
      <c r="AQ149" s="1">
        <f t="shared" si="110"/>
        <v>1</v>
      </c>
      <c r="AR149" s="1">
        <f t="shared" si="110"/>
        <v>1</v>
      </c>
      <c r="AS149" s="1">
        <f t="shared" si="110"/>
        <v>1</v>
      </c>
      <c r="AT149" s="39">
        <f t="shared" si="83"/>
        <v>125930.52534137187</v>
      </c>
      <c r="AU149" s="39">
        <f t="shared" si="101"/>
        <v>125930.52534137187</v>
      </c>
      <c r="AV149" s="39">
        <f t="shared" si="58"/>
        <v>0</v>
      </c>
      <c r="AW149" s="3">
        <f t="shared" si="84"/>
        <v>75</v>
      </c>
      <c r="AX149" s="69">
        <f t="shared" si="102"/>
        <v>0</v>
      </c>
      <c r="AY149" s="75">
        <f t="shared" si="85"/>
        <v>0</v>
      </c>
      <c r="AZ149" s="75">
        <f t="shared" si="86"/>
        <v>0</v>
      </c>
      <c r="BA149" s="75">
        <f t="shared" si="87"/>
        <v>0</v>
      </c>
      <c r="BB149" s="75">
        <f t="shared" si="88"/>
        <v>0</v>
      </c>
      <c r="BD149" s="214">
        <f t="shared" si="103"/>
        <v>125527.22405280276</v>
      </c>
      <c r="BE149" s="214">
        <f t="shared" si="89"/>
        <v>611.01011040416358</v>
      </c>
      <c r="BF149" s="214">
        <f t="shared" si="90"/>
        <v>-207.7088218350579</v>
      </c>
      <c r="BG149" s="224">
        <f t="shared" si="107"/>
        <v>0</v>
      </c>
      <c r="BH149" s="19">
        <f t="shared" si="104"/>
        <v>141810.79100541302</v>
      </c>
      <c r="BI149" s="214">
        <f t="shared" si="91"/>
        <v>690.27119593014299</v>
      </c>
      <c r="BJ149" s="214">
        <f t="shared" si="92"/>
        <v>0</v>
      </c>
      <c r="BK149" s="19">
        <f t="shared" si="108"/>
        <v>0</v>
      </c>
    </row>
    <row r="150" spans="1:63">
      <c r="A150" s="165">
        <f t="shared" si="93"/>
        <v>68.306125941136202</v>
      </c>
      <c r="B150" s="69">
        <f t="shared" si="94"/>
        <v>7</v>
      </c>
      <c r="C150" s="70">
        <f t="shared" si="95"/>
        <v>76</v>
      </c>
      <c r="D150" s="13">
        <f t="shared" si="64"/>
        <v>4.8675505653430484E-3</v>
      </c>
      <c r="E150" s="15">
        <f t="shared" si="65"/>
        <v>1</v>
      </c>
      <c r="F150" s="15">
        <f t="shared" si="96"/>
        <v>0</v>
      </c>
      <c r="G150" s="15">
        <f t="shared" si="66"/>
        <v>0</v>
      </c>
      <c r="H150" s="73">
        <f t="shared" si="67"/>
        <v>0</v>
      </c>
      <c r="I150" s="189"/>
      <c r="J150" s="189"/>
      <c r="K150" s="5">
        <f t="shared" si="109"/>
        <v>125930.52534137187</v>
      </c>
      <c r="M150" s="5">
        <f t="shared" si="68"/>
        <v>612.97319981934174</v>
      </c>
      <c r="N150" s="5">
        <f t="shared" si="69"/>
        <v>-208.37616102084291</v>
      </c>
      <c r="O150" s="5">
        <f t="shared" si="70"/>
        <v>0</v>
      </c>
      <c r="P150" s="5">
        <f t="shared" si="71"/>
        <v>0</v>
      </c>
      <c r="Q150" s="5">
        <f t="shared" si="105"/>
        <v>0</v>
      </c>
      <c r="R150" s="5">
        <f t="shared" si="97"/>
        <v>0</v>
      </c>
      <c r="S150" s="5">
        <f t="shared" si="72"/>
        <v>0</v>
      </c>
      <c r="T150" s="5">
        <f t="shared" si="73"/>
        <v>0</v>
      </c>
      <c r="U150" s="74">
        <f t="shared" si="74"/>
        <v>0</v>
      </c>
      <c r="V150" s="75">
        <f t="shared" si="75"/>
        <v>0</v>
      </c>
      <c r="W150" s="5">
        <f t="shared" si="76"/>
        <v>0</v>
      </c>
      <c r="X150" s="5">
        <f t="shared" si="77"/>
        <v>126335.12238017037</v>
      </c>
      <c r="Y150" s="5">
        <f t="shared" si="98"/>
        <v>100000</v>
      </c>
      <c r="Z150" s="215">
        <f t="shared" si="78"/>
        <v>1</v>
      </c>
      <c r="AA150" s="216">
        <f t="shared" si="99"/>
        <v>0</v>
      </c>
      <c r="AB150" s="72">
        <f t="shared" si="106"/>
        <v>0</v>
      </c>
      <c r="AC150" s="72">
        <f t="shared" si="79"/>
        <v>0</v>
      </c>
      <c r="AD150" s="72">
        <f t="shared" si="80"/>
        <v>0</v>
      </c>
      <c r="AE150" s="72">
        <f t="shared" si="100"/>
        <v>-26.307829649684631</v>
      </c>
      <c r="AF150" s="70">
        <f t="shared" si="81"/>
        <v>0</v>
      </c>
      <c r="AG150" s="70">
        <f t="shared" si="82"/>
        <v>10007.346504464742</v>
      </c>
      <c r="AH150" s="1">
        <f t="shared" si="110"/>
        <v>0</v>
      </c>
      <c r="AI150" s="1">
        <f t="shared" si="110"/>
        <v>0</v>
      </c>
      <c r="AJ150" s="1">
        <f t="shared" si="110"/>
        <v>0</v>
      </c>
      <c r="AK150" s="1">
        <f t="shared" si="110"/>
        <v>0</v>
      </c>
      <c r="AL150" s="1">
        <f t="shared" si="110"/>
        <v>0</v>
      </c>
      <c r="AM150" s="1">
        <f t="shared" si="110"/>
        <v>1</v>
      </c>
      <c r="AN150" s="1">
        <f t="shared" si="110"/>
        <v>1</v>
      </c>
      <c r="AO150" s="1">
        <f t="shared" si="110"/>
        <v>1</v>
      </c>
      <c r="AP150" s="1">
        <f t="shared" si="110"/>
        <v>1</v>
      </c>
      <c r="AQ150" s="1">
        <f t="shared" si="110"/>
        <v>1</v>
      </c>
      <c r="AR150" s="1">
        <f t="shared" si="110"/>
        <v>1</v>
      </c>
      <c r="AS150" s="1">
        <f t="shared" si="110"/>
        <v>1</v>
      </c>
      <c r="AT150" s="39">
        <f t="shared" si="83"/>
        <v>126335.12238017037</v>
      </c>
      <c r="AU150" s="39">
        <f t="shared" si="101"/>
        <v>126335.12238017037</v>
      </c>
      <c r="AV150" s="39">
        <f t="shared" si="58"/>
        <v>0</v>
      </c>
      <c r="AW150" s="3">
        <f t="shared" si="84"/>
        <v>76</v>
      </c>
      <c r="AX150" s="69">
        <f t="shared" si="102"/>
        <v>0</v>
      </c>
      <c r="AY150" s="75">
        <f t="shared" si="85"/>
        <v>0</v>
      </c>
      <c r="AZ150" s="75">
        <f t="shared" si="86"/>
        <v>0</v>
      </c>
      <c r="BA150" s="75">
        <f t="shared" si="87"/>
        <v>0</v>
      </c>
      <c r="BB150" s="75">
        <f t="shared" si="88"/>
        <v>0</v>
      </c>
      <c r="BD150" s="214">
        <f t="shared" si="103"/>
        <v>125930.52534137187</v>
      </c>
      <c r="BE150" s="214">
        <f t="shared" si="89"/>
        <v>612.97319981934174</v>
      </c>
      <c r="BF150" s="214">
        <f t="shared" si="90"/>
        <v>-208.37616102084291</v>
      </c>
      <c r="BG150" s="224">
        <f t="shared" si="107"/>
        <v>0</v>
      </c>
      <c r="BH150" s="19">
        <f t="shared" si="104"/>
        <v>142501.06220134316</v>
      </c>
      <c r="BI150" s="214">
        <f t="shared" si="91"/>
        <v>693.6311258801328</v>
      </c>
      <c r="BJ150" s="214">
        <f t="shared" si="92"/>
        <v>0</v>
      </c>
      <c r="BK150" s="19">
        <f t="shared" si="108"/>
        <v>0</v>
      </c>
    </row>
    <row r="151" spans="1:63">
      <c r="A151" s="165">
        <f t="shared" si="93"/>
        <v>68.389459274469544</v>
      </c>
      <c r="B151" s="69">
        <f t="shared" si="94"/>
        <v>7</v>
      </c>
      <c r="C151" s="70">
        <f t="shared" si="95"/>
        <v>77</v>
      </c>
      <c r="D151" s="13">
        <f t="shared" si="64"/>
        <v>4.8675505653430484E-3</v>
      </c>
      <c r="E151" s="15">
        <f t="shared" si="65"/>
        <v>1</v>
      </c>
      <c r="F151" s="15">
        <f t="shared" si="96"/>
        <v>0</v>
      </c>
      <c r="G151" s="15">
        <f t="shared" si="66"/>
        <v>0</v>
      </c>
      <c r="H151" s="73">
        <f t="shared" si="67"/>
        <v>0</v>
      </c>
      <c r="I151" s="189"/>
      <c r="J151" s="189"/>
      <c r="K151" s="5">
        <f t="shared" si="109"/>
        <v>126335.12238017037</v>
      </c>
      <c r="M151" s="5">
        <f t="shared" si="68"/>
        <v>614.94259636428148</v>
      </c>
      <c r="N151" s="5">
        <f t="shared" si="69"/>
        <v>-209.04564427342754</v>
      </c>
      <c r="O151" s="5">
        <f t="shared" si="70"/>
        <v>0</v>
      </c>
      <c r="P151" s="5">
        <f t="shared" si="71"/>
        <v>0</v>
      </c>
      <c r="Q151" s="5">
        <f t="shared" si="105"/>
        <v>0</v>
      </c>
      <c r="R151" s="5">
        <f t="shared" si="97"/>
        <v>0</v>
      </c>
      <c r="S151" s="5">
        <f t="shared" si="72"/>
        <v>0</v>
      </c>
      <c r="T151" s="5">
        <f t="shared" si="73"/>
        <v>0</v>
      </c>
      <c r="U151" s="74">
        <f t="shared" si="74"/>
        <v>0</v>
      </c>
      <c r="V151" s="75">
        <f t="shared" si="75"/>
        <v>0</v>
      </c>
      <c r="W151" s="5">
        <f t="shared" si="76"/>
        <v>0</v>
      </c>
      <c r="X151" s="5">
        <f t="shared" si="77"/>
        <v>126741.01933226123</v>
      </c>
      <c r="Y151" s="5">
        <f t="shared" si="98"/>
        <v>100000</v>
      </c>
      <c r="Z151" s="215">
        <f t="shared" si="78"/>
        <v>1</v>
      </c>
      <c r="AA151" s="216">
        <f t="shared" si="99"/>
        <v>0</v>
      </c>
      <c r="AB151" s="72">
        <f t="shared" si="106"/>
        <v>0</v>
      </c>
      <c r="AC151" s="72">
        <f t="shared" si="79"/>
        <v>0</v>
      </c>
      <c r="AD151" s="72">
        <f t="shared" si="80"/>
        <v>0</v>
      </c>
      <c r="AE151" s="72">
        <f t="shared" si="100"/>
        <v>-26.392353000513381</v>
      </c>
      <c r="AF151" s="70">
        <f t="shared" si="81"/>
        <v>0</v>
      </c>
      <c r="AG151" s="70">
        <f t="shared" si="82"/>
        <v>10161.587346259268</v>
      </c>
      <c r="AH151" s="1">
        <f t="shared" si="110"/>
        <v>0</v>
      </c>
      <c r="AI151" s="1">
        <f t="shared" si="110"/>
        <v>0</v>
      </c>
      <c r="AJ151" s="1">
        <f t="shared" si="110"/>
        <v>0</v>
      </c>
      <c r="AK151" s="1">
        <f t="shared" si="110"/>
        <v>0</v>
      </c>
      <c r="AL151" s="1">
        <f t="shared" si="110"/>
        <v>0</v>
      </c>
      <c r="AM151" s="1">
        <f t="shared" si="110"/>
        <v>1</v>
      </c>
      <c r="AN151" s="1">
        <f t="shared" si="110"/>
        <v>1</v>
      </c>
      <c r="AO151" s="1">
        <f t="shared" si="110"/>
        <v>1</v>
      </c>
      <c r="AP151" s="1">
        <f t="shared" si="110"/>
        <v>1</v>
      </c>
      <c r="AQ151" s="1">
        <f t="shared" si="110"/>
        <v>1</v>
      </c>
      <c r="AR151" s="1">
        <f t="shared" si="110"/>
        <v>1</v>
      </c>
      <c r="AS151" s="1">
        <f t="shared" si="110"/>
        <v>1</v>
      </c>
      <c r="AT151" s="39">
        <f t="shared" si="83"/>
        <v>126741.01933226123</v>
      </c>
      <c r="AU151" s="39">
        <f t="shared" si="101"/>
        <v>126741.01933226123</v>
      </c>
      <c r="AV151" s="39">
        <f t="shared" ref="AV151:AV214" si="111">IF(W151=0,0,IF(W151&gt;W139,"Y","N"))</f>
        <v>0</v>
      </c>
      <c r="AW151" s="3">
        <f t="shared" si="84"/>
        <v>77</v>
      </c>
      <c r="AX151" s="69">
        <f t="shared" si="102"/>
        <v>0</v>
      </c>
      <c r="AY151" s="75">
        <f t="shared" si="85"/>
        <v>0</v>
      </c>
      <c r="AZ151" s="75">
        <f t="shared" si="86"/>
        <v>0</v>
      </c>
      <c r="BA151" s="75">
        <f t="shared" si="87"/>
        <v>0</v>
      </c>
      <c r="BB151" s="75">
        <f t="shared" si="88"/>
        <v>0</v>
      </c>
      <c r="BD151" s="214">
        <f t="shared" si="103"/>
        <v>126335.12238017037</v>
      </c>
      <c r="BE151" s="214">
        <f t="shared" si="89"/>
        <v>614.94259636428148</v>
      </c>
      <c r="BF151" s="214">
        <f t="shared" si="90"/>
        <v>-209.04564427342754</v>
      </c>
      <c r="BG151" s="224">
        <f t="shared" si="107"/>
        <v>0</v>
      </c>
      <c r="BH151" s="19">
        <f t="shared" si="104"/>
        <v>143194.6933272233</v>
      </c>
      <c r="BI151" s="214">
        <f t="shared" si="91"/>
        <v>697.00741045905022</v>
      </c>
      <c r="BJ151" s="214">
        <f t="shared" si="92"/>
        <v>0</v>
      </c>
      <c r="BK151" s="19">
        <f t="shared" si="108"/>
        <v>0</v>
      </c>
    </row>
    <row r="152" spans="1:63">
      <c r="A152" s="165">
        <f t="shared" si="93"/>
        <v>68.472792607802873</v>
      </c>
      <c r="B152" s="69">
        <f t="shared" si="94"/>
        <v>7</v>
      </c>
      <c r="C152" s="70">
        <f t="shared" si="95"/>
        <v>78</v>
      </c>
      <c r="D152" s="13">
        <f t="shared" si="64"/>
        <v>4.8675505653430484E-3</v>
      </c>
      <c r="E152" s="15">
        <f t="shared" si="65"/>
        <v>1</v>
      </c>
      <c r="F152" s="15">
        <f t="shared" si="96"/>
        <v>0</v>
      </c>
      <c r="G152" s="15">
        <f t="shared" si="66"/>
        <v>0</v>
      </c>
      <c r="H152" s="73">
        <f t="shared" si="67"/>
        <v>0</v>
      </c>
      <c r="I152" s="189"/>
      <c r="J152" s="189"/>
      <c r="K152" s="5">
        <f t="shared" si="109"/>
        <v>126741.01933226123</v>
      </c>
      <c r="M152" s="5">
        <f t="shared" si="68"/>
        <v>616.91832030290243</v>
      </c>
      <c r="N152" s="5">
        <f t="shared" si="69"/>
        <v>-209.71727848139642</v>
      </c>
      <c r="O152" s="5">
        <f t="shared" si="70"/>
        <v>0</v>
      </c>
      <c r="P152" s="5">
        <f t="shared" si="71"/>
        <v>0</v>
      </c>
      <c r="Q152" s="5">
        <f t="shared" si="105"/>
        <v>0</v>
      </c>
      <c r="R152" s="5">
        <f t="shared" si="97"/>
        <v>0</v>
      </c>
      <c r="S152" s="5">
        <f t="shared" si="72"/>
        <v>0</v>
      </c>
      <c r="T152" s="5">
        <f t="shared" si="73"/>
        <v>0</v>
      </c>
      <c r="U152" s="74">
        <f t="shared" si="74"/>
        <v>0</v>
      </c>
      <c r="V152" s="75">
        <f t="shared" si="75"/>
        <v>0</v>
      </c>
      <c r="W152" s="5">
        <f t="shared" si="76"/>
        <v>0</v>
      </c>
      <c r="X152" s="5">
        <f t="shared" si="77"/>
        <v>127148.22037408274</v>
      </c>
      <c r="Y152" s="5">
        <f t="shared" si="98"/>
        <v>100000</v>
      </c>
      <c r="Z152" s="215">
        <f t="shared" si="78"/>
        <v>1</v>
      </c>
      <c r="AA152" s="216">
        <f t="shared" si="99"/>
        <v>0</v>
      </c>
      <c r="AB152" s="72">
        <f t="shared" si="106"/>
        <v>0</v>
      </c>
      <c r="AC152" s="72">
        <f t="shared" si="79"/>
        <v>0</v>
      </c>
      <c r="AD152" s="72">
        <f t="shared" si="80"/>
        <v>0</v>
      </c>
      <c r="AE152" s="72">
        <f t="shared" si="100"/>
        <v>-26.477147912962021</v>
      </c>
      <c r="AF152" s="70">
        <f t="shared" si="81"/>
        <v>0</v>
      </c>
      <c r="AG152" s="70">
        <f t="shared" si="82"/>
        <v>10316.32374215144</v>
      </c>
      <c r="AH152" s="1">
        <f t="shared" si="110"/>
        <v>0</v>
      </c>
      <c r="AI152" s="1">
        <f t="shared" si="110"/>
        <v>0</v>
      </c>
      <c r="AJ152" s="1">
        <f t="shared" si="110"/>
        <v>0</v>
      </c>
      <c r="AK152" s="1">
        <f t="shared" si="110"/>
        <v>0</v>
      </c>
      <c r="AL152" s="1">
        <f t="shared" si="110"/>
        <v>0</v>
      </c>
      <c r="AM152" s="1">
        <f t="shared" si="110"/>
        <v>1</v>
      </c>
      <c r="AN152" s="1">
        <f t="shared" si="110"/>
        <v>1</v>
      </c>
      <c r="AO152" s="1">
        <f t="shared" si="110"/>
        <v>1</v>
      </c>
      <c r="AP152" s="1">
        <f t="shared" si="110"/>
        <v>1</v>
      </c>
      <c r="AQ152" s="1">
        <f t="shared" si="110"/>
        <v>1</v>
      </c>
      <c r="AR152" s="1">
        <f t="shared" si="110"/>
        <v>1</v>
      </c>
      <c r="AS152" s="1">
        <f t="shared" si="110"/>
        <v>1</v>
      </c>
      <c r="AT152" s="39">
        <f t="shared" si="83"/>
        <v>127148.22037408274</v>
      </c>
      <c r="AU152" s="39">
        <f t="shared" si="101"/>
        <v>127148.22037408274</v>
      </c>
      <c r="AV152" s="39">
        <f t="shared" si="111"/>
        <v>0</v>
      </c>
      <c r="AW152" s="3">
        <f t="shared" si="84"/>
        <v>78</v>
      </c>
      <c r="AX152" s="69">
        <f t="shared" si="102"/>
        <v>0</v>
      </c>
      <c r="AY152" s="75">
        <f t="shared" si="85"/>
        <v>0</v>
      </c>
      <c r="AZ152" s="75">
        <f t="shared" si="86"/>
        <v>0</v>
      </c>
      <c r="BA152" s="75">
        <f t="shared" si="87"/>
        <v>0</v>
      </c>
      <c r="BB152" s="75">
        <f t="shared" si="88"/>
        <v>0</v>
      </c>
      <c r="BD152" s="214">
        <f t="shared" si="103"/>
        <v>126741.01933226123</v>
      </c>
      <c r="BE152" s="214">
        <f t="shared" si="89"/>
        <v>616.91832030290243</v>
      </c>
      <c r="BF152" s="214">
        <f t="shared" si="90"/>
        <v>-209.71727848139642</v>
      </c>
      <c r="BG152" s="224">
        <f t="shared" si="107"/>
        <v>0</v>
      </c>
      <c r="BH152" s="19">
        <f t="shared" si="104"/>
        <v>143891.70073768235</v>
      </c>
      <c r="BI152" s="214">
        <f t="shared" si="91"/>
        <v>700.40012927387841</v>
      </c>
      <c r="BJ152" s="214">
        <f t="shared" si="92"/>
        <v>0</v>
      </c>
      <c r="BK152" s="19">
        <f t="shared" si="108"/>
        <v>0</v>
      </c>
    </row>
    <row r="153" spans="1:63">
      <c r="A153" s="165">
        <f t="shared" si="93"/>
        <v>68.556125941136202</v>
      </c>
      <c r="B153" s="69">
        <f t="shared" si="94"/>
        <v>7</v>
      </c>
      <c r="C153" s="70">
        <f t="shared" si="95"/>
        <v>79</v>
      </c>
      <c r="D153" s="13">
        <f t="shared" si="64"/>
        <v>4.8675505653430484E-3</v>
      </c>
      <c r="E153" s="15">
        <f t="shared" si="65"/>
        <v>1</v>
      </c>
      <c r="F153" s="15">
        <f t="shared" si="96"/>
        <v>0</v>
      </c>
      <c r="G153" s="15">
        <f t="shared" si="66"/>
        <v>0</v>
      </c>
      <c r="H153" s="73">
        <f t="shared" si="67"/>
        <v>0</v>
      </c>
      <c r="I153" s="189"/>
      <c r="J153" s="189"/>
      <c r="K153" s="5">
        <f t="shared" si="109"/>
        <v>127148.22037408274</v>
      </c>
      <c r="M153" s="5">
        <f t="shared" si="68"/>
        <v>618.9003919642289</v>
      </c>
      <c r="N153" s="5">
        <f t="shared" si="69"/>
        <v>-210.39107055546614</v>
      </c>
      <c r="O153" s="5">
        <f t="shared" si="70"/>
        <v>0</v>
      </c>
      <c r="P153" s="5">
        <f t="shared" si="71"/>
        <v>0</v>
      </c>
      <c r="Q153" s="5">
        <f t="shared" si="105"/>
        <v>0</v>
      </c>
      <c r="R153" s="5">
        <f t="shared" si="97"/>
        <v>0</v>
      </c>
      <c r="S153" s="5">
        <f t="shared" si="72"/>
        <v>0</v>
      </c>
      <c r="T153" s="5">
        <f t="shared" si="73"/>
        <v>0</v>
      </c>
      <c r="U153" s="74">
        <f t="shared" si="74"/>
        <v>0</v>
      </c>
      <c r="V153" s="75">
        <f t="shared" si="75"/>
        <v>0</v>
      </c>
      <c r="W153" s="5">
        <f t="shared" si="76"/>
        <v>0</v>
      </c>
      <c r="X153" s="5">
        <f t="shared" si="77"/>
        <v>127556.72969549151</v>
      </c>
      <c r="Y153" s="5">
        <f t="shared" si="98"/>
        <v>100000</v>
      </c>
      <c r="Z153" s="215">
        <f t="shared" si="78"/>
        <v>1</v>
      </c>
      <c r="AA153" s="216">
        <f t="shared" si="99"/>
        <v>0</v>
      </c>
      <c r="AB153" s="72">
        <f t="shared" si="106"/>
        <v>0</v>
      </c>
      <c r="AC153" s="72">
        <f t="shared" si="79"/>
        <v>0</v>
      </c>
      <c r="AD153" s="72">
        <f t="shared" si="80"/>
        <v>0</v>
      </c>
      <c r="AE153" s="72">
        <f t="shared" si="100"/>
        <v>-26.562215259519775</v>
      </c>
      <c r="AF153" s="70">
        <f t="shared" si="81"/>
        <v>0</v>
      </c>
      <c r="AG153" s="70">
        <f t="shared" si="82"/>
        <v>10471.557284286773</v>
      </c>
      <c r="AH153" s="1">
        <f t="shared" si="110"/>
        <v>0</v>
      </c>
      <c r="AI153" s="1">
        <f t="shared" si="110"/>
        <v>0</v>
      </c>
      <c r="AJ153" s="1">
        <f t="shared" si="110"/>
        <v>0</v>
      </c>
      <c r="AK153" s="1">
        <f t="shared" si="110"/>
        <v>0</v>
      </c>
      <c r="AL153" s="1">
        <f t="shared" si="110"/>
        <v>0</v>
      </c>
      <c r="AM153" s="1">
        <f t="shared" si="110"/>
        <v>1</v>
      </c>
      <c r="AN153" s="1">
        <f t="shared" si="110"/>
        <v>1</v>
      </c>
      <c r="AO153" s="1">
        <f t="shared" si="110"/>
        <v>1</v>
      </c>
      <c r="AP153" s="1">
        <f t="shared" si="110"/>
        <v>1</v>
      </c>
      <c r="AQ153" s="1">
        <f t="shared" si="110"/>
        <v>1</v>
      </c>
      <c r="AR153" s="1">
        <f t="shared" si="110"/>
        <v>1</v>
      </c>
      <c r="AS153" s="1">
        <f t="shared" si="110"/>
        <v>1</v>
      </c>
      <c r="AT153" s="39">
        <f t="shared" si="83"/>
        <v>127556.72969549151</v>
      </c>
      <c r="AU153" s="39">
        <f t="shared" si="101"/>
        <v>127556.72969549151</v>
      </c>
      <c r="AV153" s="39">
        <f t="shared" si="111"/>
        <v>0</v>
      </c>
      <c r="AW153" s="3">
        <f t="shared" si="84"/>
        <v>79</v>
      </c>
      <c r="AX153" s="69">
        <f t="shared" si="102"/>
        <v>0</v>
      </c>
      <c r="AY153" s="75">
        <f t="shared" si="85"/>
        <v>0</v>
      </c>
      <c r="AZ153" s="75">
        <f t="shared" si="86"/>
        <v>0</v>
      </c>
      <c r="BA153" s="75">
        <f t="shared" si="87"/>
        <v>0</v>
      </c>
      <c r="BB153" s="75">
        <f t="shared" si="88"/>
        <v>0</v>
      </c>
      <c r="BD153" s="214">
        <f t="shared" si="103"/>
        <v>127148.22037408274</v>
      </c>
      <c r="BE153" s="214">
        <f t="shared" si="89"/>
        <v>618.9003919642289</v>
      </c>
      <c r="BF153" s="214">
        <f t="shared" si="90"/>
        <v>-210.39107055546614</v>
      </c>
      <c r="BG153" s="224">
        <f t="shared" si="107"/>
        <v>0</v>
      </c>
      <c r="BH153" s="19">
        <f t="shared" si="104"/>
        <v>144592.10086695623</v>
      </c>
      <c r="BI153" s="214">
        <f t="shared" si="91"/>
        <v>703.80936231909186</v>
      </c>
      <c r="BJ153" s="214">
        <f t="shared" si="92"/>
        <v>0</v>
      </c>
      <c r="BK153" s="19">
        <f t="shared" si="108"/>
        <v>0</v>
      </c>
    </row>
    <row r="154" spans="1:63">
      <c r="A154" s="165">
        <f t="shared" si="93"/>
        <v>68.639459274469544</v>
      </c>
      <c r="B154" s="69">
        <f t="shared" si="94"/>
        <v>7</v>
      </c>
      <c r="C154" s="70">
        <f t="shared" si="95"/>
        <v>80</v>
      </c>
      <c r="D154" s="13">
        <f t="shared" si="64"/>
        <v>4.8675505653430484E-3</v>
      </c>
      <c r="E154" s="15">
        <f t="shared" si="65"/>
        <v>1</v>
      </c>
      <c r="F154" s="15">
        <f t="shared" si="96"/>
        <v>0</v>
      </c>
      <c r="G154" s="15">
        <f t="shared" si="66"/>
        <v>0</v>
      </c>
      <c r="H154" s="73">
        <f t="shared" si="67"/>
        <v>0</v>
      </c>
      <c r="I154" s="189"/>
      <c r="J154" s="189"/>
      <c r="K154" s="5">
        <f t="shared" si="109"/>
        <v>127556.72969549151</v>
      </c>
      <c r="M154" s="5">
        <f t="shared" si="68"/>
        <v>620.88883174260013</v>
      </c>
      <c r="N154" s="5">
        <f t="shared" si="69"/>
        <v>-211.06702742855657</v>
      </c>
      <c r="O154" s="5">
        <f t="shared" si="70"/>
        <v>0</v>
      </c>
      <c r="P154" s="5">
        <f t="shared" si="71"/>
        <v>0</v>
      </c>
      <c r="Q154" s="5">
        <f t="shared" si="105"/>
        <v>0</v>
      </c>
      <c r="R154" s="5">
        <f t="shared" si="97"/>
        <v>0</v>
      </c>
      <c r="S154" s="5">
        <f t="shared" si="72"/>
        <v>0</v>
      </c>
      <c r="T154" s="5">
        <f t="shared" si="73"/>
        <v>0</v>
      </c>
      <c r="U154" s="74">
        <f t="shared" si="74"/>
        <v>0</v>
      </c>
      <c r="V154" s="75">
        <f t="shared" si="75"/>
        <v>0</v>
      </c>
      <c r="W154" s="5">
        <f t="shared" si="76"/>
        <v>0</v>
      </c>
      <c r="X154" s="5">
        <f t="shared" si="77"/>
        <v>127966.55149980556</v>
      </c>
      <c r="Y154" s="5">
        <f t="shared" si="98"/>
        <v>100000</v>
      </c>
      <c r="Z154" s="215">
        <f t="shared" si="78"/>
        <v>1</v>
      </c>
      <c r="AA154" s="216">
        <f t="shared" si="99"/>
        <v>0</v>
      </c>
      <c r="AB154" s="72">
        <f t="shared" si="106"/>
        <v>0</v>
      </c>
      <c r="AC154" s="72">
        <f t="shared" si="79"/>
        <v>0</v>
      </c>
      <c r="AD154" s="72">
        <f t="shared" si="80"/>
        <v>0</v>
      </c>
      <c r="AE154" s="72">
        <f t="shared" si="100"/>
        <v>-26.64755591547906</v>
      </c>
      <c r="AF154" s="70">
        <f t="shared" si="81"/>
        <v>0</v>
      </c>
      <c r="AG154" s="70">
        <f t="shared" si="82"/>
        <v>10627.289569926112</v>
      </c>
      <c r="AH154" s="1">
        <f t="shared" si="110"/>
        <v>0</v>
      </c>
      <c r="AI154" s="1">
        <f t="shared" si="110"/>
        <v>0</v>
      </c>
      <c r="AJ154" s="1">
        <f t="shared" si="110"/>
        <v>0</v>
      </c>
      <c r="AK154" s="1">
        <f t="shared" si="110"/>
        <v>0</v>
      </c>
      <c r="AL154" s="1">
        <f t="shared" si="110"/>
        <v>0</v>
      </c>
      <c r="AM154" s="1">
        <f t="shared" si="110"/>
        <v>1</v>
      </c>
      <c r="AN154" s="1">
        <f t="shared" si="110"/>
        <v>1</v>
      </c>
      <c r="AO154" s="1">
        <f t="shared" si="110"/>
        <v>1</v>
      </c>
      <c r="AP154" s="1">
        <f t="shared" si="110"/>
        <v>1</v>
      </c>
      <c r="AQ154" s="1">
        <f t="shared" si="110"/>
        <v>1</v>
      </c>
      <c r="AR154" s="1">
        <f t="shared" si="110"/>
        <v>1</v>
      </c>
      <c r="AS154" s="1">
        <f t="shared" si="110"/>
        <v>1</v>
      </c>
      <c r="AT154" s="39">
        <f t="shared" si="83"/>
        <v>127966.55149980556</v>
      </c>
      <c r="AU154" s="39">
        <f t="shared" si="101"/>
        <v>127966.55149980556</v>
      </c>
      <c r="AV154" s="39">
        <f t="shared" si="111"/>
        <v>0</v>
      </c>
      <c r="AW154" s="3">
        <f t="shared" si="84"/>
        <v>80</v>
      </c>
      <c r="AX154" s="69">
        <f t="shared" si="102"/>
        <v>0</v>
      </c>
      <c r="AY154" s="75">
        <f t="shared" si="85"/>
        <v>0</v>
      </c>
      <c r="AZ154" s="75">
        <f t="shared" si="86"/>
        <v>0</v>
      </c>
      <c r="BA154" s="75">
        <f t="shared" si="87"/>
        <v>0</v>
      </c>
      <c r="BB154" s="75">
        <f t="shared" si="88"/>
        <v>0</v>
      </c>
      <c r="BD154" s="214">
        <f t="shared" si="103"/>
        <v>127556.72969549151</v>
      </c>
      <c r="BE154" s="214">
        <f t="shared" si="89"/>
        <v>620.88883174260013</v>
      </c>
      <c r="BF154" s="214">
        <f t="shared" si="90"/>
        <v>-211.06702742855657</v>
      </c>
      <c r="BG154" s="224">
        <f t="shared" si="107"/>
        <v>0</v>
      </c>
      <c r="BH154" s="19">
        <f t="shared" si="104"/>
        <v>145295.91022927532</v>
      </c>
      <c r="BI154" s="214">
        <f t="shared" si="91"/>
        <v>707.23518997854194</v>
      </c>
      <c r="BJ154" s="214">
        <f t="shared" si="92"/>
        <v>0</v>
      </c>
      <c r="BK154" s="19">
        <f t="shared" si="108"/>
        <v>0</v>
      </c>
    </row>
    <row r="155" spans="1:63">
      <c r="A155" s="165">
        <f t="shared" si="93"/>
        <v>68.722792607802873</v>
      </c>
      <c r="B155" s="69">
        <f t="shared" si="94"/>
        <v>7</v>
      </c>
      <c r="C155" s="70">
        <f t="shared" si="95"/>
        <v>81</v>
      </c>
      <c r="D155" s="13">
        <f t="shared" si="64"/>
        <v>4.8675505653430484E-3</v>
      </c>
      <c r="E155" s="15">
        <f t="shared" si="65"/>
        <v>1</v>
      </c>
      <c r="F155" s="15">
        <f t="shared" si="96"/>
        <v>0</v>
      </c>
      <c r="G155" s="15">
        <f t="shared" si="66"/>
        <v>0</v>
      </c>
      <c r="H155" s="73">
        <f t="shared" si="67"/>
        <v>0</v>
      </c>
      <c r="I155" s="189"/>
      <c r="J155" s="189"/>
      <c r="K155" s="5">
        <f t="shared" si="109"/>
        <v>127966.55149980556</v>
      </c>
      <c r="M155" s="5">
        <f t="shared" si="68"/>
        <v>622.88366009787887</v>
      </c>
      <c r="N155" s="5">
        <f t="shared" si="69"/>
        <v>-211.745156055862</v>
      </c>
      <c r="O155" s="5">
        <f t="shared" si="70"/>
        <v>0</v>
      </c>
      <c r="P155" s="5">
        <f t="shared" si="71"/>
        <v>0</v>
      </c>
      <c r="Q155" s="5">
        <f t="shared" si="105"/>
        <v>0</v>
      </c>
      <c r="R155" s="5">
        <f t="shared" si="97"/>
        <v>0</v>
      </c>
      <c r="S155" s="5">
        <f t="shared" si="72"/>
        <v>0</v>
      </c>
      <c r="T155" s="5">
        <f t="shared" si="73"/>
        <v>0</v>
      </c>
      <c r="U155" s="74">
        <f t="shared" si="74"/>
        <v>0</v>
      </c>
      <c r="V155" s="75">
        <f t="shared" si="75"/>
        <v>0</v>
      </c>
      <c r="W155" s="5">
        <f t="shared" si="76"/>
        <v>0</v>
      </c>
      <c r="X155" s="5">
        <f t="shared" si="77"/>
        <v>128377.69000384759</v>
      </c>
      <c r="Y155" s="5">
        <f t="shared" si="98"/>
        <v>100000</v>
      </c>
      <c r="Z155" s="215">
        <f t="shared" si="78"/>
        <v>1</v>
      </c>
      <c r="AA155" s="216">
        <f t="shared" si="99"/>
        <v>0</v>
      </c>
      <c r="AB155" s="72">
        <f t="shared" si="106"/>
        <v>0</v>
      </c>
      <c r="AC155" s="72">
        <f t="shared" si="79"/>
        <v>0</v>
      </c>
      <c r="AD155" s="72">
        <f t="shared" si="80"/>
        <v>0</v>
      </c>
      <c r="AE155" s="72">
        <f t="shared" si="100"/>
        <v>-26.733170758944485</v>
      </c>
      <c r="AF155" s="70">
        <f t="shared" si="81"/>
        <v>0</v>
      </c>
      <c r="AG155" s="70">
        <f t="shared" si="82"/>
        <v>10783.522201462083</v>
      </c>
      <c r="AH155" s="1">
        <f t="shared" ref="AH155:AS164" si="112">IF($B155&lt;=AH$74,1,0)</f>
        <v>0</v>
      </c>
      <c r="AI155" s="1">
        <f t="shared" si="112"/>
        <v>0</v>
      </c>
      <c r="AJ155" s="1">
        <f t="shared" si="112"/>
        <v>0</v>
      </c>
      <c r="AK155" s="1">
        <f t="shared" si="112"/>
        <v>0</v>
      </c>
      <c r="AL155" s="1">
        <f t="shared" si="112"/>
        <v>0</v>
      </c>
      <c r="AM155" s="1">
        <f t="shared" si="112"/>
        <v>1</v>
      </c>
      <c r="AN155" s="1">
        <f t="shared" si="112"/>
        <v>1</v>
      </c>
      <c r="AO155" s="1">
        <f t="shared" si="112"/>
        <v>1</v>
      </c>
      <c r="AP155" s="1">
        <f t="shared" si="112"/>
        <v>1</v>
      </c>
      <c r="AQ155" s="1">
        <f t="shared" si="112"/>
        <v>1</v>
      </c>
      <c r="AR155" s="1">
        <f t="shared" si="112"/>
        <v>1</v>
      </c>
      <c r="AS155" s="1">
        <f t="shared" si="112"/>
        <v>1</v>
      </c>
      <c r="AT155" s="39">
        <f t="shared" si="83"/>
        <v>128377.69000384759</v>
      </c>
      <c r="AU155" s="39">
        <f t="shared" si="101"/>
        <v>128377.69000384759</v>
      </c>
      <c r="AV155" s="39">
        <f t="shared" si="111"/>
        <v>0</v>
      </c>
      <c r="AW155" s="3">
        <f t="shared" si="84"/>
        <v>81</v>
      </c>
      <c r="AX155" s="69">
        <f t="shared" si="102"/>
        <v>0</v>
      </c>
      <c r="AY155" s="75">
        <f t="shared" si="85"/>
        <v>0</v>
      </c>
      <c r="AZ155" s="75">
        <f t="shared" si="86"/>
        <v>0</v>
      </c>
      <c r="BA155" s="75">
        <f t="shared" si="87"/>
        <v>0</v>
      </c>
      <c r="BB155" s="75">
        <f t="shared" si="88"/>
        <v>0</v>
      </c>
      <c r="BD155" s="214">
        <f t="shared" si="103"/>
        <v>127966.55149980556</v>
      </c>
      <c r="BE155" s="214">
        <f t="shared" si="89"/>
        <v>622.88366009787887</v>
      </c>
      <c r="BF155" s="214">
        <f t="shared" si="90"/>
        <v>-211.745156055862</v>
      </c>
      <c r="BG155" s="224">
        <f t="shared" si="107"/>
        <v>0</v>
      </c>
      <c r="BH155" s="19">
        <f t="shared" si="104"/>
        <v>146003.14541925385</v>
      </c>
      <c r="BI155" s="214">
        <f t="shared" si="91"/>
        <v>710.67769302735235</v>
      </c>
      <c r="BJ155" s="214">
        <f t="shared" si="92"/>
        <v>0</v>
      </c>
      <c r="BK155" s="19">
        <f t="shared" si="108"/>
        <v>0</v>
      </c>
    </row>
    <row r="156" spans="1:63">
      <c r="A156" s="165">
        <f t="shared" si="93"/>
        <v>68.806125941136202</v>
      </c>
      <c r="B156" s="69">
        <f t="shared" si="94"/>
        <v>7</v>
      </c>
      <c r="C156" s="70">
        <f t="shared" si="95"/>
        <v>82</v>
      </c>
      <c r="D156" s="13">
        <f t="shared" si="64"/>
        <v>4.8675505653430484E-3</v>
      </c>
      <c r="E156" s="15">
        <f t="shared" si="65"/>
        <v>1</v>
      </c>
      <c r="F156" s="15">
        <f t="shared" si="96"/>
        <v>0</v>
      </c>
      <c r="G156" s="15">
        <f t="shared" si="66"/>
        <v>0</v>
      </c>
      <c r="H156" s="73">
        <f t="shared" si="67"/>
        <v>0</v>
      </c>
      <c r="I156" s="189"/>
      <c r="J156" s="189"/>
      <c r="K156" s="5">
        <f t="shared" si="109"/>
        <v>128377.69000384759</v>
      </c>
      <c r="M156" s="5">
        <f t="shared" si="68"/>
        <v>624.88489755566297</v>
      </c>
      <c r="N156" s="5">
        <f t="shared" si="69"/>
        <v>-212.4254634149228</v>
      </c>
      <c r="O156" s="5">
        <f t="shared" si="70"/>
        <v>0</v>
      </c>
      <c r="P156" s="5">
        <f t="shared" si="71"/>
        <v>0</v>
      </c>
      <c r="Q156" s="5">
        <f t="shared" si="105"/>
        <v>0</v>
      </c>
      <c r="R156" s="5">
        <f t="shared" si="97"/>
        <v>0</v>
      </c>
      <c r="S156" s="5">
        <f t="shared" si="72"/>
        <v>0</v>
      </c>
      <c r="T156" s="5">
        <f t="shared" si="73"/>
        <v>0</v>
      </c>
      <c r="U156" s="74">
        <f t="shared" si="74"/>
        <v>0</v>
      </c>
      <c r="V156" s="75">
        <f t="shared" si="75"/>
        <v>0</v>
      </c>
      <c r="W156" s="5">
        <f t="shared" si="76"/>
        <v>0</v>
      </c>
      <c r="X156" s="5">
        <f t="shared" si="77"/>
        <v>128790.14943798832</v>
      </c>
      <c r="Y156" s="5">
        <f t="shared" si="98"/>
        <v>100000</v>
      </c>
      <c r="Z156" s="215">
        <f t="shared" si="78"/>
        <v>1</v>
      </c>
      <c r="AA156" s="216">
        <f t="shared" si="99"/>
        <v>0</v>
      </c>
      <c r="AB156" s="72">
        <f t="shared" si="106"/>
        <v>0</v>
      </c>
      <c r="AC156" s="72">
        <f t="shared" si="79"/>
        <v>0</v>
      </c>
      <c r="AD156" s="72">
        <f t="shared" si="80"/>
        <v>0</v>
      </c>
      <c r="AE156" s="72">
        <f t="shared" si="100"/>
        <v>-26.819060670841885</v>
      </c>
      <c r="AF156" s="70">
        <f t="shared" si="81"/>
        <v>0</v>
      </c>
      <c r="AG156" s="70">
        <f t="shared" si="82"/>
        <v>10940.256786435562</v>
      </c>
      <c r="AH156" s="1">
        <f t="shared" si="112"/>
        <v>0</v>
      </c>
      <c r="AI156" s="1">
        <f t="shared" si="112"/>
        <v>0</v>
      </c>
      <c r="AJ156" s="1">
        <f t="shared" si="112"/>
        <v>0</v>
      </c>
      <c r="AK156" s="1">
        <f t="shared" si="112"/>
        <v>0</v>
      </c>
      <c r="AL156" s="1">
        <f t="shared" si="112"/>
        <v>0</v>
      </c>
      <c r="AM156" s="1">
        <f t="shared" si="112"/>
        <v>1</v>
      </c>
      <c r="AN156" s="1">
        <f t="shared" si="112"/>
        <v>1</v>
      </c>
      <c r="AO156" s="1">
        <f t="shared" si="112"/>
        <v>1</v>
      </c>
      <c r="AP156" s="1">
        <f t="shared" si="112"/>
        <v>1</v>
      </c>
      <c r="AQ156" s="1">
        <f t="shared" si="112"/>
        <v>1</v>
      </c>
      <c r="AR156" s="1">
        <f t="shared" si="112"/>
        <v>1</v>
      </c>
      <c r="AS156" s="1">
        <f t="shared" si="112"/>
        <v>1</v>
      </c>
      <c r="AT156" s="39">
        <f t="shared" si="83"/>
        <v>128790.14943798832</v>
      </c>
      <c r="AU156" s="39">
        <f t="shared" si="101"/>
        <v>128790.14943798832</v>
      </c>
      <c r="AV156" s="39">
        <f t="shared" si="111"/>
        <v>0</v>
      </c>
      <c r="AW156" s="3">
        <f t="shared" si="84"/>
        <v>82</v>
      </c>
      <c r="AX156" s="69">
        <f t="shared" si="102"/>
        <v>0</v>
      </c>
      <c r="AY156" s="75">
        <f t="shared" si="85"/>
        <v>0</v>
      </c>
      <c r="AZ156" s="75">
        <f t="shared" si="86"/>
        <v>0</v>
      </c>
      <c r="BA156" s="75">
        <f t="shared" si="87"/>
        <v>0</v>
      </c>
      <c r="BB156" s="75">
        <f t="shared" si="88"/>
        <v>0</v>
      </c>
      <c r="BD156" s="214">
        <f t="shared" si="103"/>
        <v>128377.69000384759</v>
      </c>
      <c r="BE156" s="214">
        <f t="shared" si="89"/>
        <v>624.88489755566297</v>
      </c>
      <c r="BF156" s="214">
        <f t="shared" si="90"/>
        <v>-212.4254634149228</v>
      </c>
      <c r="BG156" s="224">
        <f t="shared" si="107"/>
        <v>0</v>
      </c>
      <c r="BH156" s="19">
        <f t="shared" si="104"/>
        <v>146713.82311228121</v>
      </c>
      <c r="BI156" s="214">
        <f t="shared" si="91"/>
        <v>714.13695263382442</v>
      </c>
      <c r="BJ156" s="214">
        <f t="shared" si="92"/>
        <v>0</v>
      </c>
      <c r="BK156" s="19">
        <f t="shared" si="108"/>
        <v>0</v>
      </c>
    </row>
    <row r="157" spans="1:63">
      <c r="A157" s="165">
        <f t="shared" si="93"/>
        <v>68.889459274469544</v>
      </c>
      <c r="B157" s="69">
        <f t="shared" si="94"/>
        <v>7</v>
      </c>
      <c r="C157" s="70">
        <f t="shared" si="95"/>
        <v>83</v>
      </c>
      <c r="D157" s="13">
        <f t="shared" si="64"/>
        <v>4.8675505653430484E-3</v>
      </c>
      <c r="E157" s="15">
        <f t="shared" si="65"/>
        <v>1</v>
      </c>
      <c r="F157" s="15">
        <f t="shared" si="96"/>
        <v>0</v>
      </c>
      <c r="G157" s="15">
        <f t="shared" si="66"/>
        <v>0</v>
      </c>
      <c r="H157" s="73">
        <f t="shared" si="67"/>
        <v>0</v>
      </c>
      <c r="I157" s="189"/>
      <c r="J157" s="189"/>
      <c r="K157" s="5">
        <f t="shared" si="109"/>
        <v>128790.14943798832</v>
      </c>
      <c r="M157" s="5">
        <f t="shared" si="68"/>
        <v>626.89256470749569</v>
      </c>
      <c r="N157" s="5">
        <f t="shared" si="69"/>
        <v>-213.10795650569722</v>
      </c>
      <c r="O157" s="5">
        <f t="shared" si="70"/>
        <v>0</v>
      </c>
      <c r="P157" s="5">
        <f t="shared" si="71"/>
        <v>0</v>
      </c>
      <c r="Q157" s="5">
        <f t="shared" si="105"/>
        <v>0</v>
      </c>
      <c r="R157" s="5">
        <f t="shared" si="97"/>
        <v>0</v>
      </c>
      <c r="S157" s="5">
        <f t="shared" si="72"/>
        <v>0</v>
      </c>
      <c r="T157" s="5">
        <f t="shared" si="73"/>
        <v>0</v>
      </c>
      <c r="U157" s="74">
        <f t="shared" si="74"/>
        <v>0</v>
      </c>
      <c r="V157" s="75">
        <f t="shared" si="75"/>
        <v>0</v>
      </c>
      <c r="W157" s="5">
        <f t="shared" si="76"/>
        <v>0</v>
      </c>
      <c r="X157" s="5">
        <f t="shared" si="77"/>
        <v>129203.93404619012</v>
      </c>
      <c r="Y157" s="5">
        <f t="shared" si="98"/>
        <v>100000</v>
      </c>
      <c r="Z157" s="215">
        <f t="shared" si="78"/>
        <v>1</v>
      </c>
      <c r="AA157" s="216">
        <f t="shared" si="99"/>
        <v>0</v>
      </c>
      <c r="AB157" s="72">
        <f t="shared" si="106"/>
        <v>0</v>
      </c>
      <c r="AC157" s="72">
        <f t="shared" si="79"/>
        <v>0</v>
      </c>
      <c r="AD157" s="72">
        <f t="shared" si="80"/>
        <v>0</v>
      </c>
      <c r="AE157" s="72">
        <f t="shared" si="100"/>
        <v>-26.905226534927383</v>
      </c>
      <c r="AF157" s="70">
        <f t="shared" si="81"/>
        <v>0</v>
      </c>
      <c r="AG157" s="70">
        <f t="shared" si="82"/>
        <v>11097.494937552245</v>
      </c>
      <c r="AH157" s="1">
        <f t="shared" si="112"/>
        <v>0</v>
      </c>
      <c r="AI157" s="1">
        <f t="shared" si="112"/>
        <v>0</v>
      </c>
      <c r="AJ157" s="1">
        <f t="shared" si="112"/>
        <v>0</v>
      </c>
      <c r="AK157" s="1">
        <f t="shared" si="112"/>
        <v>0</v>
      </c>
      <c r="AL157" s="1">
        <f t="shared" si="112"/>
        <v>0</v>
      </c>
      <c r="AM157" s="1">
        <f t="shared" si="112"/>
        <v>1</v>
      </c>
      <c r="AN157" s="1">
        <f t="shared" si="112"/>
        <v>1</v>
      </c>
      <c r="AO157" s="1">
        <f t="shared" si="112"/>
        <v>1</v>
      </c>
      <c r="AP157" s="1">
        <f t="shared" si="112"/>
        <v>1</v>
      </c>
      <c r="AQ157" s="1">
        <f t="shared" si="112"/>
        <v>1</v>
      </c>
      <c r="AR157" s="1">
        <f t="shared" si="112"/>
        <v>1</v>
      </c>
      <c r="AS157" s="1">
        <f t="shared" si="112"/>
        <v>1</v>
      </c>
      <c r="AT157" s="39">
        <f t="shared" si="83"/>
        <v>129203.93404619012</v>
      </c>
      <c r="AU157" s="39">
        <f t="shared" si="101"/>
        <v>129203.93404619012</v>
      </c>
      <c r="AV157" s="39">
        <f t="shared" si="111"/>
        <v>0</v>
      </c>
      <c r="AW157" s="3">
        <f t="shared" si="84"/>
        <v>83</v>
      </c>
      <c r="AX157" s="69">
        <f t="shared" si="102"/>
        <v>0</v>
      </c>
      <c r="AY157" s="75">
        <f t="shared" si="85"/>
        <v>0</v>
      </c>
      <c r="AZ157" s="75">
        <f t="shared" si="86"/>
        <v>0</v>
      </c>
      <c r="BA157" s="75">
        <f t="shared" si="87"/>
        <v>0</v>
      </c>
      <c r="BB157" s="75">
        <f t="shared" si="88"/>
        <v>0</v>
      </c>
      <c r="BD157" s="214">
        <f t="shared" si="103"/>
        <v>128790.14943798832</v>
      </c>
      <c r="BE157" s="214">
        <f t="shared" si="89"/>
        <v>626.89256470749569</v>
      </c>
      <c r="BF157" s="214">
        <f t="shared" si="90"/>
        <v>-213.10795650569722</v>
      </c>
      <c r="BG157" s="224">
        <f t="shared" si="107"/>
        <v>0</v>
      </c>
      <c r="BH157" s="19">
        <f t="shared" si="104"/>
        <v>147427.96006491504</v>
      </c>
      <c r="BI157" s="214">
        <f t="shared" si="91"/>
        <v>717.61305036134956</v>
      </c>
      <c r="BJ157" s="214">
        <f t="shared" si="92"/>
        <v>0</v>
      </c>
      <c r="BK157" s="19">
        <f t="shared" si="108"/>
        <v>0</v>
      </c>
    </row>
    <row r="158" spans="1:63">
      <c r="A158" s="165">
        <f t="shared" si="93"/>
        <v>68.972792607802873</v>
      </c>
      <c r="B158" s="69">
        <f t="shared" si="94"/>
        <v>7</v>
      </c>
      <c r="C158" s="70">
        <f t="shared" si="95"/>
        <v>84</v>
      </c>
      <c r="D158" s="13">
        <f t="shared" si="64"/>
        <v>4.8675505653430484E-3</v>
      </c>
      <c r="E158" s="15">
        <f t="shared" si="65"/>
        <v>1</v>
      </c>
      <c r="F158" s="15">
        <f t="shared" si="96"/>
        <v>0</v>
      </c>
      <c r="G158" s="15">
        <f t="shared" si="66"/>
        <v>0</v>
      </c>
      <c r="H158" s="73">
        <f t="shared" si="67"/>
        <v>0</v>
      </c>
      <c r="I158" s="189"/>
      <c r="J158" s="189"/>
      <c r="K158" s="5">
        <f t="shared" si="109"/>
        <v>129203.93404619012</v>
      </c>
      <c r="M158" s="5">
        <f t="shared" si="68"/>
        <v>628.90668221107865</v>
      </c>
      <c r="N158" s="5">
        <f t="shared" si="69"/>
        <v>-213.79264235063332</v>
      </c>
      <c r="O158" s="5">
        <f t="shared" si="70"/>
        <v>0</v>
      </c>
      <c r="P158" s="5">
        <f t="shared" si="71"/>
        <v>0</v>
      </c>
      <c r="Q158" s="5">
        <f t="shared" si="105"/>
        <v>0</v>
      </c>
      <c r="R158" s="5">
        <f t="shared" si="97"/>
        <v>0</v>
      </c>
      <c r="S158" s="5">
        <f t="shared" si="72"/>
        <v>0</v>
      </c>
      <c r="T158" s="5">
        <f t="shared" si="73"/>
        <v>0</v>
      </c>
      <c r="U158" s="74">
        <f t="shared" si="74"/>
        <v>0</v>
      </c>
      <c r="V158" s="75">
        <f t="shared" si="75"/>
        <v>0</v>
      </c>
      <c r="W158" s="5">
        <f t="shared" si="76"/>
        <v>0</v>
      </c>
      <c r="X158" s="5">
        <f t="shared" si="77"/>
        <v>129619.04808605056</v>
      </c>
      <c r="Y158" s="5">
        <f t="shared" si="98"/>
        <v>100000</v>
      </c>
      <c r="Z158" s="215">
        <f t="shared" si="78"/>
        <v>1</v>
      </c>
      <c r="AA158" s="216">
        <f t="shared" si="99"/>
        <v>0</v>
      </c>
      <c r="AB158" s="72">
        <f t="shared" si="106"/>
        <v>0</v>
      </c>
      <c r="AC158" s="72">
        <f t="shared" si="79"/>
        <v>0</v>
      </c>
      <c r="AD158" s="72">
        <f t="shared" si="80"/>
        <v>0</v>
      </c>
      <c r="AE158" s="72">
        <f t="shared" si="100"/>
        <v>-26.991669237796486</v>
      </c>
      <c r="AF158" s="70">
        <f t="shared" si="81"/>
        <v>0</v>
      </c>
      <c r="AG158" s="70">
        <f t="shared" si="82"/>
        <v>11255.238272699215</v>
      </c>
      <c r="AH158" s="1">
        <f t="shared" si="112"/>
        <v>0</v>
      </c>
      <c r="AI158" s="1">
        <f t="shared" si="112"/>
        <v>0</v>
      </c>
      <c r="AJ158" s="1">
        <f t="shared" si="112"/>
        <v>0</v>
      </c>
      <c r="AK158" s="1">
        <f t="shared" si="112"/>
        <v>0</v>
      </c>
      <c r="AL158" s="1">
        <f t="shared" si="112"/>
        <v>0</v>
      </c>
      <c r="AM158" s="1">
        <f t="shared" si="112"/>
        <v>1</v>
      </c>
      <c r="AN158" s="1">
        <f t="shared" si="112"/>
        <v>1</v>
      </c>
      <c r="AO158" s="1">
        <f t="shared" si="112"/>
        <v>1</v>
      </c>
      <c r="AP158" s="1">
        <f t="shared" si="112"/>
        <v>1</v>
      </c>
      <c r="AQ158" s="1">
        <f t="shared" si="112"/>
        <v>1</v>
      </c>
      <c r="AR158" s="1">
        <f t="shared" si="112"/>
        <v>1</v>
      </c>
      <c r="AS158" s="1">
        <f t="shared" si="112"/>
        <v>1</v>
      </c>
      <c r="AT158" s="39">
        <f t="shared" si="83"/>
        <v>129619.04808605056</v>
      </c>
      <c r="AU158" s="39">
        <f t="shared" si="101"/>
        <v>129619.04808605056</v>
      </c>
      <c r="AV158" s="39">
        <f t="shared" si="111"/>
        <v>0</v>
      </c>
      <c r="AW158" s="3">
        <f t="shared" si="84"/>
        <v>84</v>
      </c>
      <c r="AX158" s="69">
        <f t="shared" si="102"/>
        <v>0</v>
      </c>
      <c r="AY158" s="75">
        <f t="shared" si="85"/>
        <v>0</v>
      </c>
      <c r="AZ158" s="75">
        <f t="shared" si="86"/>
        <v>0</v>
      </c>
      <c r="BA158" s="75">
        <f t="shared" si="87"/>
        <v>0</v>
      </c>
      <c r="BB158" s="75">
        <f t="shared" si="88"/>
        <v>0</v>
      </c>
      <c r="BD158" s="214">
        <f t="shared" si="103"/>
        <v>129203.93404619012</v>
      </c>
      <c r="BE158" s="214">
        <f t="shared" si="89"/>
        <v>628.90668221107865</v>
      </c>
      <c r="BF158" s="214">
        <f t="shared" si="90"/>
        <v>-213.79264235063332</v>
      </c>
      <c r="BG158" s="224">
        <f t="shared" si="107"/>
        <v>0</v>
      </c>
      <c r="BH158" s="19">
        <f t="shared" si="104"/>
        <v>148145.57311527638</v>
      </c>
      <c r="BI158" s="214">
        <f t="shared" si="91"/>
        <v>721.1060681703334</v>
      </c>
      <c r="BJ158" s="214">
        <f t="shared" si="92"/>
        <v>0</v>
      </c>
      <c r="BK158" s="19">
        <f t="shared" si="108"/>
        <v>0</v>
      </c>
    </row>
    <row r="159" spans="1:63">
      <c r="A159" s="165">
        <f t="shared" si="93"/>
        <v>69.056125941136202</v>
      </c>
      <c r="B159" s="69">
        <f t="shared" si="94"/>
        <v>8</v>
      </c>
      <c r="C159" s="70">
        <f t="shared" si="95"/>
        <v>85</v>
      </c>
      <c r="D159" s="13">
        <f t="shared" si="64"/>
        <v>4.8675505653430484E-3</v>
      </c>
      <c r="E159" s="15">
        <f t="shared" si="65"/>
        <v>1</v>
      </c>
      <c r="F159" s="15">
        <f t="shared" si="96"/>
        <v>0</v>
      </c>
      <c r="G159" s="15">
        <f t="shared" si="66"/>
        <v>0</v>
      </c>
      <c r="H159" s="73">
        <f t="shared" si="67"/>
        <v>0</v>
      </c>
      <c r="I159" s="189"/>
      <c r="J159" s="189"/>
      <c r="K159" s="5">
        <f t="shared" si="109"/>
        <v>129619.04808605056</v>
      </c>
      <c r="M159" s="5">
        <f t="shared" si="68"/>
        <v>630.92727079048325</v>
      </c>
      <c r="N159" s="5">
        <f t="shared" si="69"/>
        <v>-214.47952799474135</v>
      </c>
      <c r="O159" s="5">
        <f t="shared" si="70"/>
        <v>0</v>
      </c>
      <c r="P159" s="5">
        <f t="shared" si="71"/>
        <v>0</v>
      </c>
      <c r="Q159" s="5">
        <f t="shared" si="105"/>
        <v>0</v>
      </c>
      <c r="R159" s="5">
        <f t="shared" si="97"/>
        <v>0</v>
      </c>
      <c r="S159" s="5">
        <f t="shared" si="72"/>
        <v>0</v>
      </c>
      <c r="T159" s="5">
        <f t="shared" si="73"/>
        <v>0</v>
      </c>
      <c r="U159" s="74">
        <f t="shared" si="74"/>
        <v>0</v>
      </c>
      <c r="V159" s="75">
        <f t="shared" si="75"/>
        <v>0</v>
      </c>
      <c r="W159" s="5">
        <f t="shared" si="76"/>
        <v>0</v>
      </c>
      <c r="X159" s="5">
        <f t="shared" si="77"/>
        <v>130035.49582884631</v>
      </c>
      <c r="Y159" s="5">
        <f t="shared" si="98"/>
        <v>100000</v>
      </c>
      <c r="Z159" s="215">
        <f t="shared" si="78"/>
        <v>1</v>
      </c>
      <c r="AA159" s="216">
        <f t="shared" si="99"/>
        <v>0</v>
      </c>
      <c r="AB159" s="72">
        <f t="shared" si="106"/>
        <v>0</v>
      </c>
      <c r="AC159" s="72">
        <f t="shared" si="79"/>
        <v>0</v>
      </c>
      <c r="AD159" s="72">
        <f t="shared" si="80"/>
        <v>0</v>
      </c>
      <c r="AE159" s="72">
        <f t="shared" si="100"/>
        <v>-27.078389668893212</v>
      </c>
      <c r="AF159" s="70">
        <f t="shared" si="81"/>
        <v>0</v>
      </c>
      <c r="AG159" s="70">
        <f t="shared" si="82"/>
        <v>11413.488414961597</v>
      </c>
      <c r="AH159" s="1">
        <f t="shared" si="112"/>
        <v>0</v>
      </c>
      <c r="AI159" s="1">
        <f t="shared" si="112"/>
        <v>0</v>
      </c>
      <c r="AJ159" s="1">
        <f t="shared" si="112"/>
        <v>0</v>
      </c>
      <c r="AK159" s="1">
        <f t="shared" si="112"/>
        <v>0</v>
      </c>
      <c r="AL159" s="1">
        <f t="shared" si="112"/>
        <v>0</v>
      </c>
      <c r="AM159" s="1">
        <f t="shared" si="112"/>
        <v>1</v>
      </c>
      <c r="AN159" s="1">
        <f t="shared" si="112"/>
        <v>1</v>
      </c>
      <c r="AO159" s="1">
        <f t="shared" si="112"/>
        <v>1</v>
      </c>
      <c r="AP159" s="1">
        <f t="shared" si="112"/>
        <v>1</v>
      </c>
      <c r="AQ159" s="1">
        <f t="shared" si="112"/>
        <v>1</v>
      </c>
      <c r="AR159" s="1">
        <f t="shared" si="112"/>
        <v>1</v>
      </c>
      <c r="AS159" s="1">
        <f t="shared" si="112"/>
        <v>1</v>
      </c>
      <c r="AT159" s="39">
        <f t="shared" si="83"/>
        <v>130035.49582884631</v>
      </c>
      <c r="AU159" s="39">
        <f t="shared" si="101"/>
        <v>130035.49582884631</v>
      </c>
      <c r="AV159" s="39">
        <f t="shared" si="111"/>
        <v>0</v>
      </c>
      <c r="AW159" s="3">
        <f t="shared" si="84"/>
        <v>85</v>
      </c>
      <c r="AX159" s="69">
        <f t="shared" si="102"/>
        <v>0</v>
      </c>
      <c r="AY159" s="75">
        <f t="shared" si="85"/>
        <v>0</v>
      </c>
      <c r="AZ159" s="75">
        <f t="shared" si="86"/>
        <v>0</v>
      </c>
      <c r="BA159" s="75">
        <f t="shared" si="87"/>
        <v>0</v>
      </c>
      <c r="BB159" s="75">
        <f t="shared" si="88"/>
        <v>0</v>
      </c>
      <c r="BD159" s="214">
        <f t="shared" si="103"/>
        <v>129619.04808605056</v>
      </c>
      <c r="BE159" s="214">
        <f t="shared" si="89"/>
        <v>630.92727079048325</v>
      </c>
      <c r="BF159" s="214">
        <f t="shared" si="90"/>
        <v>-214.47952799474135</v>
      </c>
      <c r="BG159" s="224">
        <f t="shared" si="107"/>
        <v>0</v>
      </c>
      <c r="BH159" s="19">
        <f t="shared" si="104"/>
        <v>148866.67918344671</v>
      </c>
      <c r="BI159" s="214">
        <f t="shared" si="91"/>
        <v>724.61608842012822</v>
      </c>
      <c r="BJ159" s="214">
        <f t="shared" si="92"/>
        <v>0</v>
      </c>
      <c r="BK159" s="19">
        <f t="shared" si="108"/>
        <v>0</v>
      </c>
    </row>
    <row r="160" spans="1:63">
      <c r="A160" s="165">
        <f t="shared" si="93"/>
        <v>69.139459274469544</v>
      </c>
      <c r="B160" s="69">
        <f t="shared" si="94"/>
        <v>8</v>
      </c>
      <c r="C160" s="70">
        <f t="shared" si="95"/>
        <v>86</v>
      </c>
      <c r="D160" s="13">
        <f t="shared" si="64"/>
        <v>4.8675505653430484E-3</v>
      </c>
      <c r="E160" s="15">
        <f t="shared" si="65"/>
        <v>1</v>
      </c>
      <c r="F160" s="15">
        <f t="shared" si="96"/>
        <v>0</v>
      </c>
      <c r="G160" s="15">
        <f t="shared" si="66"/>
        <v>0</v>
      </c>
      <c r="H160" s="73">
        <f t="shared" si="67"/>
        <v>0</v>
      </c>
      <c r="I160" s="189"/>
      <c r="J160" s="189"/>
      <c r="K160" s="5">
        <f t="shared" si="109"/>
        <v>130035.49582884631</v>
      </c>
      <c r="M160" s="5">
        <f t="shared" si="68"/>
        <v>632.95435123636446</v>
      </c>
      <c r="N160" s="5">
        <f t="shared" si="69"/>
        <v>-215.16862050566621</v>
      </c>
      <c r="O160" s="5">
        <f t="shared" si="70"/>
        <v>0</v>
      </c>
      <c r="P160" s="5">
        <f t="shared" si="71"/>
        <v>0</v>
      </c>
      <c r="Q160" s="5">
        <f t="shared" si="105"/>
        <v>0</v>
      </c>
      <c r="R160" s="5">
        <f t="shared" si="97"/>
        <v>0</v>
      </c>
      <c r="S160" s="5">
        <f t="shared" si="72"/>
        <v>0</v>
      </c>
      <c r="T160" s="5">
        <f t="shared" si="73"/>
        <v>0</v>
      </c>
      <c r="U160" s="74">
        <f t="shared" si="74"/>
        <v>0</v>
      </c>
      <c r="V160" s="75">
        <f t="shared" si="75"/>
        <v>0</v>
      </c>
      <c r="W160" s="5">
        <f t="shared" si="76"/>
        <v>0</v>
      </c>
      <c r="X160" s="5">
        <f t="shared" si="77"/>
        <v>130453.28155957701</v>
      </c>
      <c r="Y160" s="5">
        <f t="shared" si="98"/>
        <v>100000</v>
      </c>
      <c r="Z160" s="215">
        <f t="shared" si="78"/>
        <v>1</v>
      </c>
      <c r="AA160" s="216">
        <f t="shared" si="99"/>
        <v>0</v>
      </c>
      <c r="AB160" s="72">
        <f t="shared" si="106"/>
        <v>0</v>
      </c>
      <c r="AC160" s="72">
        <f t="shared" si="79"/>
        <v>0</v>
      </c>
      <c r="AD160" s="72">
        <f t="shared" si="80"/>
        <v>0</v>
      </c>
      <c r="AE160" s="72">
        <f t="shared" si="100"/>
        <v>-27.165388720519235</v>
      </c>
      <c r="AF160" s="70">
        <f t="shared" si="81"/>
        <v>0</v>
      </c>
      <c r="AG160" s="70">
        <f t="shared" si="82"/>
        <v>11572.246992639262</v>
      </c>
      <c r="AH160" s="1">
        <f t="shared" si="112"/>
        <v>0</v>
      </c>
      <c r="AI160" s="1">
        <f t="shared" si="112"/>
        <v>0</v>
      </c>
      <c r="AJ160" s="1">
        <f t="shared" si="112"/>
        <v>0</v>
      </c>
      <c r="AK160" s="1">
        <f t="shared" si="112"/>
        <v>0</v>
      </c>
      <c r="AL160" s="1">
        <f t="shared" si="112"/>
        <v>0</v>
      </c>
      <c r="AM160" s="1">
        <f t="shared" si="112"/>
        <v>1</v>
      </c>
      <c r="AN160" s="1">
        <f t="shared" si="112"/>
        <v>1</v>
      </c>
      <c r="AO160" s="1">
        <f t="shared" si="112"/>
        <v>1</v>
      </c>
      <c r="AP160" s="1">
        <f t="shared" si="112"/>
        <v>1</v>
      </c>
      <c r="AQ160" s="1">
        <f t="shared" si="112"/>
        <v>1</v>
      </c>
      <c r="AR160" s="1">
        <f t="shared" si="112"/>
        <v>1</v>
      </c>
      <c r="AS160" s="1">
        <f t="shared" si="112"/>
        <v>1</v>
      </c>
      <c r="AT160" s="39">
        <f t="shared" si="83"/>
        <v>130453.28155957701</v>
      </c>
      <c r="AU160" s="39">
        <f t="shared" si="101"/>
        <v>130453.28155957701</v>
      </c>
      <c r="AV160" s="39">
        <f t="shared" si="111"/>
        <v>0</v>
      </c>
      <c r="AW160" s="3">
        <f t="shared" si="84"/>
        <v>86</v>
      </c>
      <c r="AX160" s="69">
        <f t="shared" si="102"/>
        <v>0</v>
      </c>
      <c r="AY160" s="75">
        <f t="shared" si="85"/>
        <v>0</v>
      </c>
      <c r="AZ160" s="75">
        <f t="shared" si="86"/>
        <v>0</v>
      </c>
      <c r="BA160" s="75">
        <f t="shared" si="87"/>
        <v>0</v>
      </c>
      <c r="BB160" s="75">
        <f t="shared" si="88"/>
        <v>0</v>
      </c>
      <c r="BD160" s="214">
        <f t="shared" si="103"/>
        <v>130035.49582884631</v>
      </c>
      <c r="BE160" s="214">
        <f t="shared" si="89"/>
        <v>632.95435123636446</v>
      </c>
      <c r="BF160" s="214">
        <f t="shared" si="90"/>
        <v>-215.16862050566621</v>
      </c>
      <c r="BG160" s="224">
        <f t="shared" si="107"/>
        <v>0</v>
      </c>
      <c r="BH160" s="19">
        <f t="shared" si="104"/>
        <v>149591.29527186684</v>
      </c>
      <c r="BI160" s="214">
        <f t="shared" si="91"/>
        <v>728.1431938709743</v>
      </c>
      <c r="BJ160" s="214">
        <f t="shared" si="92"/>
        <v>0</v>
      </c>
      <c r="BK160" s="19">
        <f t="shared" si="108"/>
        <v>0</v>
      </c>
    </row>
    <row r="161" spans="1:63">
      <c r="A161" s="165">
        <f t="shared" si="93"/>
        <v>69.222792607802873</v>
      </c>
      <c r="B161" s="69">
        <f t="shared" si="94"/>
        <v>8</v>
      </c>
      <c r="C161" s="70">
        <f t="shared" si="95"/>
        <v>87</v>
      </c>
      <c r="D161" s="13">
        <f t="shared" si="64"/>
        <v>4.8675505653430484E-3</v>
      </c>
      <c r="E161" s="15">
        <f t="shared" si="65"/>
        <v>1</v>
      </c>
      <c r="F161" s="15">
        <f t="shared" si="96"/>
        <v>0</v>
      </c>
      <c r="G161" s="15">
        <f t="shared" si="66"/>
        <v>0</v>
      </c>
      <c r="H161" s="73">
        <f t="shared" si="67"/>
        <v>0</v>
      </c>
      <c r="I161" s="189"/>
      <c r="J161" s="189"/>
      <c r="K161" s="5">
        <f t="shared" si="109"/>
        <v>130453.28155957701</v>
      </c>
      <c r="M161" s="5">
        <f t="shared" si="68"/>
        <v>634.98794440617496</v>
      </c>
      <c r="N161" s="5">
        <f t="shared" si="69"/>
        <v>-215.85992697376008</v>
      </c>
      <c r="O161" s="5">
        <f t="shared" si="70"/>
        <v>0</v>
      </c>
      <c r="P161" s="5">
        <f t="shared" si="71"/>
        <v>0</v>
      </c>
      <c r="Q161" s="5">
        <f t="shared" si="105"/>
        <v>0</v>
      </c>
      <c r="R161" s="5">
        <f t="shared" si="97"/>
        <v>0</v>
      </c>
      <c r="S161" s="5">
        <f t="shared" si="72"/>
        <v>0</v>
      </c>
      <c r="T161" s="5">
        <f t="shared" si="73"/>
        <v>0</v>
      </c>
      <c r="U161" s="74">
        <f t="shared" si="74"/>
        <v>0</v>
      </c>
      <c r="V161" s="75">
        <f t="shared" si="75"/>
        <v>0</v>
      </c>
      <c r="W161" s="5">
        <f t="shared" si="76"/>
        <v>0</v>
      </c>
      <c r="X161" s="5">
        <f t="shared" si="77"/>
        <v>130872.40957700941</v>
      </c>
      <c r="Y161" s="5">
        <f t="shared" si="98"/>
        <v>100000</v>
      </c>
      <c r="Z161" s="215">
        <f t="shared" si="78"/>
        <v>1</v>
      </c>
      <c r="AA161" s="216">
        <f t="shared" si="99"/>
        <v>0</v>
      </c>
      <c r="AB161" s="72">
        <f t="shared" si="106"/>
        <v>0</v>
      </c>
      <c r="AC161" s="72">
        <f t="shared" si="79"/>
        <v>0</v>
      </c>
      <c r="AD161" s="72">
        <f t="shared" si="80"/>
        <v>0</v>
      </c>
      <c r="AE161" s="72">
        <f t="shared" si="100"/>
        <v>-27.252667287843064</v>
      </c>
      <c r="AF161" s="70">
        <f t="shared" si="81"/>
        <v>0</v>
      </c>
      <c r="AG161" s="70">
        <f t="shared" si="82"/>
        <v>11731.515639263578</v>
      </c>
      <c r="AH161" s="1">
        <f t="shared" si="112"/>
        <v>0</v>
      </c>
      <c r="AI161" s="1">
        <f t="shared" si="112"/>
        <v>0</v>
      </c>
      <c r="AJ161" s="1">
        <f t="shared" si="112"/>
        <v>0</v>
      </c>
      <c r="AK161" s="1">
        <f t="shared" si="112"/>
        <v>0</v>
      </c>
      <c r="AL161" s="1">
        <f t="shared" si="112"/>
        <v>0</v>
      </c>
      <c r="AM161" s="1">
        <f t="shared" si="112"/>
        <v>1</v>
      </c>
      <c r="AN161" s="1">
        <f t="shared" si="112"/>
        <v>1</v>
      </c>
      <c r="AO161" s="1">
        <f t="shared" si="112"/>
        <v>1</v>
      </c>
      <c r="AP161" s="1">
        <f t="shared" si="112"/>
        <v>1</v>
      </c>
      <c r="AQ161" s="1">
        <f t="shared" si="112"/>
        <v>1</v>
      </c>
      <c r="AR161" s="1">
        <f t="shared" si="112"/>
        <v>1</v>
      </c>
      <c r="AS161" s="1">
        <f t="shared" si="112"/>
        <v>1</v>
      </c>
      <c r="AT161" s="39">
        <f t="shared" si="83"/>
        <v>130872.40957700941</v>
      </c>
      <c r="AU161" s="39">
        <f t="shared" si="101"/>
        <v>130872.40957700941</v>
      </c>
      <c r="AV161" s="39">
        <f t="shared" si="111"/>
        <v>0</v>
      </c>
      <c r="AW161" s="3">
        <f t="shared" si="84"/>
        <v>87</v>
      </c>
      <c r="AX161" s="69">
        <f t="shared" si="102"/>
        <v>0</v>
      </c>
      <c r="AY161" s="75">
        <f t="shared" si="85"/>
        <v>0</v>
      </c>
      <c r="AZ161" s="75">
        <f t="shared" si="86"/>
        <v>0</v>
      </c>
      <c r="BA161" s="75">
        <f t="shared" si="87"/>
        <v>0</v>
      </c>
      <c r="BB161" s="75">
        <f t="shared" si="88"/>
        <v>0</v>
      </c>
      <c r="BD161" s="214">
        <f t="shared" si="103"/>
        <v>130453.28155957701</v>
      </c>
      <c r="BE161" s="214">
        <f t="shared" si="89"/>
        <v>634.98794440617496</v>
      </c>
      <c r="BF161" s="214">
        <f t="shared" si="90"/>
        <v>-215.85992697376008</v>
      </c>
      <c r="BG161" s="224">
        <f t="shared" si="107"/>
        <v>0</v>
      </c>
      <c r="BH161" s="19">
        <f t="shared" si="104"/>
        <v>150319.43846573783</v>
      </c>
      <c r="BI161" s="214">
        <f t="shared" si="91"/>
        <v>731.68746768595167</v>
      </c>
      <c r="BJ161" s="214">
        <f t="shared" si="92"/>
        <v>0</v>
      </c>
      <c r="BK161" s="19">
        <f t="shared" si="108"/>
        <v>0</v>
      </c>
    </row>
    <row r="162" spans="1:63">
      <c r="A162" s="165">
        <f t="shared" si="93"/>
        <v>69.306125941136202</v>
      </c>
      <c r="B162" s="69">
        <f t="shared" si="94"/>
        <v>8</v>
      </c>
      <c r="C162" s="70">
        <f t="shared" si="95"/>
        <v>88</v>
      </c>
      <c r="D162" s="13">
        <f t="shared" si="64"/>
        <v>4.8675505653430484E-3</v>
      </c>
      <c r="E162" s="15">
        <f t="shared" si="65"/>
        <v>1</v>
      </c>
      <c r="F162" s="15">
        <f t="shared" si="96"/>
        <v>0</v>
      </c>
      <c r="G162" s="15">
        <f t="shared" si="66"/>
        <v>0</v>
      </c>
      <c r="H162" s="73">
        <f t="shared" si="67"/>
        <v>0</v>
      </c>
      <c r="I162" s="189"/>
      <c r="J162" s="189"/>
      <c r="K162" s="5">
        <f t="shared" si="109"/>
        <v>130872.40957700941</v>
      </c>
      <c r="M162" s="5">
        <f t="shared" si="68"/>
        <v>637.02807122437912</v>
      </c>
      <c r="N162" s="5">
        <f t="shared" si="69"/>
        <v>-216.5534545121555</v>
      </c>
      <c r="O162" s="5">
        <f t="shared" si="70"/>
        <v>0</v>
      </c>
      <c r="P162" s="5">
        <f t="shared" si="71"/>
        <v>0</v>
      </c>
      <c r="Q162" s="5">
        <f t="shared" si="105"/>
        <v>0</v>
      </c>
      <c r="R162" s="5">
        <f t="shared" si="97"/>
        <v>0</v>
      </c>
      <c r="S162" s="5">
        <f t="shared" si="72"/>
        <v>0</v>
      </c>
      <c r="T162" s="5">
        <f t="shared" si="73"/>
        <v>0</v>
      </c>
      <c r="U162" s="74">
        <f t="shared" si="74"/>
        <v>0</v>
      </c>
      <c r="V162" s="75">
        <f t="shared" si="75"/>
        <v>0</v>
      </c>
      <c r="W162" s="5">
        <f t="shared" si="76"/>
        <v>0</v>
      </c>
      <c r="X162" s="5">
        <f t="shared" si="77"/>
        <v>131292.88419372163</v>
      </c>
      <c r="Y162" s="5">
        <f t="shared" si="98"/>
        <v>100000</v>
      </c>
      <c r="Z162" s="215">
        <f t="shared" si="78"/>
        <v>1</v>
      </c>
      <c r="AA162" s="216">
        <f t="shared" si="99"/>
        <v>0</v>
      </c>
      <c r="AB162" s="72">
        <f t="shared" si="106"/>
        <v>0</v>
      </c>
      <c r="AC162" s="72">
        <f t="shared" si="79"/>
        <v>0</v>
      </c>
      <c r="AD162" s="72">
        <f t="shared" si="80"/>
        <v>0</v>
      </c>
      <c r="AE162" s="72">
        <f t="shared" si="100"/>
        <v>-27.340226268909269</v>
      </c>
      <c r="AF162" s="70">
        <f t="shared" si="81"/>
        <v>0</v>
      </c>
      <c r="AG162" s="70">
        <f t="shared" si="82"/>
        <v>11891.295993614222</v>
      </c>
      <c r="AH162" s="1">
        <f t="shared" si="112"/>
        <v>0</v>
      </c>
      <c r="AI162" s="1">
        <f t="shared" si="112"/>
        <v>0</v>
      </c>
      <c r="AJ162" s="1">
        <f t="shared" si="112"/>
        <v>0</v>
      </c>
      <c r="AK162" s="1">
        <f t="shared" si="112"/>
        <v>0</v>
      </c>
      <c r="AL162" s="1">
        <f t="shared" si="112"/>
        <v>0</v>
      </c>
      <c r="AM162" s="1">
        <f t="shared" si="112"/>
        <v>1</v>
      </c>
      <c r="AN162" s="1">
        <f t="shared" si="112"/>
        <v>1</v>
      </c>
      <c r="AO162" s="1">
        <f t="shared" si="112"/>
        <v>1</v>
      </c>
      <c r="AP162" s="1">
        <f t="shared" si="112"/>
        <v>1</v>
      </c>
      <c r="AQ162" s="1">
        <f t="shared" si="112"/>
        <v>1</v>
      </c>
      <c r="AR162" s="1">
        <f t="shared" si="112"/>
        <v>1</v>
      </c>
      <c r="AS162" s="1">
        <f t="shared" si="112"/>
        <v>1</v>
      </c>
      <c r="AT162" s="39">
        <f t="shared" si="83"/>
        <v>131292.88419372163</v>
      </c>
      <c r="AU162" s="39">
        <f t="shared" si="101"/>
        <v>131292.88419372163</v>
      </c>
      <c r="AV162" s="39">
        <f t="shared" si="111"/>
        <v>0</v>
      </c>
      <c r="AW162" s="3">
        <f t="shared" si="84"/>
        <v>88</v>
      </c>
      <c r="AX162" s="69">
        <f t="shared" si="102"/>
        <v>0</v>
      </c>
      <c r="AY162" s="75">
        <f t="shared" si="85"/>
        <v>0</v>
      </c>
      <c r="AZ162" s="75">
        <f t="shared" si="86"/>
        <v>0</v>
      </c>
      <c r="BA162" s="75">
        <f t="shared" si="87"/>
        <v>0</v>
      </c>
      <c r="BB162" s="75">
        <f t="shared" si="88"/>
        <v>0</v>
      </c>
      <c r="BD162" s="214">
        <f t="shared" si="103"/>
        <v>130872.40957700941</v>
      </c>
      <c r="BE162" s="214">
        <f t="shared" si="89"/>
        <v>637.02807122437912</v>
      </c>
      <c r="BF162" s="214">
        <f t="shared" si="90"/>
        <v>-216.5534545121555</v>
      </c>
      <c r="BG162" s="224">
        <f t="shared" si="107"/>
        <v>0</v>
      </c>
      <c r="BH162" s="19">
        <f t="shared" si="104"/>
        <v>151051.12593342378</v>
      </c>
      <c r="BI162" s="214">
        <f t="shared" si="91"/>
        <v>735.24899343294089</v>
      </c>
      <c r="BJ162" s="214">
        <f t="shared" si="92"/>
        <v>0</v>
      </c>
      <c r="BK162" s="19">
        <f t="shared" si="108"/>
        <v>0</v>
      </c>
    </row>
    <row r="163" spans="1:63">
      <c r="A163" s="165">
        <f t="shared" si="93"/>
        <v>69.389459274469544</v>
      </c>
      <c r="B163" s="69">
        <f t="shared" si="94"/>
        <v>8</v>
      </c>
      <c r="C163" s="70">
        <f t="shared" si="95"/>
        <v>89</v>
      </c>
      <c r="D163" s="13">
        <f t="shared" si="64"/>
        <v>4.8675505653430484E-3</v>
      </c>
      <c r="E163" s="15">
        <f t="shared" si="65"/>
        <v>1</v>
      </c>
      <c r="F163" s="15">
        <f t="shared" si="96"/>
        <v>0</v>
      </c>
      <c r="G163" s="15">
        <f t="shared" si="66"/>
        <v>0</v>
      </c>
      <c r="H163" s="73">
        <f t="shared" si="67"/>
        <v>0</v>
      </c>
      <c r="I163" s="189"/>
      <c r="J163" s="189"/>
      <c r="K163" s="5">
        <f t="shared" si="109"/>
        <v>131292.88419372163</v>
      </c>
      <c r="M163" s="5">
        <f t="shared" si="68"/>
        <v>639.0747526826691</v>
      </c>
      <c r="N163" s="5">
        <f t="shared" si="69"/>
        <v>-217.24921025683844</v>
      </c>
      <c r="O163" s="5">
        <f t="shared" si="70"/>
        <v>0</v>
      </c>
      <c r="P163" s="5">
        <f t="shared" si="71"/>
        <v>0</v>
      </c>
      <c r="Q163" s="5">
        <f t="shared" si="105"/>
        <v>0</v>
      </c>
      <c r="R163" s="5">
        <f t="shared" si="97"/>
        <v>0</v>
      </c>
      <c r="S163" s="5">
        <f t="shared" si="72"/>
        <v>0</v>
      </c>
      <c r="T163" s="5">
        <f t="shared" si="73"/>
        <v>0</v>
      </c>
      <c r="U163" s="74">
        <f t="shared" si="74"/>
        <v>0</v>
      </c>
      <c r="V163" s="75">
        <f t="shared" si="75"/>
        <v>0</v>
      </c>
      <c r="W163" s="5">
        <f t="shared" si="76"/>
        <v>0</v>
      </c>
      <c r="X163" s="5">
        <f t="shared" si="77"/>
        <v>131714.70973614746</v>
      </c>
      <c r="Y163" s="5">
        <f t="shared" si="98"/>
        <v>100000</v>
      </c>
      <c r="Z163" s="215">
        <f t="shared" si="78"/>
        <v>1</v>
      </c>
      <c r="AA163" s="216">
        <f t="shared" si="99"/>
        <v>0</v>
      </c>
      <c r="AB163" s="72">
        <f t="shared" si="106"/>
        <v>0</v>
      </c>
      <c r="AC163" s="72">
        <f t="shared" si="79"/>
        <v>0</v>
      </c>
      <c r="AD163" s="72">
        <f t="shared" si="80"/>
        <v>0</v>
      </c>
      <c r="AE163" s="72">
        <f t="shared" si="100"/>
        <v>-27.42806656464769</v>
      </c>
      <c r="AF163" s="70">
        <f t="shared" si="81"/>
        <v>0</v>
      </c>
      <c r="AG163" s="70">
        <f t="shared" si="82"/>
        <v>12051.589699736034</v>
      </c>
      <c r="AH163" s="1">
        <f t="shared" si="112"/>
        <v>0</v>
      </c>
      <c r="AI163" s="1">
        <f t="shared" si="112"/>
        <v>0</v>
      </c>
      <c r="AJ163" s="1">
        <f t="shared" si="112"/>
        <v>0</v>
      </c>
      <c r="AK163" s="1">
        <f t="shared" si="112"/>
        <v>0</v>
      </c>
      <c r="AL163" s="1">
        <f t="shared" si="112"/>
        <v>0</v>
      </c>
      <c r="AM163" s="1">
        <f t="shared" si="112"/>
        <v>1</v>
      </c>
      <c r="AN163" s="1">
        <f t="shared" si="112"/>
        <v>1</v>
      </c>
      <c r="AO163" s="1">
        <f t="shared" si="112"/>
        <v>1</v>
      </c>
      <c r="AP163" s="1">
        <f t="shared" si="112"/>
        <v>1</v>
      </c>
      <c r="AQ163" s="1">
        <f t="shared" si="112"/>
        <v>1</v>
      </c>
      <c r="AR163" s="1">
        <f t="shared" si="112"/>
        <v>1</v>
      </c>
      <c r="AS163" s="1">
        <f t="shared" si="112"/>
        <v>1</v>
      </c>
      <c r="AT163" s="39">
        <f t="shared" si="83"/>
        <v>131714.70973614746</v>
      </c>
      <c r="AU163" s="39">
        <f t="shared" si="101"/>
        <v>131714.70973614746</v>
      </c>
      <c r="AV163" s="39">
        <f t="shared" si="111"/>
        <v>0</v>
      </c>
      <c r="AW163" s="3">
        <f t="shared" si="84"/>
        <v>89</v>
      </c>
      <c r="AX163" s="69">
        <f t="shared" si="102"/>
        <v>0</v>
      </c>
      <c r="AY163" s="75">
        <f t="shared" si="85"/>
        <v>0</v>
      </c>
      <c r="AZ163" s="75">
        <f t="shared" si="86"/>
        <v>0</v>
      </c>
      <c r="BA163" s="75">
        <f t="shared" si="87"/>
        <v>0</v>
      </c>
      <c r="BB163" s="75">
        <f t="shared" si="88"/>
        <v>0</v>
      </c>
      <c r="BD163" s="214">
        <f t="shared" si="103"/>
        <v>131292.88419372163</v>
      </c>
      <c r="BE163" s="214">
        <f t="shared" si="89"/>
        <v>639.0747526826691</v>
      </c>
      <c r="BF163" s="214">
        <f t="shared" si="90"/>
        <v>-217.24921025683844</v>
      </c>
      <c r="BG163" s="224">
        <f t="shared" si="107"/>
        <v>0</v>
      </c>
      <c r="BH163" s="19">
        <f t="shared" si="104"/>
        <v>151786.37492685672</v>
      </c>
      <c r="BI163" s="214">
        <f t="shared" si="91"/>
        <v>738.82785508659333</v>
      </c>
      <c r="BJ163" s="214">
        <f t="shared" si="92"/>
        <v>0</v>
      </c>
      <c r="BK163" s="19">
        <f t="shared" si="108"/>
        <v>0</v>
      </c>
    </row>
    <row r="164" spans="1:63">
      <c r="A164" s="165">
        <f t="shared" si="93"/>
        <v>69.472792607802873</v>
      </c>
      <c r="B164" s="69">
        <f t="shared" si="94"/>
        <v>8</v>
      </c>
      <c r="C164" s="70">
        <f t="shared" si="95"/>
        <v>90</v>
      </c>
      <c r="D164" s="13">
        <f t="shared" si="64"/>
        <v>4.8675505653430484E-3</v>
      </c>
      <c r="E164" s="15">
        <f t="shared" si="65"/>
        <v>1</v>
      </c>
      <c r="F164" s="15">
        <f t="shared" si="96"/>
        <v>0</v>
      </c>
      <c r="G164" s="15">
        <f t="shared" si="66"/>
        <v>0</v>
      </c>
      <c r="H164" s="73">
        <f t="shared" si="67"/>
        <v>0</v>
      </c>
      <c r="I164" s="189"/>
      <c r="J164" s="189"/>
      <c r="K164" s="5">
        <f t="shared" si="109"/>
        <v>131714.70973614746</v>
      </c>
      <c r="M164" s="5">
        <f t="shared" si="68"/>
        <v>641.12800984018008</v>
      </c>
      <c r="N164" s="5">
        <f t="shared" si="69"/>
        <v>-217.94720136672191</v>
      </c>
      <c r="O164" s="5">
        <f t="shared" si="70"/>
        <v>0</v>
      </c>
      <c r="P164" s="5">
        <f t="shared" si="71"/>
        <v>0</v>
      </c>
      <c r="Q164" s="5">
        <f t="shared" si="105"/>
        <v>0</v>
      </c>
      <c r="R164" s="5">
        <f t="shared" si="97"/>
        <v>0</v>
      </c>
      <c r="S164" s="5">
        <f t="shared" si="72"/>
        <v>0</v>
      </c>
      <c r="T164" s="5">
        <f t="shared" si="73"/>
        <v>0</v>
      </c>
      <c r="U164" s="74">
        <f t="shared" si="74"/>
        <v>0</v>
      </c>
      <c r="V164" s="75">
        <f t="shared" si="75"/>
        <v>0</v>
      </c>
      <c r="W164" s="5">
        <f t="shared" si="76"/>
        <v>0</v>
      </c>
      <c r="X164" s="5">
        <f t="shared" si="77"/>
        <v>132137.89054462092</v>
      </c>
      <c r="Y164" s="5">
        <f t="shared" si="98"/>
        <v>100000</v>
      </c>
      <c r="Z164" s="215">
        <f t="shared" si="78"/>
        <v>1</v>
      </c>
      <c r="AA164" s="216">
        <f t="shared" si="99"/>
        <v>0</v>
      </c>
      <c r="AB164" s="72">
        <f t="shared" si="106"/>
        <v>0</v>
      </c>
      <c r="AC164" s="72">
        <f t="shared" si="79"/>
        <v>0</v>
      </c>
      <c r="AD164" s="72">
        <f t="shared" si="80"/>
        <v>0</v>
      </c>
      <c r="AE164" s="72">
        <f t="shared" si="100"/>
        <v>-27.516189078882764</v>
      </c>
      <c r="AF164" s="70">
        <f t="shared" si="81"/>
        <v>0</v>
      </c>
      <c r="AG164" s="70">
        <f t="shared" si="82"/>
        <v>12212.398406955952</v>
      </c>
      <c r="AH164" s="1">
        <f t="shared" si="112"/>
        <v>0</v>
      </c>
      <c r="AI164" s="1">
        <f t="shared" si="112"/>
        <v>0</v>
      </c>
      <c r="AJ164" s="1">
        <f t="shared" si="112"/>
        <v>0</v>
      </c>
      <c r="AK164" s="1">
        <f t="shared" si="112"/>
        <v>0</v>
      </c>
      <c r="AL164" s="1">
        <f t="shared" si="112"/>
        <v>0</v>
      </c>
      <c r="AM164" s="1">
        <f t="shared" si="112"/>
        <v>1</v>
      </c>
      <c r="AN164" s="1">
        <f t="shared" si="112"/>
        <v>1</v>
      </c>
      <c r="AO164" s="1">
        <f t="shared" si="112"/>
        <v>1</v>
      </c>
      <c r="AP164" s="1">
        <f t="shared" si="112"/>
        <v>1</v>
      </c>
      <c r="AQ164" s="1">
        <f t="shared" si="112"/>
        <v>1</v>
      </c>
      <c r="AR164" s="1">
        <f t="shared" si="112"/>
        <v>1</v>
      </c>
      <c r="AS164" s="1">
        <f t="shared" si="112"/>
        <v>1</v>
      </c>
      <c r="AT164" s="39">
        <f t="shared" si="83"/>
        <v>132137.89054462092</v>
      </c>
      <c r="AU164" s="39">
        <f t="shared" si="101"/>
        <v>132137.89054462092</v>
      </c>
      <c r="AV164" s="39">
        <f t="shared" si="111"/>
        <v>0</v>
      </c>
      <c r="AW164" s="3">
        <f t="shared" si="84"/>
        <v>90</v>
      </c>
      <c r="AX164" s="69">
        <f t="shared" si="102"/>
        <v>0</v>
      </c>
      <c r="AY164" s="75">
        <f t="shared" si="85"/>
        <v>0</v>
      </c>
      <c r="AZ164" s="75">
        <f t="shared" si="86"/>
        <v>0</v>
      </c>
      <c r="BA164" s="75">
        <f t="shared" si="87"/>
        <v>0</v>
      </c>
      <c r="BB164" s="75">
        <f t="shared" si="88"/>
        <v>0</v>
      </c>
      <c r="BD164" s="214">
        <f t="shared" si="103"/>
        <v>131714.70973614746</v>
      </c>
      <c r="BE164" s="214">
        <f t="shared" si="89"/>
        <v>641.12800984018008</v>
      </c>
      <c r="BF164" s="214">
        <f t="shared" si="90"/>
        <v>-217.94720136672191</v>
      </c>
      <c r="BG164" s="224">
        <f t="shared" si="107"/>
        <v>0</v>
      </c>
      <c r="BH164" s="19">
        <f t="shared" si="104"/>
        <v>152525.20278194331</v>
      </c>
      <c r="BI164" s="214">
        <f t="shared" si="91"/>
        <v>742.42413703031127</v>
      </c>
      <c r="BJ164" s="214">
        <f t="shared" si="92"/>
        <v>0</v>
      </c>
      <c r="BK164" s="19">
        <f t="shared" si="108"/>
        <v>0</v>
      </c>
    </row>
    <row r="165" spans="1:63">
      <c r="A165" s="165">
        <f t="shared" si="93"/>
        <v>69.556125941136202</v>
      </c>
      <c r="B165" s="69">
        <f t="shared" si="94"/>
        <v>8</v>
      </c>
      <c r="C165" s="70">
        <f t="shared" si="95"/>
        <v>91</v>
      </c>
      <c r="D165" s="13">
        <f t="shared" si="64"/>
        <v>4.8675505653430484E-3</v>
      </c>
      <c r="E165" s="15">
        <f t="shared" si="65"/>
        <v>1</v>
      </c>
      <c r="F165" s="15">
        <f t="shared" si="96"/>
        <v>0</v>
      </c>
      <c r="G165" s="15">
        <f t="shared" si="66"/>
        <v>0</v>
      </c>
      <c r="H165" s="73">
        <f t="shared" si="67"/>
        <v>0</v>
      </c>
      <c r="I165" s="189"/>
      <c r="J165" s="189"/>
      <c r="K165" s="5">
        <f t="shared" si="109"/>
        <v>132137.89054462092</v>
      </c>
      <c r="M165" s="5">
        <f t="shared" si="68"/>
        <v>643.1878638237074</v>
      </c>
      <c r="N165" s="5">
        <f t="shared" si="69"/>
        <v>-218.64743502371934</v>
      </c>
      <c r="O165" s="5">
        <f t="shared" si="70"/>
        <v>0</v>
      </c>
      <c r="P165" s="5">
        <f t="shared" si="71"/>
        <v>0</v>
      </c>
      <c r="Q165" s="5">
        <f t="shared" si="105"/>
        <v>0</v>
      </c>
      <c r="R165" s="5">
        <f t="shared" si="97"/>
        <v>0</v>
      </c>
      <c r="S165" s="5">
        <f t="shared" si="72"/>
        <v>0</v>
      </c>
      <c r="T165" s="5">
        <f t="shared" si="73"/>
        <v>0</v>
      </c>
      <c r="U165" s="74">
        <f t="shared" si="74"/>
        <v>0</v>
      </c>
      <c r="V165" s="75">
        <f t="shared" si="75"/>
        <v>0</v>
      </c>
      <c r="W165" s="5">
        <f t="shared" si="76"/>
        <v>0</v>
      </c>
      <c r="X165" s="5">
        <f t="shared" si="77"/>
        <v>132562.43097342091</v>
      </c>
      <c r="Y165" s="5">
        <f t="shared" si="98"/>
        <v>100000</v>
      </c>
      <c r="Z165" s="215">
        <f t="shared" si="78"/>
        <v>1</v>
      </c>
      <c r="AA165" s="216">
        <f t="shared" si="99"/>
        <v>0</v>
      </c>
      <c r="AB165" s="72">
        <f t="shared" si="106"/>
        <v>0</v>
      </c>
      <c r="AC165" s="72">
        <f t="shared" si="79"/>
        <v>0</v>
      </c>
      <c r="AD165" s="72">
        <f t="shared" si="80"/>
        <v>0</v>
      </c>
      <c r="AE165" s="72">
        <f t="shared" si="100"/>
        <v>-27.604594718342742</v>
      </c>
      <c r="AF165" s="70">
        <f t="shared" si="81"/>
        <v>0</v>
      </c>
      <c r="AG165" s="70">
        <f t="shared" si="82"/>
        <v>12373.723769899945</v>
      </c>
      <c r="AH165" s="1">
        <f t="shared" ref="AH165:AS174" si="113">IF($B165&lt;=AH$74,1,0)</f>
        <v>0</v>
      </c>
      <c r="AI165" s="1">
        <f t="shared" si="113"/>
        <v>0</v>
      </c>
      <c r="AJ165" s="1">
        <f t="shared" si="113"/>
        <v>0</v>
      </c>
      <c r="AK165" s="1">
        <f t="shared" si="113"/>
        <v>0</v>
      </c>
      <c r="AL165" s="1">
        <f t="shared" si="113"/>
        <v>0</v>
      </c>
      <c r="AM165" s="1">
        <f t="shared" si="113"/>
        <v>1</v>
      </c>
      <c r="AN165" s="1">
        <f t="shared" si="113"/>
        <v>1</v>
      </c>
      <c r="AO165" s="1">
        <f t="shared" si="113"/>
        <v>1</v>
      </c>
      <c r="AP165" s="1">
        <f t="shared" si="113"/>
        <v>1</v>
      </c>
      <c r="AQ165" s="1">
        <f t="shared" si="113"/>
        <v>1</v>
      </c>
      <c r="AR165" s="1">
        <f t="shared" si="113"/>
        <v>1</v>
      </c>
      <c r="AS165" s="1">
        <f t="shared" si="113"/>
        <v>1</v>
      </c>
      <c r="AT165" s="39">
        <f t="shared" si="83"/>
        <v>132562.43097342091</v>
      </c>
      <c r="AU165" s="39">
        <f t="shared" si="101"/>
        <v>132562.43097342091</v>
      </c>
      <c r="AV165" s="39">
        <f t="shared" si="111"/>
        <v>0</v>
      </c>
      <c r="AW165" s="3">
        <f t="shared" si="84"/>
        <v>91</v>
      </c>
      <c r="AX165" s="69">
        <f t="shared" si="102"/>
        <v>0</v>
      </c>
      <c r="AY165" s="75">
        <f t="shared" si="85"/>
        <v>0</v>
      </c>
      <c r="AZ165" s="75">
        <f t="shared" si="86"/>
        <v>0</v>
      </c>
      <c r="BA165" s="75">
        <f t="shared" si="87"/>
        <v>0</v>
      </c>
      <c r="BB165" s="75">
        <f t="shared" si="88"/>
        <v>0</v>
      </c>
      <c r="BD165" s="214">
        <f t="shared" si="103"/>
        <v>132137.89054462092</v>
      </c>
      <c r="BE165" s="214">
        <f t="shared" si="89"/>
        <v>643.1878638237074</v>
      </c>
      <c r="BF165" s="214">
        <f t="shared" si="90"/>
        <v>-218.64743502371934</v>
      </c>
      <c r="BG165" s="224">
        <f t="shared" si="107"/>
        <v>0</v>
      </c>
      <c r="BH165" s="19">
        <f t="shared" si="104"/>
        <v>153267.62691897363</v>
      </c>
      <c r="BI165" s="214">
        <f t="shared" si="91"/>
        <v>746.03792405823754</v>
      </c>
      <c r="BJ165" s="214">
        <f t="shared" si="92"/>
        <v>0</v>
      </c>
      <c r="BK165" s="19">
        <f t="shared" si="108"/>
        <v>0</v>
      </c>
    </row>
    <row r="166" spans="1:63">
      <c r="A166" s="165">
        <f t="shared" si="93"/>
        <v>69.639459274469544</v>
      </c>
      <c r="B166" s="69">
        <f t="shared" si="94"/>
        <v>8</v>
      </c>
      <c r="C166" s="70">
        <f t="shared" si="95"/>
        <v>92</v>
      </c>
      <c r="D166" s="13">
        <f t="shared" si="64"/>
        <v>4.8675505653430484E-3</v>
      </c>
      <c r="E166" s="15">
        <f t="shared" si="65"/>
        <v>1</v>
      </c>
      <c r="F166" s="15">
        <f t="shared" si="96"/>
        <v>0</v>
      </c>
      <c r="G166" s="15">
        <f t="shared" si="66"/>
        <v>0</v>
      </c>
      <c r="H166" s="73">
        <f t="shared" si="67"/>
        <v>0</v>
      </c>
      <c r="I166" s="189"/>
      <c r="J166" s="189"/>
      <c r="K166" s="5">
        <f t="shared" si="109"/>
        <v>132562.43097342091</v>
      </c>
      <c r="M166" s="5">
        <f t="shared" si="68"/>
        <v>645.2543358279238</v>
      </c>
      <c r="N166" s="5">
        <f t="shared" si="69"/>
        <v>-219.34991843281873</v>
      </c>
      <c r="O166" s="5">
        <f t="shared" si="70"/>
        <v>0</v>
      </c>
      <c r="P166" s="5">
        <f t="shared" si="71"/>
        <v>0</v>
      </c>
      <c r="Q166" s="5">
        <f t="shared" si="105"/>
        <v>0</v>
      </c>
      <c r="R166" s="5">
        <f t="shared" si="97"/>
        <v>0</v>
      </c>
      <c r="S166" s="5">
        <f t="shared" si="72"/>
        <v>0</v>
      </c>
      <c r="T166" s="5">
        <f t="shared" si="73"/>
        <v>0</v>
      </c>
      <c r="U166" s="74">
        <f t="shared" si="74"/>
        <v>0</v>
      </c>
      <c r="V166" s="75">
        <f t="shared" si="75"/>
        <v>0</v>
      </c>
      <c r="W166" s="5">
        <f t="shared" si="76"/>
        <v>0</v>
      </c>
      <c r="X166" s="5">
        <f t="shared" si="77"/>
        <v>132988.33539081601</v>
      </c>
      <c r="Y166" s="5">
        <f t="shared" si="98"/>
        <v>100000</v>
      </c>
      <c r="Z166" s="215">
        <f t="shared" si="78"/>
        <v>1</v>
      </c>
      <c r="AA166" s="216">
        <f t="shared" si="99"/>
        <v>0</v>
      </c>
      <c r="AB166" s="72">
        <f t="shared" si="106"/>
        <v>0</v>
      </c>
      <c r="AC166" s="72">
        <f t="shared" si="79"/>
        <v>0</v>
      </c>
      <c r="AD166" s="72">
        <f t="shared" si="80"/>
        <v>0</v>
      </c>
      <c r="AE166" s="72">
        <f t="shared" si="100"/>
        <v>-27.693284392669106</v>
      </c>
      <c r="AF166" s="70">
        <f t="shared" si="81"/>
        <v>0</v>
      </c>
      <c r="AG166" s="70">
        <f t="shared" si="82"/>
        <v>12535.567448510083</v>
      </c>
      <c r="AH166" s="1">
        <f t="shared" si="113"/>
        <v>0</v>
      </c>
      <c r="AI166" s="1">
        <f t="shared" si="113"/>
        <v>0</v>
      </c>
      <c r="AJ166" s="1">
        <f t="shared" si="113"/>
        <v>0</v>
      </c>
      <c r="AK166" s="1">
        <f t="shared" si="113"/>
        <v>0</v>
      </c>
      <c r="AL166" s="1">
        <f t="shared" si="113"/>
        <v>0</v>
      </c>
      <c r="AM166" s="1">
        <f t="shared" si="113"/>
        <v>1</v>
      </c>
      <c r="AN166" s="1">
        <f t="shared" si="113"/>
        <v>1</v>
      </c>
      <c r="AO166" s="1">
        <f t="shared" si="113"/>
        <v>1</v>
      </c>
      <c r="AP166" s="1">
        <f t="shared" si="113"/>
        <v>1</v>
      </c>
      <c r="AQ166" s="1">
        <f t="shared" si="113"/>
        <v>1</v>
      </c>
      <c r="AR166" s="1">
        <f t="shared" si="113"/>
        <v>1</v>
      </c>
      <c r="AS166" s="1">
        <f t="shared" si="113"/>
        <v>1</v>
      </c>
      <c r="AT166" s="39">
        <f t="shared" si="83"/>
        <v>132988.33539081601</v>
      </c>
      <c r="AU166" s="39">
        <f t="shared" si="101"/>
        <v>132988.33539081601</v>
      </c>
      <c r="AV166" s="39">
        <f t="shared" si="111"/>
        <v>0</v>
      </c>
      <c r="AW166" s="3">
        <f t="shared" si="84"/>
        <v>92</v>
      </c>
      <c r="AX166" s="69">
        <f t="shared" si="102"/>
        <v>0</v>
      </c>
      <c r="AY166" s="75">
        <f t="shared" si="85"/>
        <v>0</v>
      </c>
      <c r="AZ166" s="75">
        <f t="shared" si="86"/>
        <v>0</v>
      </c>
      <c r="BA166" s="75">
        <f t="shared" si="87"/>
        <v>0</v>
      </c>
      <c r="BB166" s="75">
        <f t="shared" si="88"/>
        <v>0</v>
      </c>
      <c r="BD166" s="214">
        <f t="shared" si="103"/>
        <v>132562.43097342091</v>
      </c>
      <c r="BE166" s="214">
        <f t="shared" si="89"/>
        <v>645.2543358279238</v>
      </c>
      <c r="BF166" s="214">
        <f t="shared" si="90"/>
        <v>-219.34991843281873</v>
      </c>
      <c r="BG166" s="224">
        <f t="shared" si="107"/>
        <v>0</v>
      </c>
      <c r="BH166" s="19">
        <f t="shared" si="104"/>
        <v>154013.66484303187</v>
      </c>
      <c r="BI166" s="214">
        <f t="shared" si="91"/>
        <v>749.66930137725456</v>
      </c>
      <c r="BJ166" s="214">
        <f t="shared" si="92"/>
        <v>0</v>
      </c>
      <c r="BK166" s="19">
        <f t="shared" si="108"/>
        <v>0</v>
      </c>
    </row>
    <row r="167" spans="1:63">
      <c r="A167" s="165">
        <f t="shared" si="93"/>
        <v>69.722792607802873</v>
      </c>
      <c r="B167" s="69">
        <f t="shared" si="94"/>
        <v>8</v>
      </c>
      <c r="C167" s="70">
        <f t="shared" si="95"/>
        <v>93</v>
      </c>
      <c r="D167" s="13">
        <f t="shared" si="64"/>
        <v>4.8675505653430484E-3</v>
      </c>
      <c r="E167" s="15">
        <f t="shared" si="65"/>
        <v>1</v>
      </c>
      <c r="F167" s="15">
        <f t="shared" si="96"/>
        <v>0</v>
      </c>
      <c r="G167" s="15">
        <f t="shared" si="66"/>
        <v>0</v>
      </c>
      <c r="H167" s="73">
        <f t="shared" si="67"/>
        <v>0</v>
      </c>
      <c r="I167" s="189"/>
      <c r="J167" s="189"/>
      <c r="K167" s="5">
        <f t="shared" si="109"/>
        <v>132988.33539081601</v>
      </c>
      <c r="M167" s="5">
        <f t="shared" si="68"/>
        <v>647.32744711559735</v>
      </c>
      <c r="N167" s="5">
        <f t="shared" si="69"/>
        <v>-220.05465882215665</v>
      </c>
      <c r="O167" s="5">
        <f t="shared" si="70"/>
        <v>0</v>
      </c>
      <c r="P167" s="5">
        <f t="shared" si="71"/>
        <v>0</v>
      </c>
      <c r="Q167" s="5">
        <f t="shared" si="105"/>
        <v>0</v>
      </c>
      <c r="R167" s="5">
        <f t="shared" si="97"/>
        <v>0</v>
      </c>
      <c r="S167" s="5">
        <f t="shared" si="72"/>
        <v>0</v>
      </c>
      <c r="T167" s="5">
        <f t="shared" si="73"/>
        <v>0</v>
      </c>
      <c r="U167" s="74">
        <f t="shared" si="74"/>
        <v>0</v>
      </c>
      <c r="V167" s="75">
        <f t="shared" si="75"/>
        <v>0</v>
      </c>
      <c r="W167" s="5">
        <f t="shared" si="76"/>
        <v>0</v>
      </c>
      <c r="X167" s="5">
        <f t="shared" si="77"/>
        <v>133415.60817910943</v>
      </c>
      <c r="Y167" s="5">
        <f t="shared" si="98"/>
        <v>100000</v>
      </c>
      <c r="Z167" s="215">
        <f t="shared" si="78"/>
        <v>1</v>
      </c>
      <c r="AA167" s="216">
        <f t="shared" si="99"/>
        <v>0</v>
      </c>
      <c r="AB167" s="72">
        <f t="shared" si="106"/>
        <v>0</v>
      </c>
      <c r="AC167" s="72">
        <f t="shared" si="79"/>
        <v>0</v>
      </c>
      <c r="AD167" s="72">
        <f t="shared" si="80"/>
        <v>0</v>
      </c>
      <c r="AE167" s="72">
        <f t="shared" si="100"/>
        <v>-27.782259014425868</v>
      </c>
      <c r="AF167" s="70">
        <f t="shared" si="81"/>
        <v>0</v>
      </c>
      <c r="AG167" s="70">
        <f t="shared" si="82"/>
        <v>12697.931108061584</v>
      </c>
      <c r="AH167" s="1">
        <f t="shared" si="113"/>
        <v>0</v>
      </c>
      <c r="AI167" s="1">
        <f t="shared" si="113"/>
        <v>0</v>
      </c>
      <c r="AJ167" s="1">
        <f t="shared" si="113"/>
        <v>0</v>
      </c>
      <c r="AK167" s="1">
        <f t="shared" si="113"/>
        <v>0</v>
      </c>
      <c r="AL167" s="1">
        <f t="shared" si="113"/>
        <v>0</v>
      </c>
      <c r="AM167" s="1">
        <f t="shared" si="113"/>
        <v>1</v>
      </c>
      <c r="AN167" s="1">
        <f t="shared" si="113"/>
        <v>1</v>
      </c>
      <c r="AO167" s="1">
        <f t="shared" si="113"/>
        <v>1</v>
      </c>
      <c r="AP167" s="1">
        <f t="shared" si="113"/>
        <v>1</v>
      </c>
      <c r="AQ167" s="1">
        <f t="shared" si="113"/>
        <v>1</v>
      </c>
      <c r="AR167" s="1">
        <f t="shared" si="113"/>
        <v>1</v>
      </c>
      <c r="AS167" s="1">
        <f t="shared" si="113"/>
        <v>1</v>
      </c>
      <c r="AT167" s="39">
        <f t="shared" si="83"/>
        <v>133415.60817910943</v>
      </c>
      <c r="AU167" s="39">
        <f t="shared" si="101"/>
        <v>133415.60817910943</v>
      </c>
      <c r="AV167" s="39">
        <f t="shared" si="111"/>
        <v>0</v>
      </c>
      <c r="AW167" s="3">
        <f t="shared" si="84"/>
        <v>93</v>
      </c>
      <c r="AX167" s="69">
        <f t="shared" si="102"/>
        <v>0</v>
      </c>
      <c r="AY167" s="75">
        <f t="shared" si="85"/>
        <v>0</v>
      </c>
      <c r="AZ167" s="75">
        <f t="shared" si="86"/>
        <v>0</v>
      </c>
      <c r="BA167" s="75">
        <f t="shared" si="87"/>
        <v>0</v>
      </c>
      <c r="BB167" s="75">
        <f t="shared" si="88"/>
        <v>0</v>
      </c>
      <c r="BD167" s="214">
        <f t="shared" si="103"/>
        <v>132988.33539081601</v>
      </c>
      <c r="BE167" s="214">
        <f t="shared" si="89"/>
        <v>647.32744711559735</v>
      </c>
      <c r="BF167" s="214">
        <f t="shared" si="90"/>
        <v>-220.05465882215665</v>
      </c>
      <c r="BG167" s="224">
        <f t="shared" si="107"/>
        <v>0</v>
      </c>
      <c r="BH167" s="19">
        <f t="shared" si="104"/>
        <v>154763.33414440913</v>
      </c>
      <c r="BI167" s="214">
        <f t="shared" si="91"/>
        <v>753.31835460899379</v>
      </c>
      <c r="BJ167" s="214">
        <f t="shared" si="92"/>
        <v>0</v>
      </c>
      <c r="BK167" s="19">
        <f t="shared" si="108"/>
        <v>0</v>
      </c>
    </row>
    <row r="168" spans="1:63">
      <c r="A168" s="165">
        <f t="shared" si="93"/>
        <v>69.806125941136202</v>
      </c>
      <c r="B168" s="69">
        <f t="shared" si="94"/>
        <v>8</v>
      </c>
      <c r="C168" s="70">
        <f t="shared" si="95"/>
        <v>94</v>
      </c>
      <c r="D168" s="13">
        <f t="shared" si="64"/>
        <v>4.8675505653430484E-3</v>
      </c>
      <c r="E168" s="15">
        <f t="shared" si="65"/>
        <v>1</v>
      </c>
      <c r="F168" s="15">
        <f t="shared" si="96"/>
        <v>0</v>
      </c>
      <c r="G168" s="15">
        <f t="shared" si="66"/>
        <v>0</v>
      </c>
      <c r="H168" s="73">
        <f t="shared" si="67"/>
        <v>0</v>
      </c>
      <c r="I168" s="189"/>
      <c r="J168" s="189"/>
      <c r="K168" s="5">
        <f t="shared" si="109"/>
        <v>133415.60817910943</v>
      </c>
      <c r="M168" s="5">
        <f t="shared" si="68"/>
        <v>649.4072190178108</v>
      </c>
      <c r="N168" s="5">
        <f t="shared" si="69"/>
        <v>-220.76166344309269</v>
      </c>
      <c r="O168" s="5">
        <f t="shared" si="70"/>
        <v>0</v>
      </c>
      <c r="P168" s="5">
        <f t="shared" si="71"/>
        <v>0</v>
      </c>
      <c r="Q168" s="5">
        <f t="shared" si="105"/>
        <v>0</v>
      </c>
      <c r="R168" s="5">
        <f t="shared" si="97"/>
        <v>0</v>
      </c>
      <c r="S168" s="5">
        <f t="shared" si="72"/>
        <v>0</v>
      </c>
      <c r="T168" s="5">
        <f t="shared" si="73"/>
        <v>0</v>
      </c>
      <c r="U168" s="74">
        <f t="shared" si="74"/>
        <v>0</v>
      </c>
      <c r="V168" s="75">
        <f t="shared" si="75"/>
        <v>0</v>
      </c>
      <c r="W168" s="5">
        <f t="shared" si="76"/>
        <v>0</v>
      </c>
      <c r="X168" s="5">
        <f t="shared" si="77"/>
        <v>133844.25373468414</v>
      </c>
      <c r="Y168" s="5">
        <f t="shared" si="98"/>
        <v>100000</v>
      </c>
      <c r="Z168" s="215">
        <f t="shared" si="78"/>
        <v>1</v>
      </c>
      <c r="AA168" s="216">
        <f t="shared" si="99"/>
        <v>0</v>
      </c>
      <c r="AB168" s="72">
        <f t="shared" si="106"/>
        <v>0</v>
      </c>
      <c r="AC168" s="72">
        <f t="shared" si="79"/>
        <v>0</v>
      </c>
      <c r="AD168" s="72">
        <f t="shared" si="80"/>
        <v>0</v>
      </c>
      <c r="AE168" s="72">
        <f t="shared" si="100"/>
        <v>-27.871519499108967</v>
      </c>
      <c r="AF168" s="70">
        <f t="shared" si="81"/>
        <v>0</v>
      </c>
      <c r="AG168" s="70">
        <f t="shared" si="82"/>
        <v>12860.816419179973</v>
      </c>
      <c r="AH168" s="1">
        <f t="shared" si="113"/>
        <v>0</v>
      </c>
      <c r="AI168" s="1">
        <f t="shared" si="113"/>
        <v>0</v>
      </c>
      <c r="AJ168" s="1">
        <f t="shared" si="113"/>
        <v>0</v>
      </c>
      <c r="AK168" s="1">
        <f t="shared" si="113"/>
        <v>0</v>
      </c>
      <c r="AL168" s="1">
        <f t="shared" si="113"/>
        <v>0</v>
      </c>
      <c r="AM168" s="1">
        <f t="shared" si="113"/>
        <v>1</v>
      </c>
      <c r="AN168" s="1">
        <f t="shared" si="113"/>
        <v>1</v>
      </c>
      <c r="AO168" s="1">
        <f t="shared" si="113"/>
        <v>1</v>
      </c>
      <c r="AP168" s="1">
        <f t="shared" si="113"/>
        <v>1</v>
      </c>
      <c r="AQ168" s="1">
        <f t="shared" si="113"/>
        <v>1</v>
      </c>
      <c r="AR168" s="1">
        <f t="shared" si="113"/>
        <v>1</v>
      </c>
      <c r="AS168" s="1">
        <f t="shared" si="113"/>
        <v>1</v>
      </c>
      <c r="AT168" s="39">
        <f t="shared" si="83"/>
        <v>133844.25373468414</v>
      </c>
      <c r="AU168" s="39">
        <f t="shared" si="101"/>
        <v>133844.25373468414</v>
      </c>
      <c r="AV168" s="39">
        <f t="shared" si="111"/>
        <v>0</v>
      </c>
      <c r="AW168" s="3">
        <f t="shared" si="84"/>
        <v>94</v>
      </c>
      <c r="AX168" s="69">
        <f t="shared" si="102"/>
        <v>0</v>
      </c>
      <c r="AY168" s="75">
        <f t="shared" si="85"/>
        <v>0</v>
      </c>
      <c r="AZ168" s="75">
        <f t="shared" si="86"/>
        <v>0</v>
      </c>
      <c r="BA168" s="75">
        <f t="shared" si="87"/>
        <v>0</v>
      </c>
      <c r="BB168" s="75">
        <f t="shared" si="88"/>
        <v>0</v>
      </c>
      <c r="BD168" s="214">
        <f t="shared" si="103"/>
        <v>133415.60817910943</v>
      </c>
      <c r="BE168" s="214">
        <f t="shared" si="89"/>
        <v>649.4072190178108</v>
      </c>
      <c r="BF168" s="214">
        <f t="shared" si="90"/>
        <v>-220.76166344309269</v>
      </c>
      <c r="BG168" s="224">
        <f t="shared" si="107"/>
        <v>0</v>
      </c>
      <c r="BH168" s="19">
        <f t="shared" si="104"/>
        <v>155516.65249901812</v>
      </c>
      <c r="BI168" s="214">
        <f t="shared" si="91"/>
        <v>756.9851697918541</v>
      </c>
      <c r="BJ168" s="214">
        <f t="shared" si="92"/>
        <v>0</v>
      </c>
      <c r="BK168" s="19">
        <f t="shared" si="108"/>
        <v>0</v>
      </c>
    </row>
    <row r="169" spans="1:63">
      <c r="A169" s="165">
        <f t="shared" si="93"/>
        <v>69.889459274469544</v>
      </c>
      <c r="B169" s="69">
        <f t="shared" si="94"/>
        <v>8</v>
      </c>
      <c r="C169" s="70">
        <f t="shared" si="95"/>
        <v>95</v>
      </c>
      <c r="D169" s="13">
        <f t="shared" si="64"/>
        <v>4.8675505653430484E-3</v>
      </c>
      <c r="E169" s="15">
        <f t="shared" si="65"/>
        <v>1</v>
      </c>
      <c r="F169" s="15">
        <f t="shared" si="96"/>
        <v>0</v>
      </c>
      <c r="G169" s="15">
        <f t="shared" si="66"/>
        <v>0</v>
      </c>
      <c r="H169" s="73">
        <f t="shared" si="67"/>
        <v>0</v>
      </c>
      <c r="I169" s="189"/>
      <c r="J169" s="189"/>
      <c r="K169" s="5">
        <f t="shared" si="109"/>
        <v>133844.25373468414</v>
      </c>
      <c r="M169" s="5">
        <f t="shared" si="68"/>
        <v>651.49367293418027</v>
      </c>
      <c r="N169" s="5">
        <f t="shared" si="69"/>
        <v>-221.47093957028409</v>
      </c>
      <c r="O169" s="5">
        <f t="shared" si="70"/>
        <v>0</v>
      </c>
      <c r="P169" s="5">
        <f t="shared" si="71"/>
        <v>0</v>
      </c>
      <c r="Q169" s="5">
        <f t="shared" si="105"/>
        <v>0</v>
      </c>
      <c r="R169" s="5">
        <f t="shared" si="97"/>
        <v>0</v>
      </c>
      <c r="S169" s="5">
        <f t="shared" si="72"/>
        <v>0</v>
      </c>
      <c r="T169" s="5">
        <f t="shared" si="73"/>
        <v>0</v>
      </c>
      <c r="U169" s="74">
        <f t="shared" si="74"/>
        <v>0</v>
      </c>
      <c r="V169" s="75">
        <f t="shared" si="75"/>
        <v>0</v>
      </c>
      <c r="W169" s="5">
        <f t="shared" si="76"/>
        <v>0</v>
      </c>
      <c r="X169" s="5">
        <f t="shared" si="77"/>
        <v>134274.27646804805</v>
      </c>
      <c r="Y169" s="5">
        <f t="shared" si="98"/>
        <v>100000</v>
      </c>
      <c r="Z169" s="215">
        <f t="shared" si="78"/>
        <v>1</v>
      </c>
      <c r="AA169" s="216">
        <f t="shared" si="99"/>
        <v>0</v>
      </c>
      <c r="AB169" s="72">
        <f t="shared" si="106"/>
        <v>0</v>
      </c>
      <c r="AC169" s="72">
        <f t="shared" si="79"/>
        <v>0</v>
      </c>
      <c r="AD169" s="72">
        <f t="shared" si="80"/>
        <v>0</v>
      </c>
      <c r="AE169" s="72">
        <f t="shared" si="100"/>
        <v>-27.961066765155746</v>
      </c>
      <c r="AF169" s="70">
        <f t="shared" si="81"/>
        <v>0</v>
      </c>
      <c r="AG169" s="70">
        <f t="shared" si="82"/>
        <v>13024.225057858257</v>
      </c>
      <c r="AH169" s="1">
        <f t="shared" si="113"/>
        <v>0</v>
      </c>
      <c r="AI169" s="1">
        <f t="shared" si="113"/>
        <v>0</v>
      </c>
      <c r="AJ169" s="1">
        <f t="shared" si="113"/>
        <v>0</v>
      </c>
      <c r="AK169" s="1">
        <f t="shared" si="113"/>
        <v>0</v>
      </c>
      <c r="AL169" s="1">
        <f t="shared" si="113"/>
        <v>0</v>
      </c>
      <c r="AM169" s="1">
        <f t="shared" si="113"/>
        <v>1</v>
      </c>
      <c r="AN169" s="1">
        <f t="shared" si="113"/>
        <v>1</v>
      </c>
      <c r="AO169" s="1">
        <f t="shared" si="113"/>
        <v>1</v>
      </c>
      <c r="AP169" s="1">
        <f t="shared" si="113"/>
        <v>1</v>
      </c>
      <c r="AQ169" s="1">
        <f t="shared" si="113"/>
        <v>1</v>
      </c>
      <c r="AR169" s="1">
        <f t="shared" si="113"/>
        <v>1</v>
      </c>
      <c r="AS169" s="1">
        <f t="shared" si="113"/>
        <v>1</v>
      </c>
      <c r="AT169" s="39">
        <f t="shared" si="83"/>
        <v>134274.27646804805</v>
      </c>
      <c r="AU169" s="39">
        <f t="shared" si="101"/>
        <v>134274.27646804805</v>
      </c>
      <c r="AV169" s="39">
        <f t="shared" si="111"/>
        <v>0</v>
      </c>
      <c r="AW169" s="3">
        <f t="shared" si="84"/>
        <v>95</v>
      </c>
      <c r="AX169" s="69">
        <f t="shared" si="102"/>
        <v>0</v>
      </c>
      <c r="AY169" s="75">
        <f t="shared" si="85"/>
        <v>0</v>
      </c>
      <c r="AZ169" s="75">
        <f t="shared" si="86"/>
        <v>0</v>
      </c>
      <c r="BA169" s="75">
        <f t="shared" si="87"/>
        <v>0</v>
      </c>
      <c r="BB169" s="75">
        <f t="shared" si="88"/>
        <v>0</v>
      </c>
      <c r="BD169" s="214">
        <f t="shared" si="103"/>
        <v>133844.25373468414</v>
      </c>
      <c r="BE169" s="214">
        <f t="shared" si="89"/>
        <v>651.49367293418027</v>
      </c>
      <c r="BF169" s="214">
        <f t="shared" si="90"/>
        <v>-221.47093957028409</v>
      </c>
      <c r="BG169" s="224">
        <f t="shared" si="107"/>
        <v>0</v>
      </c>
      <c r="BH169" s="19">
        <f t="shared" si="104"/>
        <v>156273.63766880997</v>
      </c>
      <c r="BI169" s="214">
        <f t="shared" si="91"/>
        <v>760.66983338303066</v>
      </c>
      <c r="BJ169" s="214">
        <f t="shared" si="92"/>
        <v>0</v>
      </c>
      <c r="BK169" s="19">
        <f t="shared" si="108"/>
        <v>0</v>
      </c>
    </row>
    <row r="170" spans="1:63">
      <c r="A170" s="165">
        <f t="shared" si="93"/>
        <v>69.972792607802873</v>
      </c>
      <c r="B170" s="69">
        <f t="shared" si="94"/>
        <v>8</v>
      </c>
      <c r="C170" s="70">
        <f t="shared" si="95"/>
        <v>96</v>
      </c>
      <c r="D170" s="13">
        <f t="shared" si="64"/>
        <v>4.8675505653430484E-3</v>
      </c>
      <c r="E170" s="15">
        <f t="shared" si="65"/>
        <v>1</v>
      </c>
      <c r="F170" s="15">
        <f t="shared" si="96"/>
        <v>1</v>
      </c>
      <c r="G170" s="15">
        <f t="shared" si="66"/>
        <v>0</v>
      </c>
      <c r="H170" s="73">
        <f t="shared" si="67"/>
        <v>0</v>
      </c>
      <c r="I170" s="189"/>
      <c r="J170" s="189"/>
      <c r="K170" s="5">
        <f t="shared" si="109"/>
        <v>134274.27646804805</v>
      </c>
      <c r="M170" s="5">
        <f t="shared" si="68"/>
        <v>653.58683033307602</v>
      </c>
      <c r="N170" s="5">
        <f t="shared" si="69"/>
        <v>-222.1824945017604</v>
      </c>
      <c r="O170" s="5">
        <f t="shared" si="70"/>
        <v>0</v>
      </c>
      <c r="P170" s="5">
        <f t="shared" si="71"/>
        <v>0</v>
      </c>
      <c r="Q170" s="5">
        <f t="shared" si="105"/>
        <v>0</v>
      </c>
      <c r="R170" s="5">
        <f t="shared" si="97"/>
        <v>0</v>
      </c>
      <c r="S170" s="5">
        <f t="shared" si="72"/>
        <v>0</v>
      </c>
      <c r="T170" s="5">
        <f t="shared" si="73"/>
        <v>0</v>
      </c>
      <c r="U170" s="74">
        <f t="shared" si="74"/>
        <v>0</v>
      </c>
      <c r="V170" s="75">
        <f t="shared" si="75"/>
        <v>0</v>
      </c>
      <c r="W170" s="5">
        <f t="shared" si="76"/>
        <v>0</v>
      </c>
      <c r="X170" s="5">
        <f t="shared" si="77"/>
        <v>134705.68080387937</v>
      </c>
      <c r="Y170" s="5">
        <f t="shared" si="98"/>
        <v>100000</v>
      </c>
      <c r="Z170" s="215">
        <f t="shared" si="78"/>
        <v>1</v>
      </c>
      <c r="AA170" s="216">
        <f t="shared" si="99"/>
        <v>0</v>
      </c>
      <c r="AB170" s="72">
        <f t="shared" si="106"/>
        <v>0</v>
      </c>
      <c r="AC170" s="72">
        <f>IF(Y170=0,0,-IF(F170=1,1,AA170)*(MAX(X170+AB170-Y170,0)*Exit_Tax_Rate-AB170))</f>
        <v>-13188.158705474159</v>
      </c>
      <c r="AD170" s="72">
        <f t="shared" si="80"/>
        <v>0</v>
      </c>
      <c r="AE170" s="72">
        <f t="shared" si="100"/>
        <v>-28.050901733954312</v>
      </c>
      <c r="AF170" s="70">
        <f t="shared" si="81"/>
        <v>0</v>
      </c>
      <c r="AG170" s="70">
        <f t="shared" si="82"/>
        <v>0</v>
      </c>
      <c r="AH170" s="1">
        <f t="shared" si="113"/>
        <v>0</v>
      </c>
      <c r="AI170" s="1">
        <f t="shared" si="113"/>
        <v>0</v>
      </c>
      <c r="AJ170" s="1">
        <f t="shared" si="113"/>
        <v>0</v>
      </c>
      <c r="AK170" s="1">
        <f t="shared" si="113"/>
        <v>0</v>
      </c>
      <c r="AL170" s="1">
        <f t="shared" si="113"/>
        <v>0</v>
      </c>
      <c r="AM170" s="1">
        <f t="shared" si="113"/>
        <v>1</v>
      </c>
      <c r="AN170" s="1">
        <f t="shared" si="113"/>
        <v>1</v>
      </c>
      <c r="AO170" s="1">
        <f t="shared" si="113"/>
        <v>1</v>
      </c>
      <c r="AP170" s="1">
        <f t="shared" si="113"/>
        <v>1</v>
      </c>
      <c r="AQ170" s="1">
        <f t="shared" si="113"/>
        <v>1</v>
      </c>
      <c r="AR170" s="1">
        <f t="shared" si="113"/>
        <v>1</v>
      </c>
      <c r="AS170" s="1">
        <f t="shared" si="113"/>
        <v>1</v>
      </c>
      <c r="AT170" s="39">
        <f t="shared" si="83"/>
        <v>121517.52209840521</v>
      </c>
      <c r="AU170" s="39">
        <f t="shared" si="101"/>
        <v>134705.68080387937</v>
      </c>
      <c r="AV170" s="39">
        <f t="shared" si="111"/>
        <v>0</v>
      </c>
      <c r="AW170" s="3">
        <f t="shared" si="84"/>
        <v>96</v>
      </c>
      <c r="AX170" s="69">
        <f t="shared" si="102"/>
        <v>0</v>
      </c>
      <c r="AY170" s="75">
        <f t="shared" si="85"/>
        <v>0</v>
      </c>
      <c r="AZ170" s="75">
        <f t="shared" si="86"/>
        <v>0</v>
      </c>
      <c r="BA170" s="75">
        <f t="shared" si="87"/>
        <v>0</v>
      </c>
      <c r="BB170" s="75">
        <f t="shared" si="88"/>
        <v>0</v>
      </c>
      <c r="BD170" s="214">
        <f t="shared" si="103"/>
        <v>134274.27646804805</v>
      </c>
      <c r="BE170" s="214">
        <f t="shared" si="89"/>
        <v>653.58683033307602</v>
      </c>
      <c r="BF170" s="214">
        <f t="shared" si="90"/>
        <v>-222.1824945017604</v>
      </c>
      <c r="BG170" s="224">
        <f t="shared" si="107"/>
        <v>0</v>
      </c>
      <c r="BH170" s="19">
        <f t="shared" si="104"/>
        <v>157034.307502193</v>
      </c>
      <c r="BI170" s="214">
        <f t="shared" si="91"/>
        <v>764.37243226055364</v>
      </c>
      <c r="BJ170" s="214">
        <f t="shared" si="92"/>
        <v>0</v>
      </c>
      <c r="BK170" s="19">
        <f t="shared" si="108"/>
        <v>0</v>
      </c>
    </row>
    <row r="171" spans="1:63">
      <c r="A171" s="165">
        <f t="shared" si="93"/>
        <v>70.056125941136202</v>
      </c>
      <c r="B171" s="69">
        <f t="shared" si="94"/>
        <v>9</v>
      </c>
      <c r="C171" s="70">
        <f t="shared" si="95"/>
        <v>97</v>
      </c>
      <c r="D171" s="13">
        <f t="shared" si="64"/>
        <v>4.8675505653430484E-3</v>
      </c>
      <c r="E171" s="15">
        <f t="shared" si="65"/>
        <v>1</v>
      </c>
      <c r="F171" s="15">
        <f t="shared" si="96"/>
        <v>0</v>
      </c>
      <c r="G171" s="15">
        <f t="shared" si="66"/>
        <v>0</v>
      </c>
      <c r="H171" s="73">
        <f t="shared" si="67"/>
        <v>0</v>
      </c>
      <c r="I171" s="189"/>
      <c r="J171" s="189"/>
      <c r="K171" s="5">
        <f t="shared" si="109"/>
        <v>121517.52209840521</v>
      </c>
      <c r="M171" s="5">
        <f t="shared" si="68"/>
        <v>591.49268338917864</v>
      </c>
      <c r="N171" s="5">
        <f t="shared" si="69"/>
        <v>-201.07400237543766</v>
      </c>
      <c r="O171" s="5">
        <f t="shared" si="70"/>
        <v>0</v>
      </c>
      <c r="P171" s="5">
        <f t="shared" si="71"/>
        <v>0</v>
      </c>
      <c r="Q171" s="5">
        <f t="shared" si="105"/>
        <v>0</v>
      </c>
      <c r="R171" s="5">
        <f t="shared" si="97"/>
        <v>0</v>
      </c>
      <c r="S171" s="5">
        <f t="shared" si="72"/>
        <v>0</v>
      </c>
      <c r="T171" s="5">
        <f t="shared" si="73"/>
        <v>0</v>
      </c>
      <c r="U171" s="74">
        <f t="shared" si="74"/>
        <v>0</v>
      </c>
      <c r="V171" s="75">
        <f t="shared" si="75"/>
        <v>0</v>
      </c>
      <c r="W171" s="5">
        <f t="shared" si="76"/>
        <v>0</v>
      </c>
      <c r="X171" s="5">
        <f t="shared" si="77"/>
        <v>121907.94077941896</v>
      </c>
      <c r="Y171" s="5">
        <f t="shared" si="98"/>
        <v>100000</v>
      </c>
      <c r="Z171" s="215">
        <f t="shared" si="78"/>
        <v>1</v>
      </c>
      <c r="AA171" s="216">
        <f t="shared" si="99"/>
        <v>0</v>
      </c>
      <c r="AB171" s="72">
        <f t="shared" si="106"/>
        <v>13188.158705474159</v>
      </c>
      <c r="AC171" s="72">
        <f t="shared" si="79"/>
        <v>0</v>
      </c>
      <c r="AD171" s="72">
        <f t="shared" si="80"/>
        <v>0</v>
      </c>
      <c r="AE171" s="72">
        <f t="shared" si="100"/>
        <v>-25.385920229829843</v>
      </c>
      <c r="AF171" s="70">
        <f t="shared" si="81"/>
        <v>0</v>
      </c>
      <c r="AG171" s="70">
        <f t="shared" si="82"/>
        <v>148.35909878522398</v>
      </c>
      <c r="AH171" s="1">
        <f t="shared" si="113"/>
        <v>0</v>
      </c>
      <c r="AI171" s="1">
        <f t="shared" si="113"/>
        <v>0</v>
      </c>
      <c r="AJ171" s="1">
        <f t="shared" si="113"/>
        <v>0</v>
      </c>
      <c r="AK171" s="1">
        <f t="shared" si="113"/>
        <v>0</v>
      </c>
      <c r="AL171" s="1">
        <f t="shared" si="113"/>
        <v>0</v>
      </c>
      <c r="AM171" s="1">
        <f t="shared" si="113"/>
        <v>1</v>
      </c>
      <c r="AN171" s="1">
        <f t="shared" si="113"/>
        <v>1</v>
      </c>
      <c r="AO171" s="1">
        <f t="shared" si="113"/>
        <v>1</v>
      </c>
      <c r="AP171" s="1">
        <f t="shared" si="113"/>
        <v>1</v>
      </c>
      <c r="AQ171" s="1">
        <f t="shared" si="113"/>
        <v>1</v>
      </c>
      <c r="AR171" s="1">
        <f t="shared" si="113"/>
        <v>1</v>
      </c>
      <c r="AS171" s="1">
        <f t="shared" si="113"/>
        <v>1</v>
      </c>
      <c r="AT171" s="39">
        <f t="shared" si="83"/>
        <v>121907.94077941896</v>
      </c>
      <c r="AU171" s="39">
        <f t="shared" si="101"/>
        <v>121907.94077941896</v>
      </c>
      <c r="AV171" s="39">
        <f t="shared" si="111"/>
        <v>0</v>
      </c>
      <c r="AW171" s="3">
        <f t="shared" si="84"/>
        <v>97</v>
      </c>
      <c r="AX171" s="69">
        <f t="shared" si="102"/>
        <v>0</v>
      </c>
      <c r="AY171" s="75">
        <f t="shared" si="85"/>
        <v>0</v>
      </c>
      <c r="AZ171" s="75">
        <f t="shared" si="86"/>
        <v>0</v>
      </c>
      <c r="BA171" s="75">
        <f t="shared" si="87"/>
        <v>0</v>
      </c>
      <c r="BB171" s="75">
        <f t="shared" si="88"/>
        <v>0</v>
      </c>
      <c r="BD171" s="214">
        <f t="shared" si="103"/>
        <v>134705.68080387937</v>
      </c>
      <c r="BE171" s="214">
        <f t="shared" si="89"/>
        <v>655.68671275184329</v>
      </c>
      <c r="BF171" s="214">
        <f t="shared" si="90"/>
        <v>-222.89633555899889</v>
      </c>
      <c r="BG171" s="224">
        <f t="shared" si="107"/>
        <v>0</v>
      </c>
      <c r="BH171" s="19">
        <f t="shared" si="104"/>
        <v>157798.67993445354</v>
      </c>
      <c r="BI171" s="214">
        <f t="shared" si="91"/>
        <v>768.09305372533606</v>
      </c>
      <c r="BJ171" s="214">
        <f t="shared" si="92"/>
        <v>0</v>
      </c>
      <c r="BK171" s="19">
        <f t="shared" si="108"/>
        <v>0</v>
      </c>
    </row>
    <row r="172" spans="1:63">
      <c r="A172" s="165">
        <f t="shared" si="93"/>
        <v>70.139459274469544</v>
      </c>
      <c r="B172" s="69">
        <f t="shared" si="94"/>
        <v>9</v>
      </c>
      <c r="C172" s="70">
        <f t="shared" si="95"/>
        <v>98</v>
      </c>
      <c r="D172" s="13">
        <f t="shared" si="64"/>
        <v>4.8675505653430484E-3</v>
      </c>
      <c r="E172" s="15">
        <f t="shared" si="65"/>
        <v>1</v>
      </c>
      <c r="F172" s="15">
        <f t="shared" si="96"/>
        <v>0</v>
      </c>
      <c r="G172" s="15">
        <f t="shared" si="66"/>
        <v>0</v>
      </c>
      <c r="H172" s="73">
        <f t="shared" si="67"/>
        <v>0</v>
      </c>
      <c r="I172" s="189"/>
      <c r="J172" s="189"/>
      <c r="K172" s="5">
        <f t="shared" si="109"/>
        <v>121907.94077941896</v>
      </c>
      <c r="M172" s="5">
        <f t="shared" si="68"/>
        <v>593.39306606066759</v>
      </c>
      <c r="N172" s="5">
        <f t="shared" si="69"/>
        <v>-201.72002482090855</v>
      </c>
      <c r="O172" s="5">
        <f t="shared" si="70"/>
        <v>0</v>
      </c>
      <c r="P172" s="5">
        <f t="shared" si="71"/>
        <v>0</v>
      </c>
      <c r="Q172" s="5">
        <f t="shared" si="105"/>
        <v>0</v>
      </c>
      <c r="R172" s="5">
        <f t="shared" si="97"/>
        <v>0</v>
      </c>
      <c r="S172" s="5">
        <f t="shared" si="72"/>
        <v>0</v>
      </c>
      <c r="T172" s="5">
        <f t="shared" si="73"/>
        <v>0</v>
      </c>
      <c r="U172" s="74">
        <f t="shared" si="74"/>
        <v>0</v>
      </c>
      <c r="V172" s="75">
        <f t="shared" si="75"/>
        <v>0</v>
      </c>
      <c r="W172" s="5">
        <f t="shared" si="76"/>
        <v>0</v>
      </c>
      <c r="X172" s="5">
        <f t="shared" si="77"/>
        <v>122299.61382065872</v>
      </c>
      <c r="Y172" s="5">
        <f t="shared" si="98"/>
        <v>100000</v>
      </c>
      <c r="Z172" s="215">
        <f t="shared" si="78"/>
        <v>1</v>
      </c>
      <c r="AA172" s="216">
        <f t="shared" si="99"/>
        <v>0</v>
      </c>
      <c r="AB172" s="72">
        <f t="shared" si="106"/>
        <v>13188.158705474159</v>
      </c>
      <c r="AC172" s="72">
        <f t="shared" si="79"/>
        <v>0</v>
      </c>
      <c r="AD172" s="72">
        <f t="shared" si="80"/>
        <v>0</v>
      </c>
      <c r="AE172" s="72">
        <f t="shared" si="100"/>
        <v>-25.467481615556789</v>
      </c>
      <c r="AF172" s="70">
        <f t="shared" si="81"/>
        <v>0</v>
      </c>
      <c r="AG172" s="70">
        <f t="shared" si="82"/>
        <v>297.19485445633291</v>
      </c>
      <c r="AH172" s="1">
        <f t="shared" si="113"/>
        <v>0</v>
      </c>
      <c r="AI172" s="1">
        <f t="shared" si="113"/>
        <v>0</v>
      </c>
      <c r="AJ172" s="1">
        <f t="shared" si="113"/>
        <v>0</v>
      </c>
      <c r="AK172" s="1">
        <f t="shared" si="113"/>
        <v>0</v>
      </c>
      <c r="AL172" s="1">
        <f t="shared" si="113"/>
        <v>0</v>
      </c>
      <c r="AM172" s="1">
        <f t="shared" si="113"/>
        <v>1</v>
      </c>
      <c r="AN172" s="1">
        <f t="shared" si="113"/>
        <v>1</v>
      </c>
      <c r="AO172" s="1">
        <f t="shared" si="113"/>
        <v>1</v>
      </c>
      <c r="AP172" s="1">
        <f t="shared" si="113"/>
        <v>1</v>
      </c>
      <c r="AQ172" s="1">
        <f t="shared" si="113"/>
        <v>1</v>
      </c>
      <c r="AR172" s="1">
        <f t="shared" si="113"/>
        <v>1</v>
      </c>
      <c r="AS172" s="1">
        <f t="shared" si="113"/>
        <v>1</v>
      </c>
      <c r="AT172" s="39">
        <f t="shared" si="83"/>
        <v>122299.61382065872</v>
      </c>
      <c r="AU172" s="39">
        <f t="shared" si="101"/>
        <v>122299.61382065872</v>
      </c>
      <c r="AV172" s="39">
        <f t="shared" si="111"/>
        <v>0</v>
      </c>
      <c r="AW172" s="3">
        <f t="shared" si="84"/>
        <v>98</v>
      </c>
      <c r="AX172" s="69">
        <f t="shared" si="102"/>
        <v>0</v>
      </c>
      <c r="AY172" s="75">
        <f t="shared" si="85"/>
        <v>0</v>
      </c>
      <c r="AZ172" s="75">
        <f t="shared" si="86"/>
        <v>0</v>
      </c>
      <c r="BA172" s="75">
        <f t="shared" si="87"/>
        <v>0</v>
      </c>
      <c r="BB172" s="75">
        <f t="shared" si="88"/>
        <v>0</v>
      </c>
      <c r="BD172" s="214">
        <f t="shared" si="103"/>
        <v>135138.47118107221</v>
      </c>
      <c r="BE172" s="214">
        <f t="shared" si="89"/>
        <v>657.79334179702323</v>
      </c>
      <c r="BF172" s="214">
        <f t="shared" si="90"/>
        <v>-223.61247008699942</v>
      </c>
      <c r="BG172" s="224">
        <f t="shared" si="107"/>
        <v>0</v>
      </c>
      <c r="BH172" s="19">
        <f t="shared" si="104"/>
        <v>158566.77298817888</v>
      </c>
      <c r="BI172" s="214">
        <f t="shared" si="91"/>
        <v>771.83178550323294</v>
      </c>
      <c r="BJ172" s="214">
        <f t="shared" si="92"/>
        <v>0</v>
      </c>
      <c r="BK172" s="19">
        <f t="shared" si="108"/>
        <v>0</v>
      </c>
    </row>
    <row r="173" spans="1:63">
      <c r="A173" s="165">
        <f t="shared" si="93"/>
        <v>70.222792607802873</v>
      </c>
      <c r="B173" s="69">
        <f t="shared" si="94"/>
        <v>9</v>
      </c>
      <c r="C173" s="70">
        <f t="shared" si="95"/>
        <v>99</v>
      </c>
      <c r="D173" s="13">
        <f t="shared" si="64"/>
        <v>4.8675505653430484E-3</v>
      </c>
      <c r="E173" s="15">
        <f t="shared" si="65"/>
        <v>1</v>
      </c>
      <c r="F173" s="15">
        <f t="shared" si="96"/>
        <v>0</v>
      </c>
      <c r="G173" s="15">
        <f t="shared" si="66"/>
        <v>0</v>
      </c>
      <c r="H173" s="73">
        <f t="shared" si="67"/>
        <v>0</v>
      </c>
      <c r="I173" s="189"/>
      <c r="J173" s="189"/>
      <c r="K173" s="5">
        <f t="shared" si="109"/>
        <v>122299.61382065872</v>
      </c>
      <c r="M173" s="5">
        <f t="shared" si="68"/>
        <v>595.29955439398384</v>
      </c>
      <c r="N173" s="5">
        <f t="shared" si="69"/>
        <v>-202.36812284549518</v>
      </c>
      <c r="O173" s="5">
        <f t="shared" si="70"/>
        <v>0</v>
      </c>
      <c r="P173" s="5">
        <f t="shared" si="71"/>
        <v>0</v>
      </c>
      <c r="Q173" s="5">
        <f t="shared" si="105"/>
        <v>0</v>
      </c>
      <c r="R173" s="5">
        <f t="shared" si="97"/>
        <v>0</v>
      </c>
      <c r="S173" s="5">
        <f t="shared" si="72"/>
        <v>0</v>
      </c>
      <c r="T173" s="5">
        <f t="shared" si="73"/>
        <v>0</v>
      </c>
      <c r="U173" s="74">
        <f t="shared" si="74"/>
        <v>0</v>
      </c>
      <c r="V173" s="75">
        <f t="shared" si="75"/>
        <v>0</v>
      </c>
      <c r="W173" s="5">
        <f t="shared" si="76"/>
        <v>0</v>
      </c>
      <c r="X173" s="5">
        <f t="shared" si="77"/>
        <v>122692.54525220722</v>
      </c>
      <c r="Y173" s="5">
        <f t="shared" si="98"/>
        <v>100000</v>
      </c>
      <c r="Z173" s="215">
        <f t="shared" si="78"/>
        <v>1</v>
      </c>
      <c r="AA173" s="216">
        <f t="shared" si="99"/>
        <v>0</v>
      </c>
      <c r="AB173" s="72">
        <f t="shared" si="106"/>
        <v>13188.158705474159</v>
      </c>
      <c r="AC173" s="72">
        <f t="shared" si="79"/>
        <v>0</v>
      </c>
      <c r="AD173" s="72">
        <f t="shared" si="80"/>
        <v>0</v>
      </c>
      <c r="AE173" s="72">
        <f t="shared" si="100"/>
        <v>-25.549305046526978</v>
      </c>
      <c r="AF173" s="70">
        <f t="shared" si="81"/>
        <v>0</v>
      </c>
      <c r="AG173" s="70">
        <f t="shared" si="82"/>
        <v>446.50879844476185</v>
      </c>
      <c r="AH173" s="1">
        <f t="shared" si="113"/>
        <v>0</v>
      </c>
      <c r="AI173" s="1">
        <f t="shared" si="113"/>
        <v>0</v>
      </c>
      <c r="AJ173" s="1">
        <f t="shared" si="113"/>
        <v>0</v>
      </c>
      <c r="AK173" s="1">
        <f t="shared" si="113"/>
        <v>0</v>
      </c>
      <c r="AL173" s="1">
        <f t="shared" si="113"/>
        <v>0</v>
      </c>
      <c r="AM173" s="1">
        <f t="shared" si="113"/>
        <v>1</v>
      </c>
      <c r="AN173" s="1">
        <f t="shared" si="113"/>
        <v>1</v>
      </c>
      <c r="AO173" s="1">
        <f t="shared" si="113"/>
        <v>1</v>
      </c>
      <c r="AP173" s="1">
        <f t="shared" si="113"/>
        <v>1</v>
      </c>
      <c r="AQ173" s="1">
        <f t="shared" si="113"/>
        <v>1</v>
      </c>
      <c r="AR173" s="1">
        <f t="shared" si="113"/>
        <v>1</v>
      </c>
      <c r="AS173" s="1">
        <f t="shared" si="113"/>
        <v>1</v>
      </c>
      <c r="AT173" s="39">
        <f t="shared" si="83"/>
        <v>122692.54525220722</v>
      </c>
      <c r="AU173" s="39">
        <f t="shared" si="101"/>
        <v>122692.54525220722</v>
      </c>
      <c r="AV173" s="39">
        <f t="shared" si="111"/>
        <v>0</v>
      </c>
      <c r="AW173" s="3">
        <f t="shared" si="84"/>
        <v>99</v>
      </c>
      <c r="AX173" s="69">
        <f t="shared" si="102"/>
        <v>0</v>
      </c>
      <c r="AY173" s="75">
        <f t="shared" si="85"/>
        <v>0</v>
      </c>
      <c r="AZ173" s="75">
        <f t="shared" si="86"/>
        <v>0</v>
      </c>
      <c r="BA173" s="75">
        <f t="shared" si="87"/>
        <v>0</v>
      </c>
      <c r="BB173" s="75">
        <f t="shared" si="88"/>
        <v>0</v>
      </c>
      <c r="BD173" s="214">
        <f t="shared" si="103"/>
        <v>135572.65205278221</v>
      </c>
      <c r="BE173" s="214">
        <f t="shared" si="89"/>
        <v>659.90673914457648</v>
      </c>
      <c r="BF173" s="214">
        <f t="shared" si="90"/>
        <v>-224.33090545436062</v>
      </c>
      <c r="BG173" s="224">
        <f t="shared" si="107"/>
        <v>0</v>
      </c>
      <c r="BH173" s="19">
        <f t="shared" si="104"/>
        <v>159338.60477368211</v>
      </c>
      <c r="BI173" s="214">
        <f t="shared" si="91"/>
        <v>775.58871574710884</v>
      </c>
      <c r="BJ173" s="214">
        <f t="shared" si="92"/>
        <v>0</v>
      </c>
      <c r="BK173" s="19">
        <f t="shared" si="108"/>
        <v>0</v>
      </c>
    </row>
    <row r="174" spans="1:63">
      <c r="A174" s="165">
        <f t="shared" si="93"/>
        <v>70.306125941136202</v>
      </c>
      <c r="B174" s="69">
        <f t="shared" si="94"/>
        <v>9</v>
      </c>
      <c r="C174" s="70">
        <f t="shared" si="95"/>
        <v>100</v>
      </c>
      <c r="D174" s="13">
        <f t="shared" si="64"/>
        <v>4.8675505653430484E-3</v>
      </c>
      <c r="E174" s="15">
        <f t="shared" si="65"/>
        <v>1</v>
      </c>
      <c r="F174" s="15">
        <f t="shared" si="96"/>
        <v>0</v>
      </c>
      <c r="G174" s="15">
        <f t="shared" si="66"/>
        <v>0</v>
      </c>
      <c r="H174" s="73">
        <f t="shared" si="67"/>
        <v>0</v>
      </c>
      <c r="I174" s="189"/>
      <c r="J174" s="189"/>
      <c r="K174" s="5">
        <f t="shared" si="109"/>
        <v>122692.54525220722</v>
      </c>
      <c r="M174" s="5">
        <f t="shared" si="68"/>
        <v>597.21216800575883</v>
      </c>
      <c r="N174" s="5">
        <f t="shared" si="69"/>
        <v>-203.01830311774091</v>
      </c>
      <c r="O174" s="5">
        <f t="shared" si="70"/>
        <v>0</v>
      </c>
      <c r="P174" s="5">
        <f t="shared" si="71"/>
        <v>0</v>
      </c>
      <c r="Q174" s="5">
        <f t="shared" si="105"/>
        <v>0</v>
      </c>
      <c r="R174" s="5">
        <f t="shared" si="97"/>
        <v>0</v>
      </c>
      <c r="S174" s="5">
        <f t="shared" si="72"/>
        <v>0</v>
      </c>
      <c r="T174" s="5">
        <f t="shared" si="73"/>
        <v>0</v>
      </c>
      <c r="U174" s="74">
        <f t="shared" si="74"/>
        <v>0</v>
      </c>
      <c r="V174" s="75">
        <f t="shared" si="75"/>
        <v>0</v>
      </c>
      <c r="W174" s="5">
        <f t="shared" si="76"/>
        <v>0</v>
      </c>
      <c r="X174" s="5">
        <f t="shared" si="77"/>
        <v>123086.73911709523</v>
      </c>
      <c r="Y174" s="5">
        <f t="shared" si="98"/>
        <v>100000</v>
      </c>
      <c r="Z174" s="215">
        <f t="shared" si="78"/>
        <v>1</v>
      </c>
      <c r="AA174" s="216">
        <f t="shared" si="99"/>
        <v>0</v>
      </c>
      <c r="AB174" s="72">
        <f t="shared" si="106"/>
        <v>13188.158705474159</v>
      </c>
      <c r="AC174" s="72">
        <f t="shared" si="79"/>
        <v>0</v>
      </c>
      <c r="AD174" s="72">
        <f t="shared" si="80"/>
        <v>0</v>
      </c>
      <c r="AE174" s="72">
        <f t="shared" si="100"/>
        <v>-25.631391364654871</v>
      </c>
      <c r="AF174" s="70">
        <f t="shared" si="81"/>
        <v>0</v>
      </c>
      <c r="AG174" s="70">
        <f t="shared" si="82"/>
        <v>596.30246710220672</v>
      </c>
      <c r="AH174" s="1">
        <f t="shared" si="113"/>
        <v>0</v>
      </c>
      <c r="AI174" s="1">
        <f t="shared" si="113"/>
        <v>0</v>
      </c>
      <c r="AJ174" s="1">
        <f t="shared" si="113"/>
        <v>0</v>
      </c>
      <c r="AK174" s="1">
        <f t="shared" si="113"/>
        <v>0</v>
      </c>
      <c r="AL174" s="1">
        <f t="shared" si="113"/>
        <v>0</v>
      </c>
      <c r="AM174" s="1">
        <f t="shared" si="113"/>
        <v>1</v>
      </c>
      <c r="AN174" s="1">
        <f t="shared" si="113"/>
        <v>1</v>
      </c>
      <c r="AO174" s="1">
        <f t="shared" si="113"/>
        <v>1</v>
      </c>
      <c r="AP174" s="1">
        <f t="shared" si="113"/>
        <v>1</v>
      </c>
      <c r="AQ174" s="1">
        <f t="shared" si="113"/>
        <v>1</v>
      </c>
      <c r="AR174" s="1">
        <f t="shared" si="113"/>
        <v>1</v>
      </c>
      <c r="AS174" s="1">
        <f t="shared" si="113"/>
        <v>1</v>
      </c>
      <c r="AT174" s="39">
        <f t="shared" si="83"/>
        <v>123086.73911709523</v>
      </c>
      <c r="AU174" s="39">
        <f t="shared" si="101"/>
        <v>123086.73911709523</v>
      </c>
      <c r="AV174" s="39">
        <f t="shared" si="111"/>
        <v>0</v>
      </c>
      <c r="AW174" s="3">
        <f t="shared" si="84"/>
        <v>100</v>
      </c>
      <c r="AX174" s="69">
        <f t="shared" si="102"/>
        <v>0</v>
      </c>
      <c r="AY174" s="75">
        <f t="shared" si="85"/>
        <v>0</v>
      </c>
      <c r="AZ174" s="75">
        <f t="shared" si="86"/>
        <v>0</v>
      </c>
      <c r="BA174" s="75">
        <f t="shared" si="87"/>
        <v>0</v>
      </c>
      <c r="BB174" s="75">
        <f t="shared" si="88"/>
        <v>0</v>
      </c>
      <c r="BD174" s="214">
        <f t="shared" si="103"/>
        <v>136008.22788647245</v>
      </c>
      <c r="BE174" s="214">
        <f t="shared" si="89"/>
        <v>662.02692654010514</v>
      </c>
      <c r="BF174" s="214">
        <f t="shared" si="90"/>
        <v>-225.05164905335528</v>
      </c>
      <c r="BG174" s="224">
        <f t="shared" si="107"/>
        <v>0</v>
      </c>
      <c r="BH174" s="19">
        <f t="shared" si="104"/>
        <v>160114.19348942922</v>
      </c>
      <c r="BI174" s="214">
        <f t="shared" si="91"/>
        <v>779.36393303891748</v>
      </c>
      <c r="BJ174" s="214">
        <f t="shared" si="92"/>
        <v>0</v>
      </c>
      <c r="BK174" s="19">
        <f t="shared" si="108"/>
        <v>0</v>
      </c>
    </row>
    <row r="175" spans="1:63">
      <c r="A175" s="165">
        <f t="shared" si="93"/>
        <v>70.389459274469544</v>
      </c>
      <c r="B175" s="69">
        <f t="shared" si="94"/>
        <v>9</v>
      </c>
      <c r="C175" s="70">
        <f t="shared" si="95"/>
        <v>101</v>
      </c>
      <c r="D175" s="13">
        <f t="shared" si="64"/>
        <v>4.8675505653430484E-3</v>
      </c>
      <c r="E175" s="15">
        <f t="shared" si="65"/>
        <v>1</v>
      </c>
      <c r="F175" s="15">
        <f t="shared" si="96"/>
        <v>0</v>
      </c>
      <c r="G175" s="15">
        <f t="shared" si="66"/>
        <v>0</v>
      </c>
      <c r="H175" s="73">
        <f t="shared" si="67"/>
        <v>0</v>
      </c>
      <c r="I175" s="189"/>
      <c r="J175" s="189"/>
      <c r="K175" s="5">
        <f t="shared" si="109"/>
        <v>123086.73911709523</v>
      </c>
      <c r="M175" s="5">
        <f t="shared" si="68"/>
        <v>599.13092657564926</v>
      </c>
      <c r="N175" s="5">
        <f t="shared" si="69"/>
        <v>-203.67057232761411</v>
      </c>
      <c r="O175" s="5">
        <f t="shared" si="70"/>
        <v>0</v>
      </c>
      <c r="P175" s="5">
        <f t="shared" si="71"/>
        <v>0</v>
      </c>
      <c r="Q175" s="5">
        <f t="shared" si="105"/>
        <v>0</v>
      </c>
      <c r="R175" s="5">
        <f t="shared" si="97"/>
        <v>0</v>
      </c>
      <c r="S175" s="5">
        <f t="shared" si="72"/>
        <v>0</v>
      </c>
      <c r="T175" s="5">
        <f t="shared" si="73"/>
        <v>0</v>
      </c>
      <c r="U175" s="74">
        <f t="shared" si="74"/>
        <v>0</v>
      </c>
      <c r="V175" s="75">
        <f t="shared" si="75"/>
        <v>0</v>
      </c>
      <c r="W175" s="5">
        <f t="shared" si="76"/>
        <v>0</v>
      </c>
      <c r="X175" s="5">
        <f t="shared" si="77"/>
        <v>123482.19947134327</v>
      </c>
      <c r="Y175" s="5">
        <f t="shared" si="98"/>
        <v>100000</v>
      </c>
      <c r="Z175" s="215">
        <f t="shared" si="78"/>
        <v>1</v>
      </c>
      <c r="AA175" s="216">
        <f t="shared" si="99"/>
        <v>0</v>
      </c>
      <c r="AB175" s="72">
        <f t="shared" si="106"/>
        <v>13188.158705474159</v>
      </c>
      <c r="AC175" s="72">
        <f t="shared" si="79"/>
        <v>0</v>
      </c>
      <c r="AD175" s="72">
        <f t="shared" si="80"/>
        <v>0</v>
      </c>
      <c r="AE175" s="72">
        <f t="shared" si="100"/>
        <v>-25.71374141455987</v>
      </c>
      <c r="AF175" s="70">
        <f t="shared" si="81"/>
        <v>0</v>
      </c>
      <c r="AG175" s="70">
        <f t="shared" si="82"/>
        <v>746.57740171646037</v>
      </c>
      <c r="AH175" s="1">
        <f t="shared" ref="AH175:AS184" si="114">IF($B175&lt;=AH$74,1,0)</f>
        <v>0</v>
      </c>
      <c r="AI175" s="1">
        <f t="shared" si="114"/>
        <v>0</v>
      </c>
      <c r="AJ175" s="1">
        <f t="shared" si="114"/>
        <v>0</v>
      </c>
      <c r="AK175" s="1">
        <f t="shared" si="114"/>
        <v>0</v>
      </c>
      <c r="AL175" s="1">
        <f t="shared" si="114"/>
        <v>0</v>
      </c>
      <c r="AM175" s="1">
        <f t="shared" si="114"/>
        <v>1</v>
      </c>
      <c r="AN175" s="1">
        <f t="shared" si="114"/>
        <v>1</v>
      </c>
      <c r="AO175" s="1">
        <f t="shared" si="114"/>
        <v>1</v>
      </c>
      <c r="AP175" s="1">
        <f t="shared" si="114"/>
        <v>1</v>
      </c>
      <c r="AQ175" s="1">
        <f t="shared" si="114"/>
        <v>1</v>
      </c>
      <c r="AR175" s="1">
        <f t="shared" si="114"/>
        <v>1</v>
      </c>
      <c r="AS175" s="1">
        <f t="shared" si="114"/>
        <v>1</v>
      </c>
      <c r="AT175" s="39">
        <f t="shared" si="83"/>
        <v>123482.19947134327</v>
      </c>
      <c r="AU175" s="39">
        <f t="shared" si="101"/>
        <v>123482.19947134327</v>
      </c>
      <c r="AV175" s="39">
        <f t="shared" si="111"/>
        <v>0</v>
      </c>
      <c r="AW175" s="3">
        <f t="shared" si="84"/>
        <v>101</v>
      </c>
      <c r="AX175" s="69">
        <f t="shared" si="102"/>
        <v>0</v>
      </c>
      <c r="AY175" s="75">
        <f t="shared" si="85"/>
        <v>0</v>
      </c>
      <c r="AZ175" s="75">
        <f t="shared" si="86"/>
        <v>0</v>
      </c>
      <c r="BA175" s="75">
        <f t="shared" si="87"/>
        <v>0</v>
      </c>
      <c r="BB175" s="75">
        <f t="shared" si="88"/>
        <v>0</v>
      </c>
      <c r="BD175" s="214">
        <f t="shared" si="103"/>
        <v>136445.2031639592</v>
      </c>
      <c r="BE175" s="214">
        <f t="shared" si="89"/>
        <v>664.15392579907666</v>
      </c>
      <c r="BF175" s="214">
        <f t="shared" si="90"/>
        <v>-225.77470830000632</v>
      </c>
      <c r="BG175" s="224">
        <f t="shared" si="107"/>
        <v>0</v>
      </c>
      <c r="BH175" s="19">
        <f t="shared" si="104"/>
        <v>160893.55742246815</v>
      </c>
      <c r="BI175" s="214">
        <f t="shared" si="91"/>
        <v>783.15752639178902</v>
      </c>
      <c r="BJ175" s="214">
        <f t="shared" si="92"/>
        <v>0</v>
      </c>
      <c r="BK175" s="19">
        <f t="shared" si="108"/>
        <v>0</v>
      </c>
    </row>
    <row r="176" spans="1:63">
      <c r="A176" s="165">
        <f t="shared" si="93"/>
        <v>70.472792607802873</v>
      </c>
      <c r="B176" s="69">
        <f t="shared" si="94"/>
        <v>9</v>
      </c>
      <c r="C176" s="70">
        <f t="shared" si="95"/>
        <v>102</v>
      </c>
      <c r="D176" s="13">
        <f t="shared" si="64"/>
        <v>4.8675505653430484E-3</v>
      </c>
      <c r="E176" s="15">
        <f t="shared" si="65"/>
        <v>1</v>
      </c>
      <c r="F176" s="15">
        <f t="shared" si="96"/>
        <v>0</v>
      </c>
      <c r="G176" s="15">
        <f t="shared" si="66"/>
        <v>0</v>
      </c>
      <c r="H176" s="73">
        <f t="shared" si="67"/>
        <v>0</v>
      </c>
      <c r="I176" s="189"/>
      <c r="J176" s="189"/>
      <c r="K176" s="5">
        <f t="shared" si="109"/>
        <v>123482.19947134327</v>
      </c>
      <c r="M176" s="5">
        <f t="shared" si="68"/>
        <v>601.05584984654001</v>
      </c>
      <c r="N176" s="5">
        <f t="shared" si="69"/>
        <v>-204.32493718657713</v>
      </c>
      <c r="O176" s="5">
        <f t="shared" si="70"/>
        <v>0</v>
      </c>
      <c r="P176" s="5">
        <f t="shared" si="71"/>
        <v>0</v>
      </c>
      <c r="Q176" s="5">
        <f t="shared" si="105"/>
        <v>0</v>
      </c>
      <c r="R176" s="5">
        <f t="shared" si="97"/>
        <v>0</v>
      </c>
      <c r="S176" s="5">
        <f t="shared" si="72"/>
        <v>0</v>
      </c>
      <c r="T176" s="5">
        <f t="shared" si="73"/>
        <v>0</v>
      </c>
      <c r="U176" s="74">
        <f t="shared" si="74"/>
        <v>0</v>
      </c>
      <c r="V176" s="75">
        <f t="shared" si="75"/>
        <v>0</v>
      </c>
      <c r="W176" s="5">
        <f t="shared" si="76"/>
        <v>0</v>
      </c>
      <c r="X176" s="5">
        <f t="shared" si="77"/>
        <v>123878.93038400322</v>
      </c>
      <c r="Y176" s="5">
        <f t="shared" si="98"/>
        <v>100000</v>
      </c>
      <c r="Z176" s="215">
        <f t="shared" si="78"/>
        <v>1</v>
      </c>
      <c r="AA176" s="216">
        <f t="shared" si="99"/>
        <v>0</v>
      </c>
      <c r="AB176" s="72">
        <f t="shared" si="106"/>
        <v>13188.158705474159</v>
      </c>
      <c r="AC176" s="72">
        <f t="shared" si="79"/>
        <v>0</v>
      </c>
      <c r="AD176" s="72">
        <f t="shared" si="80"/>
        <v>0</v>
      </c>
      <c r="AE176" s="72">
        <f t="shared" si="100"/>
        <v>-25.796356043575027</v>
      </c>
      <c r="AF176" s="70">
        <f t="shared" si="81"/>
        <v>0</v>
      </c>
      <c r="AG176" s="70">
        <f t="shared" si="82"/>
        <v>897.33514852724329</v>
      </c>
      <c r="AH176" s="1">
        <f t="shared" si="114"/>
        <v>0</v>
      </c>
      <c r="AI176" s="1">
        <f t="shared" si="114"/>
        <v>0</v>
      </c>
      <c r="AJ176" s="1">
        <f t="shared" si="114"/>
        <v>0</v>
      </c>
      <c r="AK176" s="1">
        <f t="shared" si="114"/>
        <v>0</v>
      </c>
      <c r="AL176" s="1">
        <f t="shared" si="114"/>
        <v>0</v>
      </c>
      <c r="AM176" s="1">
        <f t="shared" si="114"/>
        <v>1</v>
      </c>
      <c r="AN176" s="1">
        <f t="shared" si="114"/>
        <v>1</v>
      </c>
      <c r="AO176" s="1">
        <f t="shared" si="114"/>
        <v>1</v>
      </c>
      <c r="AP176" s="1">
        <f t="shared" si="114"/>
        <v>1</v>
      </c>
      <c r="AQ176" s="1">
        <f t="shared" si="114"/>
        <v>1</v>
      </c>
      <c r="AR176" s="1">
        <f t="shared" si="114"/>
        <v>1</v>
      </c>
      <c r="AS176" s="1">
        <f t="shared" si="114"/>
        <v>1</v>
      </c>
      <c r="AT176" s="39">
        <f t="shared" si="83"/>
        <v>123878.93038400322</v>
      </c>
      <c r="AU176" s="39">
        <f t="shared" si="101"/>
        <v>123878.93038400322</v>
      </c>
      <c r="AV176" s="39">
        <f t="shared" si="111"/>
        <v>0</v>
      </c>
      <c r="AW176" s="3">
        <f t="shared" si="84"/>
        <v>102</v>
      </c>
      <c r="AX176" s="69">
        <f t="shared" si="102"/>
        <v>0</v>
      </c>
      <c r="AY176" s="75">
        <f t="shared" si="85"/>
        <v>0</v>
      </c>
      <c r="AZ176" s="75">
        <f t="shared" si="86"/>
        <v>0</v>
      </c>
      <c r="BA176" s="75">
        <f t="shared" si="87"/>
        <v>0</v>
      </c>
      <c r="BB176" s="75">
        <f t="shared" si="88"/>
        <v>0</v>
      </c>
      <c r="BD176" s="214">
        <f t="shared" si="103"/>
        <v>136883.58238145825</v>
      </c>
      <c r="BE176" s="214">
        <f t="shared" si="89"/>
        <v>666.28775880704882</v>
      </c>
      <c r="BF176" s="214">
        <f t="shared" si="90"/>
        <v>-226.5000906341636</v>
      </c>
      <c r="BG176" s="224">
        <f t="shared" si="107"/>
        <v>0</v>
      </c>
      <c r="BH176" s="19">
        <f t="shared" si="104"/>
        <v>161676.71494885994</v>
      </c>
      <c r="BI176" s="214">
        <f t="shared" si="91"/>
        <v>786.96958525213006</v>
      </c>
      <c r="BJ176" s="214">
        <f t="shared" si="92"/>
        <v>0</v>
      </c>
      <c r="BK176" s="19">
        <f t="shared" si="108"/>
        <v>0</v>
      </c>
    </row>
    <row r="177" spans="1:63">
      <c r="A177" s="165">
        <f t="shared" si="93"/>
        <v>70.556125941136202</v>
      </c>
      <c r="B177" s="69">
        <f t="shared" si="94"/>
        <v>9</v>
      </c>
      <c r="C177" s="70">
        <f t="shared" si="95"/>
        <v>103</v>
      </c>
      <c r="D177" s="13">
        <f t="shared" si="64"/>
        <v>4.8675505653430484E-3</v>
      </c>
      <c r="E177" s="15">
        <f t="shared" si="65"/>
        <v>1</v>
      </c>
      <c r="F177" s="15">
        <f t="shared" si="96"/>
        <v>0</v>
      </c>
      <c r="G177" s="15">
        <f t="shared" si="66"/>
        <v>0</v>
      </c>
      <c r="H177" s="73">
        <f t="shared" si="67"/>
        <v>0</v>
      </c>
      <c r="I177" s="189"/>
      <c r="J177" s="189"/>
      <c r="K177" s="5">
        <f t="shared" si="109"/>
        <v>123878.93038400322</v>
      </c>
      <c r="M177" s="5">
        <f t="shared" si="68"/>
        <v>602.98695762474699</v>
      </c>
      <c r="N177" s="5">
        <f t="shared" si="69"/>
        <v>-204.98140442765535</v>
      </c>
      <c r="O177" s="5">
        <f t="shared" si="70"/>
        <v>0</v>
      </c>
      <c r="P177" s="5">
        <f t="shared" si="71"/>
        <v>0</v>
      </c>
      <c r="Q177" s="5">
        <f t="shared" si="105"/>
        <v>0</v>
      </c>
      <c r="R177" s="5">
        <f t="shared" si="97"/>
        <v>0</v>
      </c>
      <c r="S177" s="5">
        <f t="shared" si="72"/>
        <v>0</v>
      </c>
      <c r="T177" s="5">
        <f t="shared" si="73"/>
        <v>0</v>
      </c>
      <c r="U177" s="74">
        <f t="shared" si="74"/>
        <v>0</v>
      </c>
      <c r="V177" s="75">
        <f t="shared" si="75"/>
        <v>0</v>
      </c>
      <c r="W177" s="5">
        <f t="shared" si="76"/>
        <v>0</v>
      </c>
      <c r="X177" s="5">
        <f t="shared" si="77"/>
        <v>124276.93593720031</v>
      </c>
      <c r="Y177" s="5">
        <f t="shared" si="98"/>
        <v>100000</v>
      </c>
      <c r="Z177" s="215">
        <f t="shared" si="78"/>
        <v>1</v>
      </c>
      <c r="AA177" s="216">
        <f t="shared" si="99"/>
        <v>0</v>
      </c>
      <c r="AB177" s="72">
        <f t="shared" si="106"/>
        <v>13188.158705474159</v>
      </c>
      <c r="AC177" s="72">
        <f t="shared" si="79"/>
        <v>0</v>
      </c>
      <c r="AD177" s="72">
        <f t="shared" si="80"/>
        <v>0</v>
      </c>
      <c r="AE177" s="72">
        <f t="shared" si="100"/>
        <v>-25.879236101755755</v>
      </c>
      <c r="AF177" s="70">
        <f t="shared" si="81"/>
        <v>0</v>
      </c>
      <c r="AG177" s="70">
        <f t="shared" si="82"/>
        <v>1048.5772587421361</v>
      </c>
      <c r="AH177" s="1">
        <f t="shared" si="114"/>
        <v>0</v>
      </c>
      <c r="AI177" s="1">
        <f t="shared" si="114"/>
        <v>0</v>
      </c>
      <c r="AJ177" s="1">
        <f t="shared" si="114"/>
        <v>0</v>
      </c>
      <c r="AK177" s="1">
        <f t="shared" si="114"/>
        <v>0</v>
      </c>
      <c r="AL177" s="1">
        <f t="shared" si="114"/>
        <v>0</v>
      </c>
      <c r="AM177" s="1">
        <f t="shared" si="114"/>
        <v>1</v>
      </c>
      <c r="AN177" s="1">
        <f t="shared" si="114"/>
        <v>1</v>
      </c>
      <c r="AO177" s="1">
        <f t="shared" si="114"/>
        <v>1</v>
      </c>
      <c r="AP177" s="1">
        <f t="shared" si="114"/>
        <v>1</v>
      </c>
      <c r="AQ177" s="1">
        <f t="shared" si="114"/>
        <v>1</v>
      </c>
      <c r="AR177" s="1">
        <f t="shared" si="114"/>
        <v>1</v>
      </c>
      <c r="AS177" s="1">
        <f t="shared" si="114"/>
        <v>1</v>
      </c>
      <c r="AT177" s="39">
        <f t="shared" si="83"/>
        <v>124276.93593720031</v>
      </c>
      <c r="AU177" s="39">
        <f t="shared" si="101"/>
        <v>124276.93593720031</v>
      </c>
      <c r="AV177" s="39">
        <f t="shared" si="111"/>
        <v>0</v>
      </c>
      <c r="AW177" s="3">
        <f t="shared" si="84"/>
        <v>103</v>
      </c>
      <c r="AX177" s="69">
        <f t="shared" si="102"/>
        <v>0</v>
      </c>
      <c r="AY177" s="75">
        <f t="shared" si="85"/>
        <v>0</v>
      </c>
      <c r="AZ177" s="75">
        <f t="shared" si="86"/>
        <v>0</v>
      </c>
      <c r="BA177" s="75">
        <f t="shared" si="87"/>
        <v>0</v>
      </c>
      <c r="BB177" s="75">
        <f t="shared" si="88"/>
        <v>0</v>
      </c>
      <c r="BD177" s="214">
        <f t="shared" si="103"/>
        <v>137323.37004963114</v>
      </c>
      <c r="BE177" s="214">
        <f t="shared" si="89"/>
        <v>668.42844751989469</v>
      </c>
      <c r="BF177" s="214">
        <f t="shared" si="90"/>
        <v>-227.22780351957999</v>
      </c>
      <c r="BG177" s="224">
        <f t="shared" si="107"/>
        <v>0</v>
      </c>
      <c r="BH177" s="19">
        <f t="shared" si="104"/>
        <v>162463.68453411208</v>
      </c>
      <c r="BI177" s="214">
        <f t="shared" si="91"/>
        <v>790.80019950173187</v>
      </c>
      <c r="BJ177" s="214">
        <f t="shared" si="92"/>
        <v>0</v>
      </c>
      <c r="BK177" s="19">
        <f t="shared" si="108"/>
        <v>0</v>
      </c>
    </row>
    <row r="178" spans="1:63">
      <c r="A178" s="165">
        <f t="shared" si="93"/>
        <v>70.639459274469544</v>
      </c>
      <c r="B178" s="69">
        <f t="shared" si="94"/>
        <v>9</v>
      </c>
      <c r="C178" s="70">
        <f t="shared" si="95"/>
        <v>104</v>
      </c>
      <c r="D178" s="13">
        <f t="shared" si="64"/>
        <v>4.8675505653430484E-3</v>
      </c>
      <c r="E178" s="15">
        <f t="shared" si="65"/>
        <v>1</v>
      </c>
      <c r="F178" s="15">
        <f t="shared" si="96"/>
        <v>0</v>
      </c>
      <c r="G178" s="15">
        <f t="shared" si="66"/>
        <v>0</v>
      </c>
      <c r="H178" s="73">
        <f t="shared" si="67"/>
        <v>0</v>
      </c>
      <c r="I178" s="189"/>
      <c r="J178" s="189"/>
      <c r="K178" s="5">
        <f t="shared" si="109"/>
        <v>124276.93593720031</v>
      </c>
      <c r="M178" s="5">
        <f t="shared" si="68"/>
        <v>604.92426978022115</v>
      </c>
      <c r="N178" s="5">
        <f t="shared" si="69"/>
        <v>-205.63998080550627</v>
      </c>
      <c r="O178" s="5">
        <f t="shared" si="70"/>
        <v>0</v>
      </c>
      <c r="P178" s="5">
        <f t="shared" si="71"/>
        <v>0</v>
      </c>
      <c r="Q178" s="5">
        <f t="shared" si="105"/>
        <v>0</v>
      </c>
      <c r="R178" s="5">
        <f t="shared" si="97"/>
        <v>0</v>
      </c>
      <c r="S178" s="5">
        <f t="shared" si="72"/>
        <v>0</v>
      </c>
      <c r="T178" s="5">
        <f t="shared" si="73"/>
        <v>0</v>
      </c>
      <c r="U178" s="74">
        <f t="shared" si="74"/>
        <v>0</v>
      </c>
      <c r="V178" s="75">
        <f t="shared" si="75"/>
        <v>0</v>
      </c>
      <c r="W178" s="5">
        <f t="shared" si="76"/>
        <v>0</v>
      </c>
      <c r="X178" s="5">
        <f t="shared" si="77"/>
        <v>124676.22022617504</v>
      </c>
      <c r="Y178" s="5">
        <f t="shared" si="98"/>
        <v>100000</v>
      </c>
      <c r="Z178" s="215">
        <f t="shared" si="78"/>
        <v>1</v>
      </c>
      <c r="AA178" s="216">
        <f t="shared" si="99"/>
        <v>0</v>
      </c>
      <c r="AB178" s="72">
        <f t="shared" si="106"/>
        <v>13188.158705474159</v>
      </c>
      <c r="AC178" s="72">
        <f t="shared" si="79"/>
        <v>0</v>
      </c>
      <c r="AD178" s="72">
        <f t="shared" si="80"/>
        <v>0</v>
      </c>
      <c r="AE178" s="72">
        <f t="shared" si="100"/>
        <v>-25.962382441888561</v>
      </c>
      <c r="AF178" s="70">
        <f t="shared" si="81"/>
        <v>0</v>
      </c>
      <c r="AG178" s="70">
        <f t="shared" si="82"/>
        <v>1200.3052885525376</v>
      </c>
      <c r="AH178" s="1">
        <f t="shared" si="114"/>
        <v>0</v>
      </c>
      <c r="AI178" s="1">
        <f t="shared" si="114"/>
        <v>0</v>
      </c>
      <c r="AJ178" s="1">
        <f t="shared" si="114"/>
        <v>0</v>
      </c>
      <c r="AK178" s="1">
        <f t="shared" si="114"/>
        <v>0</v>
      </c>
      <c r="AL178" s="1">
        <f t="shared" si="114"/>
        <v>0</v>
      </c>
      <c r="AM178" s="1">
        <f t="shared" si="114"/>
        <v>1</v>
      </c>
      <c r="AN178" s="1">
        <f t="shared" si="114"/>
        <v>1</v>
      </c>
      <c r="AO178" s="1">
        <f t="shared" si="114"/>
        <v>1</v>
      </c>
      <c r="AP178" s="1">
        <f t="shared" si="114"/>
        <v>1</v>
      </c>
      <c r="AQ178" s="1">
        <f t="shared" si="114"/>
        <v>1</v>
      </c>
      <c r="AR178" s="1">
        <f t="shared" si="114"/>
        <v>1</v>
      </c>
      <c r="AS178" s="1">
        <f t="shared" si="114"/>
        <v>1</v>
      </c>
      <c r="AT178" s="39">
        <f t="shared" si="83"/>
        <v>124676.22022617504</v>
      </c>
      <c r="AU178" s="39">
        <f t="shared" si="101"/>
        <v>124676.22022617504</v>
      </c>
      <c r="AV178" s="39">
        <f t="shared" si="111"/>
        <v>0</v>
      </c>
      <c r="AW178" s="3">
        <f t="shared" si="84"/>
        <v>104</v>
      </c>
      <c r="AX178" s="69">
        <f t="shared" si="102"/>
        <v>0</v>
      </c>
      <c r="AY178" s="75">
        <f t="shared" si="85"/>
        <v>0</v>
      </c>
      <c r="AZ178" s="75">
        <f t="shared" si="86"/>
        <v>0</v>
      </c>
      <c r="BA178" s="75">
        <f t="shared" si="87"/>
        <v>0</v>
      </c>
      <c r="BB178" s="75">
        <f t="shared" si="88"/>
        <v>0</v>
      </c>
      <c r="BD178" s="214">
        <f t="shared" si="103"/>
        <v>137764.57069363145</v>
      </c>
      <c r="BE178" s="214">
        <f t="shared" si="89"/>
        <v>670.57601396402811</v>
      </c>
      <c r="BF178" s="214">
        <f t="shared" si="90"/>
        <v>-227.95785444398842</v>
      </c>
      <c r="BG178" s="224">
        <f t="shared" si="107"/>
        <v>0</v>
      </c>
      <c r="BH178" s="19">
        <f t="shared" si="104"/>
        <v>163254.48473361382</v>
      </c>
      <c r="BI178" s="214">
        <f t="shared" si="91"/>
        <v>794.64945945989007</v>
      </c>
      <c r="BJ178" s="214">
        <f t="shared" si="92"/>
        <v>0</v>
      </c>
      <c r="BK178" s="19">
        <f t="shared" si="108"/>
        <v>0</v>
      </c>
    </row>
    <row r="179" spans="1:63">
      <c r="A179" s="165">
        <f t="shared" si="93"/>
        <v>70.722792607802873</v>
      </c>
      <c r="B179" s="69">
        <f t="shared" si="94"/>
        <v>9</v>
      </c>
      <c r="C179" s="70">
        <f t="shared" si="95"/>
        <v>105</v>
      </c>
      <c r="D179" s="13">
        <f t="shared" si="64"/>
        <v>4.8675505653430484E-3</v>
      </c>
      <c r="E179" s="15">
        <f t="shared" si="65"/>
        <v>1</v>
      </c>
      <c r="F179" s="15">
        <f t="shared" si="96"/>
        <v>0</v>
      </c>
      <c r="G179" s="15">
        <f t="shared" si="66"/>
        <v>0</v>
      </c>
      <c r="H179" s="73">
        <f t="shared" si="67"/>
        <v>0</v>
      </c>
      <c r="I179" s="189"/>
      <c r="J179" s="189"/>
      <c r="K179" s="5">
        <f t="shared" si="109"/>
        <v>124676.22022617504</v>
      </c>
      <c r="M179" s="5">
        <f t="shared" si="68"/>
        <v>606.86780624675271</v>
      </c>
      <c r="N179" s="5">
        <f t="shared" si="69"/>
        <v>-206.30067309648933</v>
      </c>
      <c r="O179" s="5">
        <f t="shared" si="70"/>
        <v>0</v>
      </c>
      <c r="P179" s="5">
        <f t="shared" si="71"/>
        <v>0</v>
      </c>
      <c r="Q179" s="5">
        <f t="shared" si="105"/>
        <v>0</v>
      </c>
      <c r="R179" s="5">
        <f t="shared" si="97"/>
        <v>0</v>
      </c>
      <c r="S179" s="5">
        <f t="shared" si="72"/>
        <v>0</v>
      </c>
      <c r="T179" s="5">
        <f t="shared" si="73"/>
        <v>0</v>
      </c>
      <c r="U179" s="74">
        <f t="shared" si="74"/>
        <v>0</v>
      </c>
      <c r="V179" s="75">
        <f t="shared" si="75"/>
        <v>0</v>
      </c>
      <c r="W179" s="5">
        <f t="shared" si="76"/>
        <v>0</v>
      </c>
      <c r="X179" s="5">
        <f t="shared" si="77"/>
        <v>125076.7873593253</v>
      </c>
      <c r="Y179" s="5">
        <f t="shared" si="98"/>
        <v>100000</v>
      </c>
      <c r="Z179" s="215">
        <f t="shared" si="78"/>
        <v>1</v>
      </c>
      <c r="AA179" s="216">
        <f t="shared" si="99"/>
        <v>0</v>
      </c>
      <c r="AB179" s="72">
        <f t="shared" si="106"/>
        <v>13188.158705474159</v>
      </c>
      <c r="AC179" s="72">
        <f t="shared" si="79"/>
        <v>0</v>
      </c>
      <c r="AD179" s="72">
        <f t="shared" si="80"/>
        <v>0</v>
      </c>
      <c r="AE179" s="72">
        <f t="shared" si="100"/>
        <v>-26.04579591949987</v>
      </c>
      <c r="AF179" s="70">
        <f t="shared" si="81"/>
        <v>0</v>
      </c>
      <c r="AG179" s="70">
        <f t="shared" si="82"/>
        <v>1352.5207991496391</v>
      </c>
      <c r="AH179" s="1">
        <f t="shared" si="114"/>
        <v>0</v>
      </c>
      <c r="AI179" s="1">
        <f t="shared" si="114"/>
        <v>0</v>
      </c>
      <c r="AJ179" s="1">
        <f t="shared" si="114"/>
        <v>0</v>
      </c>
      <c r="AK179" s="1">
        <f t="shared" si="114"/>
        <v>0</v>
      </c>
      <c r="AL179" s="1">
        <f t="shared" si="114"/>
        <v>0</v>
      </c>
      <c r="AM179" s="1">
        <f t="shared" si="114"/>
        <v>1</v>
      </c>
      <c r="AN179" s="1">
        <f t="shared" si="114"/>
        <v>1</v>
      </c>
      <c r="AO179" s="1">
        <f t="shared" si="114"/>
        <v>1</v>
      </c>
      <c r="AP179" s="1">
        <f t="shared" si="114"/>
        <v>1</v>
      </c>
      <c r="AQ179" s="1">
        <f t="shared" si="114"/>
        <v>1</v>
      </c>
      <c r="AR179" s="1">
        <f t="shared" si="114"/>
        <v>1</v>
      </c>
      <c r="AS179" s="1">
        <f t="shared" si="114"/>
        <v>1</v>
      </c>
      <c r="AT179" s="39">
        <f t="shared" si="83"/>
        <v>125076.7873593253</v>
      </c>
      <c r="AU179" s="39">
        <f t="shared" si="101"/>
        <v>125076.7873593253</v>
      </c>
      <c r="AV179" s="39">
        <f t="shared" si="111"/>
        <v>0</v>
      </c>
      <c r="AW179" s="3">
        <f t="shared" si="84"/>
        <v>105</v>
      </c>
      <c r="AX179" s="69">
        <f t="shared" si="102"/>
        <v>0</v>
      </c>
      <c r="AY179" s="75">
        <f t="shared" si="85"/>
        <v>0</v>
      </c>
      <c r="AZ179" s="75">
        <f t="shared" si="86"/>
        <v>0</v>
      </c>
      <c r="BA179" s="75">
        <f t="shared" si="87"/>
        <v>0</v>
      </c>
      <c r="BB179" s="75">
        <f t="shared" si="88"/>
        <v>0</v>
      </c>
      <c r="BD179" s="214">
        <f t="shared" si="103"/>
        <v>138207.18885315149</v>
      </c>
      <c r="BE179" s="214">
        <f t="shared" si="89"/>
        <v>672.73048023663102</v>
      </c>
      <c r="BF179" s="214">
        <f t="shared" si="90"/>
        <v>-228.69025091917882</v>
      </c>
      <c r="BG179" s="224">
        <f t="shared" si="107"/>
        <v>0</v>
      </c>
      <c r="BH179" s="19">
        <f t="shared" si="104"/>
        <v>164049.1341930737</v>
      </c>
      <c r="BI179" s="214">
        <f t="shared" si="91"/>
        <v>798.51745588553354</v>
      </c>
      <c r="BJ179" s="214">
        <f t="shared" si="92"/>
        <v>0</v>
      </c>
      <c r="BK179" s="19">
        <f t="shared" si="108"/>
        <v>0</v>
      </c>
    </row>
    <row r="180" spans="1:63">
      <c r="A180" s="165">
        <f t="shared" si="93"/>
        <v>70.806125941136202</v>
      </c>
      <c r="B180" s="69">
        <f t="shared" si="94"/>
        <v>9</v>
      </c>
      <c r="C180" s="70">
        <f t="shared" si="95"/>
        <v>106</v>
      </c>
      <c r="D180" s="13">
        <f t="shared" si="64"/>
        <v>4.8675505653430484E-3</v>
      </c>
      <c r="E180" s="15">
        <f t="shared" si="65"/>
        <v>1</v>
      </c>
      <c r="F180" s="15">
        <f t="shared" si="96"/>
        <v>0</v>
      </c>
      <c r="G180" s="15">
        <f t="shared" si="66"/>
        <v>0</v>
      </c>
      <c r="H180" s="73">
        <f t="shared" si="67"/>
        <v>0</v>
      </c>
      <c r="I180" s="189"/>
      <c r="J180" s="189"/>
      <c r="K180" s="5">
        <f t="shared" si="109"/>
        <v>125076.7873593253</v>
      </c>
      <c r="M180" s="5">
        <f t="shared" si="68"/>
        <v>608.8175870221761</v>
      </c>
      <c r="N180" s="5">
        <f t="shared" si="69"/>
        <v>-206.96348809873527</v>
      </c>
      <c r="O180" s="5">
        <f t="shared" si="70"/>
        <v>0</v>
      </c>
      <c r="P180" s="5">
        <f t="shared" si="71"/>
        <v>0</v>
      </c>
      <c r="Q180" s="5">
        <f t="shared" si="105"/>
        <v>0</v>
      </c>
      <c r="R180" s="5">
        <f t="shared" si="97"/>
        <v>0</v>
      </c>
      <c r="S180" s="5">
        <f t="shared" si="72"/>
        <v>0</v>
      </c>
      <c r="T180" s="5">
        <f t="shared" si="73"/>
        <v>0</v>
      </c>
      <c r="U180" s="74">
        <f t="shared" si="74"/>
        <v>0</v>
      </c>
      <c r="V180" s="75">
        <f t="shared" si="75"/>
        <v>0</v>
      </c>
      <c r="W180" s="5">
        <f t="shared" si="76"/>
        <v>0</v>
      </c>
      <c r="X180" s="5">
        <f t="shared" si="77"/>
        <v>125478.64145824875</v>
      </c>
      <c r="Y180" s="5">
        <f t="shared" si="98"/>
        <v>100000</v>
      </c>
      <c r="Z180" s="215">
        <f t="shared" si="78"/>
        <v>1</v>
      </c>
      <c r="AA180" s="216">
        <f t="shared" si="99"/>
        <v>0</v>
      </c>
      <c r="AB180" s="72">
        <f t="shared" si="106"/>
        <v>13188.158705474159</v>
      </c>
      <c r="AC180" s="72">
        <f t="shared" si="79"/>
        <v>0</v>
      </c>
      <c r="AD180" s="72">
        <f t="shared" si="80"/>
        <v>0</v>
      </c>
      <c r="AE180" s="72">
        <f t="shared" si="100"/>
        <v>-26.129477392864754</v>
      </c>
      <c r="AF180" s="70">
        <f t="shared" si="81"/>
        <v>0</v>
      </c>
      <c r="AG180" s="70">
        <f t="shared" si="82"/>
        <v>1505.2253567405496</v>
      </c>
      <c r="AH180" s="1">
        <f t="shared" si="114"/>
        <v>0</v>
      </c>
      <c r="AI180" s="1">
        <f t="shared" si="114"/>
        <v>0</v>
      </c>
      <c r="AJ180" s="1">
        <f t="shared" si="114"/>
        <v>0</v>
      </c>
      <c r="AK180" s="1">
        <f t="shared" si="114"/>
        <v>0</v>
      </c>
      <c r="AL180" s="1">
        <f t="shared" si="114"/>
        <v>0</v>
      </c>
      <c r="AM180" s="1">
        <f t="shared" si="114"/>
        <v>1</v>
      </c>
      <c r="AN180" s="1">
        <f t="shared" si="114"/>
        <v>1</v>
      </c>
      <c r="AO180" s="1">
        <f t="shared" si="114"/>
        <v>1</v>
      </c>
      <c r="AP180" s="1">
        <f t="shared" si="114"/>
        <v>1</v>
      </c>
      <c r="AQ180" s="1">
        <f t="shared" si="114"/>
        <v>1</v>
      </c>
      <c r="AR180" s="1">
        <f t="shared" si="114"/>
        <v>1</v>
      </c>
      <c r="AS180" s="1">
        <f t="shared" si="114"/>
        <v>1</v>
      </c>
      <c r="AT180" s="39">
        <f t="shared" si="83"/>
        <v>125478.64145824875</v>
      </c>
      <c r="AU180" s="39">
        <f t="shared" si="101"/>
        <v>125478.64145824875</v>
      </c>
      <c r="AV180" s="39">
        <f t="shared" si="111"/>
        <v>0</v>
      </c>
      <c r="AW180" s="3">
        <f t="shared" si="84"/>
        <v>106</v>
      </c>
      <c r="AX180" s="69">
        <f t="shared" si="102"/>
        <v>0</v>
      </c>
      <c r="AY180" s="75">
        <f t="shared" si="85"/>
        <v>0</v>
      </c>
      <c r="AZ180" s="75">
        <f t="shared" si="86"/>
        <v>0</v>
      </c>
      <c r="BA180" s="75">
        <f t="shared" si="87"/>
        <v>0</v>
      </c>
      <c r="BB180" s="75">
        <f t="shared" si="88"/>
        <v>0</v>
      </c>
      <c r="BD180" s="214">
        <f t="shared" si="103"/>
        <v>138651.22908246896</v>
      </c>
      <c r="BE180" s="214">
        <f t="shared" si="89"/>
        <v>674.89186850588032</v>
      </c>
      <c r="BF180" s="214">
        <f t="shared" si="90"/>
        <v>-229.42500048107547</v>
      </c>
      <c r="BG180" s="224">
        <f t="shared" si="107"/>
        <v>0</v>
      </c>
      <c r="BH180" s="19">
        <f t="shared" si="104"/>
        <v>164847.65164895923</v>
      </c>
      <c r="BI180" s="214">
        <f t="shared" si="91"/>
        <v>802.40427997936547</v>
      </c>
      <c r="BJ180" s="214">
        <f t="shared" si="92"/>
        <v>0</v>
      </c>
      <c r="BK180" s="19">
        <f t="shared" si="108"/>
        <v>0</v>
      </c>
    </row>
    <row r="181" spans="1:63">
      <c r="A181" s="165">
        <f t="shared" si="93"/>
        <v>70.889459274469544</v>
      </c>
      <c r="B181" s="69">
        <f t="shared" si="94"/>
        <v>9</v>
      </c>
      <c r="C181" s="70">
        <f t="shared" si="95"/>
        <v>107</v>
      </c>
      <c r="D181" s="13">
        <f t="shared" si="64"/>
        <v>4.8675505653430484E-3</v>
      </c>
      <c r="E181" s="15">
        <f t="shared" si="65"/>
        <v>1</v>
      </c>
      <c r="F181" s="15">
        <f t="shared" si="96"/>
        <v>0</v>
      </c>
      <c r="G181" s="15">
        <f t="shared" si="66"/>
        <v>0</v>
      </c>
      <c r="H181" s="73">
        <f t="shared" si="67"/>
        <v>0</v>
      </c>
      <c r="I181" s="189"/>
      <c r="J181" s="189"/>
      <c r="K181" s="5">
        <f t="shared" si="109"/>
        <v>125478.64145824875</v>
      </c>
      <c r="M181" s="5">
        <f t="shared" si="68"/>
        <v>610.77363216857634</v>
      </c>
      <c r="N181" s="5">
        <f t="shared" si="69"/>
        <v>-207.62843263221646</v>
      </c>
      <c r="O181" s="5">
        <f t="shared" si="70"/>
        <v>0</v>
      </c>
      <c r="P181" s="5">
        <f t="shared" si="71"/>
        <v>0</v>
      </c>
      <c r="Q181" s="5">
        <f t="shared" si="105"/>
        <v>0</v>
      </c>
      <c r="R181" s="5">
        <f t="shared" si="97"/>
        <v>0</v>
      </c>
      <c r="S181" s="5">
        <f t="shared" si="72"/>
        <v>0</v>
      </c>
      <c r="T181" s="5">
        <f t="shared" si="73"/>
        <v>0</v>
      </c>
      <c r="U181" s="74">
        <f t="shared" si="74"/>
        <v>0</v>
      </c>
      <c r="V181" s="75">
        <f t="shared" si="75"/>
        <v>0</v>
      </c>
      <c r="W181" s="5">
        <f t="shared" si="76"/>
        <v>0</v>
      </c>
      <c r="X181" s="5">
        <f t="shared" si="77"/>
        <v>125881.78665778511</v>
      </c>
      <c r="Y181" s="5">
        <f t="shared" si="98"/>
        <v>100000</v>
      </c>
      <c r="Z181" s="215">
        <f t="shared" si="78"/>
        <v>1</v>
      </c>
      <c r="AA181" s="216">
        <f t="shared" si="99"/>
        <v>0</v>
      </c>
      <c r="AB181" s="72">
        <f t="shared" si="106"/>
        <v>13188.158705474159</v>
      </c>
      <c r="AC181" s="72">
        <f t="shared" si="79"/>
        <v>0</v>
      </c>
      <c r="AD181" s="72">
        <f t="shared" si="80"/>
        <v>0</v>
      </c>
      <c r="AE181" s="72">
        <f t="shared" si="100"/>
        <v>-26.213427723015819</v>
      </c>
      <c r="AF181" s="70">
        <f t="shared" si="81"/>
        <v>0</v>
      </c>
      <c r="AG181" s="70">
        <f t="shared" si="82"/>
        <v>1658.4205325643616</v>
      </c>
      <c r="AH181" s="1">
        <f t="shared" si="114"/>
        <v>0</v>
      </c>
      <c r="AI181" s="1">
        <f t="shared" si="114"/>
        <v>0</v>
      </c>
      <c r="AJ181" s="1">
        <f t="shared" si="114"/>
        <v>0</v>
      </c>
      <c r="AK181" s="1">
        <f t="shared" si="114"/>
        <v>0</v>
      </c>
      <c r="AL181" s="1">
        <f t="shared" si="114"/>
        <v>0</v>
      </c>
      <c r="AM181" s="1">
        <f t="shared" si="114"/>
        <v>1</v>
      </c>
      <c r="AN181" s="1">
        <f t="shared" si="114"/>
        <v>1</v>
      </c>
      <c r="AO181" s="1">
        <f t="shared" si="114"/>
        <v>1</v>
      </c>
      <c r="AP181" s="1">
        <f t="shared" si="114"/>
        <v>1</v>
      </c>
      <c r="AQ181" s="1">
        <f t="shared" si="114"/>
        <v>1</v>
      </c>
      <c r="AR181" s="1">
        <f t="shared" si="114"/>
        <v>1</v>
      </c>
      <c r="AS181" s="1">
        <f t="shared" si="114"/>
        <v>1</v>
      </c>
      <c r="AT181" s="39">
        <f t="shared" si="83"/>
        <v>125881.78665778511</v>
      </c>
      <c r="AU181" s="39">
        <f t="shared" si="101"/>
        <v>125881.78665778511</v>
      </c>
      <c r="AV181" s="39">
        <f t="shared" si="111"/>
        <v>0</v>
      </c>
      <c r="AW181" s="3">
        <f t="shared" si="84"/>
        <v>107</v>
      </c>
      <c r="AX181" s="69">
        <f t="shared" si="102"/>
        <v>0</v>
      </c>
      <c r="AY181" s="75">
        <f t="shared" si="85"/>
        <v>0</v>
      </c>
      <c r="AZ181" s="75">
        <f t="shared" si="86"/>
        <v>0</v>
      </c>
      <c r="BA181" s="75">
        <f t="shared" si="87"/>
        <v>0</v>
      </c>
      <c r="BB181" s="75">
        <f t="shared" si="88"/>
        <v>0</v>
      </c>
      <c r="BD181" s="214">
        <f t="shared" si="103"/>
        <v>139096.69595049377</v>
      </c>
      <c r="BE181" s="214">
        <f t="shared" si="89"/>
        <v>677.0602010111761</v>
      </c>
      <c r="BF181" s="214">
        <f t="shared" si="90"/>
        <v>-230.16211068981448</v>
      </c>
      <c r="BG181" s="224">
        <f t="shared" si="107"/>
        <v>0</v>
      </c>
      <c r="BH181" s="19">
        <f t="shared" si="104"/>
        <v>165650.05592893859</v>
      </c>
      <c r="BI181" s="214">
        <f t="shared" si="91"/>
        <v>806.31002338601263</v>
      </c>
      <c r="BJ181" s="214">
        <f t="shared" si="92"/>
        <v>0</v>
      </c>
      <c r="BK181" s="19">
        <f t="shared" si="108"/>
        <v>0</v>
      </c>
    </row>
    <row r="182" spans="1:63">
      <c r="A182" s="165">
        <f t="shared" si="93"/>
        <v>70.972792607802873</v>
      </c>
      <c r="B182" s="69">
        <f t="shared" si="94"/>
        <v>9</v>
      </c>
      <c r="C182" s="70">
        <f t="shared" si="95"/>
        <v>108</v>
      </c>
      <c r="D182" s="13">
        <f t="shared" si="64"/>
        <v>4.8675505653430484E-3</v>
      </c>
      <c r="E182" s="15">
        <f t="shared" si="65"/>
        <v>1</v>
      </c>
      <c r="F182" s="15">
        <f t="shared" si="96"/>
        <v>0</v>
      </c>
      <c r="G182" s="15">
        <f t="shared" si="66"/>
        <v>0</v>
      </c>
      <c r="H182" s="73">
        <f t="shared" si="67"/>
        <v>0</v>
      </c>
      <c r="I182" s="189"/>
      <c r="J182" s="189"/>
      <c r="K182" s="5">
        <f t="shared" si="109"/>
        <v>125881.78665778511</v>
      </c>
      <c r="M182" s="5">
        <f t="shared" si="68"/>
        <v>612.73596181249491</v>
      </c>
      <c r="N182" s="5">
        <f t="shared" si="69"/>
        <v>-208.29551353881672</v>
      </c>
      <c r="O182" s="5">
        <f t="shared" si="70"/>
        <v>0</v>
      </c>
      <c r="P182" s="5">
        <f t="shared" si="71"/>
        <v>0</v>
      </c>
      <c r="Q182" s="5">
        <f t="shared" si="105"/>
        <v>0</v>
      </c>
      <c r="R182" s="5">
        <f t="shared" si="97"/>
        <v>0</v>
      </c>
      <c r="S182" s="5">
        <f t="shared" si="72"/>
        <v>0</v>
      </c>
      <c r="T182" s="5">
        <f t="shared" si="73"/>
        <v>0</v>
      </c>
      <c r="U182" s="74">
        <f t="shared" si="74"/>
        <v>0</v>
      </c>
      <c r="V182" s="75">
        <f t="shared" si="75"/>
        <v>0</v>
      </c>
      <c r="W182" s="5">
        <f t="shared" si="76"/>
        <v>0</v>
      </c>
      <c r="X182" s="5">
        <f t="shared" si="77"/>
        <v>126286.22710605878</v>
      </c>
      <c r="Y182" s="5">
        <f t="shared" si="98"/>
        <v>100000</v>
      </c>
      <c r="Z182" s="215">
        <f t="shared" si="78"/>
        <v>1</v>
      </c>
      <c r="AA182" s="216">
        <f t="shared" si="99"/>
        <v>0</v>
      </c>
      <c r="AB182" s="72">
        <f t="shared" si="106"/>
        <v>13188.158705474159</v>
      </c>
      <c r="AC182" s="72">
        <f t="shared" si="79"/>
        <v>0</v>
      </c>
      <c r="AD182" s="72">
        <f t="shared" si="80"/>
        <v>0</v>
      </c>
      <c r="AE182" s="72">
        <f t="shared" si="100"/>
        <v>-26.29764777375205</v>
      </c>
      <c r="AF182" s="70">
        <f t="shared" si="81"/>
        <v>0</v>
      </c>
      <c r="AG182" s="70">
        <f t="shared" si="82"/>
        <v>1812.1079029083558</v>
      </c>
      <c r="AH182" s="1">
        <f t="shared" si="114"/>
        <v>0</v>
      </c>
      <c r="AI182" s="1">
        <f t="shared" si="114"/>
        <v>0</v>
      </c>
      <c r="AJ182" s="1">
        <f t="shared" si="114"/>
        <v>0</v>
      </c>
      <c r="AK182" s="1">
        <f t="shared" si="114"/>
        <v>0</v>
      </c>
      <c r="AL182" s="1">
        <f t="shared" si="114"/>
        <v>0</v>
      </c>
      <c r="AM182" s="1">
        <f t="shared" si="114"/>
        <v>1</v>
      </c>
      <c r="AN182" s="1">
        <f t="shared" si="114"/>
        <v>1</v>
      </c>
      <c r="AO182" s="1">
        <f t="shared" si="114"/>
        <v>1</v>
      </c>
      <c r="AP182" s="1">
        <f t="shared" si="114"/>
        <v>1</v>
      </c>
      <c r="AQ182" s="1">
        <f t="shared" si="114"/>
        <v>1</v>
      </c>
      <c r="AR182" s="1">
        <f t="shared" si="114"/>
        <v>1</v>
      </c>
      <c r="AS182" s="1">
        <f t="shared" si="114"/>
        <v>1</v>
      </c>
      <c r="AT182" s="39">
        <f t="shared" si="83"/>
        <v>126286.22710605878</v>
      </c>
      <c r="AU182" s="39">
        <f t="shared" si="101"/>
        <v>126286.22710605878</v>
      </c>
      <c r="AV182" s="39">
        <f t="shared" si="111"/>
        <v>0</v>
      </c>
      <c r="AW182" s="3">
        <f t="shared" si="84"/>
        <v>108</v>
      </c>
      <c r="AX182" s="69">
        <f t="shared" si="102"/>
        <v>0</v>
      </c>
      <c r="AY182" s="75">
        <f t="shared" si="85"/>
        <v>0</v>
      </c>
      <c r="AZ182" s="75">
        <f t="shared" si="86"/>
        <v>0</v>
      </c>
      <c r="BA182" s="75">
        <f t="shared" si="87"/>
        <v>0</v>
      </c>
      <c r="BB182" s="75">
        <f t="shared" si="88"/>
        <v>0</v>
      </c>
      <c r="BD182" s="214">
        <f t="shared" si="103"/>
        <v>139543.59404081511</v>
      </c>
      <c r="BE182" s="214">
        <f t="shared" si="89"/>
        <v>679.23550006337041</v>
      </c>
      <c r="BF182" s="214">
        <f t="shared" si="90"/>
        <v>-230.90158912982156</v>
      </c>
      <c r="BG182" s="224">
        <f t="shared" si="107"/>
        <v>0</v>
      </c>
      <c r="BH182" s="19">
        <f t="shared" si="104"/>
        <v>166456.36595232459</v>
      </c>
      <c r="BI182" s="214">
        <f t="shared" si="91"/>
        <v>810.23477819618688</v>
      </c>
      <c r="BJ182" s="214">
        <f t="shared" si="92"/>
        <v>0</v>
      </c>
      <c r="BK182" s="19">
        <f t="shared" si="108"/>
        <v>0</v>
      </c>
    </row>
    <row r="183" spans="1:63">
      <c r="A183" s="165">
        <f t="shared" si="93"/>
        <v>71.056125941136202</v>
      </c>
      <c r="B183" s="69">
        <f t="shared" si="94"/>
        <v>10</v>
      </c>
      <c r="C183" s="70">
        <f t="shared" si="95"/>
        <v>109</v>
      </c>
      <c r="D183" s="13">
        <f t="shared" si="64"/>
        <v>4.8675505653430484E-3</v>
      </c>
      <c r="E183" s="15">
        <f t="shared" si="65"/>
        <v>1</v>
      </c>
      <c r="F183" s="15">
        <f t="shared" si="96"/>
        <v>0</v>
      </c>
      <c r="G183" s="15">
        <f t="shared" si="66"/>
        <v>0</v>
      </c>
      <c r="H183" s="73">
        <f t="shared" si="67"/>
        <v>0</v>
      </c>
      <c r="I183" s="189"/>
      <c r="J183" s="189"/>
      <c r="K183" s="5">
        <f t="shared" si="109"/>
        <v>126286.22710605878</v>
      </c>
      <c r="M183" s="5">
        <f t="shared" si="68"/>
        <v>614.70459614513697</v>
      </c>
      <c r="N183" s="5">
        <f t="shared" si="69"/>
        <v>-208.96473768240193</v>
      </c>
      <c r="O183" s="5">
        <f t="shared" si="70"/>
        <v>0</v>
      </c>
      <c r="P183" s="5">
        <f t="shared" si="71"/>
        <v>0</v>
      </c>
      <c r="Q183" s="5">
        <f t="shared" si="105"/>
        <v>0</v>
      </c>
      <c r="R183" s="5">
        <f t="shared" si="97"/>
        <v>0</v>
      </c>
      <c r="S183" s="5">
        <f t="shared" si="72"/>
        <v>0</v>
      </c>
      <c r="T183" s="5">
        <f t="shared" si="73"/>
        <v>0</v>
      </c>
      <c r="U183" s="74">
        <f t="shared" si="74"/>
        <v>0</v>
      </c>
      <c r="V183" s="75">
        <f t="shared" si="75"/>
        <v>0</v>
      </c>
      <c r="W183" s="5">
        <f t="shared" si="76"/>
        <v>0</v>
      </c>
      <c r="X183" s="5">
        <f t="shared" si="77"/>
        <v>126691.96696452152</v>
      </c>
      <c r="Y183" s="5">
        <f t="shared" si="98"/>
        <v>100000</v>
      </c>
      <c r="Z183" s="215">
        <f t="shared" si="78"/>
        <v>1</v>
      </c>
      <c r="AA183" s="216">
        <f t="shared" si="99"/>
        <v>0</v>
      </c>
      <c r="AB183" s="72">
        <f t="shared" si="106"/>
        <v>13188.158705474159</v>
      </c>
      <c r="AC183" s="72">
        <f t="shared" si="79"/>
        <v>0</v>
      </c>
      <c r="AD183" s="72">
        <f t="shared" si="80"/>
        <v>0</v>
      </c>
      <c r="AE183" s="72">
        <f t="shared" si="100"/>
        <v>-26.382138411647695</v>
      </c>
      <c r="AF183" s="70">
        <f t="shared" si="81"/>
        <v>0</v>
      </c>
      <c r="AG183" s="70">
        <f t="shared" si="82"/>
        <v>1966.289049124196</v>
      </c>
      <c r="AH183" s="1">
        <f t="shared" si="114"/>
        <v>0</v>
      </c>
      <c r="AI183" s="1">
        <f t="shared" si="114"/>
        <v>0</v>
      </c>
      <c r="AJ183" s="1">
        <f t="shared" si="114"/>
        <v>0</v>
      </c>
      <c r="AK183" s="1">
        <f t="shared" si="114"/>
        <v>0</v>
      </c>
      <c r="AL183" s="1">
        <f t="shared" si="114"/>
        <v>0</v>
      </c>
      <c r="AM183" s="1">
        <f t="shared" si="114"/>
        <v>1</v>
      </c>
      <c r="AN183" s="1">
        <f t="shared" si="114"/>
        <v>1</v>
      </c>
      <c r="AO183" s="1">
        <f t="shared" si="114"/>
        <v>1</v>
      </c>
      <c r="AP183" s="1">
        <f t="shared" si="114"/>
        <v>1</v>
      </c>
      <c r="AQ183" s="1">
        <f t="shared" si="114"/>
        <v>1</v>
      </c>
      <c r="AR183" s="1">
        <f t="shared" si="114"/>
        <v>1</v>
      </c>
      <c r="AS183" s="1">
        <f t="shared" si="114"/>
        <v>1</v>
      </c>
      <c r="AT183" s="39">
        <f t="shared" si="83"/>
        <v>126691.96696452152</v>
      </c>
      <c r="AU183" s="39">
        <f t="shared" si="101"/>
        <v>126691.96696452152</v>
      </c>
      <c r="AV183" s="39">
        <f t="shared" si="111"/>
        <v>0</v>
      </c>
      <c r="AW183" s="3">
        <f t="shared" si="84"/>
        <v>109</v>
      </c>
      <c r="AX183" s="69">
        <f t="shared" si="102"/>
        <v>0</v>
      </c>
      <c r="AY183" s="75">
        <f t="shared" si="85"/>
        <v>0</v>
      </c>
      <c r="AZ183" s="75">
        <f t="shared" si="86"/>
        <v>0</v>
      </c>
      <c r="BA183" s="75">
        <f t="shared" si="87"/>
        <v>0</v>
      </c>
      <c r="BB183" s="75">
        <f t="shared" si="88"/>
        <v>0</v>
      </c>
      <c r="BD183" s="214">
        <f t="shared" si="103"/>
        <v>139991.92795174866</v>
      </c>
      <c r="BE183" s="214">
        <f t="shared" si="89"/>
        <v>681.41778804499745</v>
      </c>
      <c r="BF183" s="214">
        <f t="shared" si="90"/>
        <v>-231.64344340989021</v>
      </c>
      <c r="BG183" s="224">
        <f t="shared" si="107"/>
        <v>0</v>
      </c>
      <c r="BH183" s="19">
        <f t="shared" si="104"/>
        <v>167266.60073052076</v>
      </c>
      <c r="BI183" s="214">
        <f t="shared" si="91"/>
        <v>814.17863694885625</v>
      </c>
      <c r="BJ183" s="214">
        <f t="shared" si="92"/>
        <v>0</v>
      </c>
      <c r="BK183" s="19">
        <f t="shared" si="108"/>
        <v>0</v>
      </c>
    </row>
    <row r="184" spans="1:63">
      <c r="A184" s="165">
        <f t="shared" si="93"/>
        <v>71.139459274469544</v>
      </c>
      <c r="B184" s="69">
        <f t="shared" si="94"/>
        <v>10</v>
      </c>
      <c r="C184" s="70">
        <f t="shared" si="95"/>
        <v>110</v>
      </c>
      <c r="D184" s="13">
        <f t="shared" si="64"/>
        <v>4.8675505653430484E-3</v>
      </c>
      <c r="E184" s="15">
        <f t="shared" si="65"/>
        <v>1</v>
      </c>
      <c r="F184" s="15">
        <f t="shared" si="96"/>
        <v>0</v>
      </c>
      <c r="G184" s="15">
        <f t="shared" si="66"/>
        <v>0</v>
      </c>
      <c r="H184" s="73">
        <f t="shared" si="67"/>
        <v>0</v>
      </c>
      <c r="I184" s="189"/>
      <c r="J184" s="189"/>
      <c r="K184" s="5">
        <f t="shared" si="109"/>
        <v>126691.96696452152</v>
      </c>
      <c r="M184" s="5">
        <f t="shared" si="68"/>
        <v>616.67955542257948</v>
      </c>
      <c r="N184" s="5">
        <f t="shared" si="69"/>
        <v>-209.63611194889066</v>
      </c>
      <c r="O184" s="5">
        <f t="shared" si="70"/>
        <v>0</v>
      </c>
      <c r="P184" s="5">
        <f t="shared" si="71"/>
        <v>0</v>
      </c>
      <c r="Q184" s="5">
        <f t="shared" si="105"/>
        <v>0</v>
      </c>
      <c r="R184" s="5">
        <f t="shared" si="97"/>
        <v>0</v>
      </c>
      <c r="S184" s="5">
        <f t="shared" si="72"/>
        <v>0</v>
      </c>
      <c r="T184" s="5">
        <f t="shared" si="73"/>
        <v>0</v>
      </c>
      <c r="U184" s="74">
        <f t="shared" si="74"/>
        <v>0</v>
      </c>
      <c r="V184" s="75">
        <f t="shared" si="75"/>
        <v>0</v>
      </c>
      <c r="W184" s="5">
        <f t="shared" si="76"/>
        <v>0</v>
      </c>
      <c r="X184" s="5">
        <f t="shared" si="77"/>
        <v>127099.01040799521</v>
      </c>
      <c r="Y184" s="5">
        <f t="shared" si="98"/>
        <v>100000</v>
      </c>
      <c r="Z184" s="215">
        <f t="shared" si="78"/>
        <v>1</v>
      </c>
      <c r="AA184" s="216">
        <f t="shared" si="99"/>
        <v>0</v>
      </c>
      <c r="AB184" s="72">
        <f t="shared" si="106"/>
        <v>13188.158705474159</v>
      </c>
      <c r="AC184" s="72">
        <f t="shared" si="79"/>
        <v>0</v>
      </c>
      <c r="AD184" s="72">
        <f t="shared" si="80"/>
        <v>0</v>
      </c>
      <c r="AE184" s="72">
        <f t="shared" si="100"/>
        <v>-26.466900506061176</v>
      </c>
      <c r="AF184" s="70">
        <f t="shared" si="81"/>
        <v>0</v>
      </c>
      <c r="AG184" s="70">
        <f t="shared" si="82"/>
        <v>2120.9655576442001</v>
      </c>
      <c r="AH184" s="1">
        <f t="shared" si="114"/>
        <v>0</v>
      </c>
      <c r="AI184" s="1">
        <f t="shared" si="114"/>
        <v>0</v>
      </c>
      <c r="AJ184" s="1">
        <f t="shared" si="114"/>
        <v>0</v>
      </c>
      <c r="AK184" s="1">
        <f t="shared" si="114"/>
        <v>0</v>
      </c>
      <c r="AL184" s="1">
        <f t="shared" si="114"/>
        <v>0</v>
      </c>
      <c r="AM184" s="1">
        <f t="shared" si="114"/>
        <v>1</v>
      </c>
      <c r="AN184" s="1">
        <f t="shared" si="114"/>
        <v>1</v>
      </c>
      <c r="AO184" s="1">
        <f t="shared" si="114"/>
        <v>1</v>
      </c>
      <c r="AP184" s="1">
        <f t="shared" si="114"/>
        <v>1</v>
      </c>
      <c r="AQ184" s="1">
        <f t="shared" si="114"/>
        <v>1</v>
      </c>
      <c r="AR184" s="1">
        <f t="shared" si="114"/>
        <v>1</v>
      </c>
      <c r="AS184" s="1">
        <f t="shared" si="114"/>
        <v>1</v>
      </c>
      <c r="AT184" s="39">
        <f t="shared" si="83"/>
        <v>127099.01040799521</v>
      </c>
      <c r="AU184" s="39">
        <f t="shared" si="101"/>
        <v>127099.01040799521</v>
      </c>
      <c r="AV184" s="39">
        <f t="shared" si="111"/>
        <v>0</v>
      </c>
      <c r="AW184" s="3">
        <f t="shared" si="84"/>
        <v>110</v>
      </c>
      <c r="AX184" s="69">
        <f t="shared" si="102"/>
        <v>0</v>
      </c>
      <c r="AY184" s="75">
        <f t="shared" si="85"/>
        <v>0</v>
      </c>
      <c r="AZ184" s="75">
        <f t="shared" si="86"/>
        <v>0</v>
      </c>
      <c r="BA184" s="75">
        <f t="shared" si="87"/>
        <v>0</v>
      </c>
      <c r="BB184" s="75">
        <f t="shared" si="88"/>
        <v>0</v>
      </c>
      <c r="BD184" s="214">
        <f t="shared" si="103"/>
        <v>140441.70229638377</v>
      </c>
      <c r="BE184" s="214">
        <f t="shared" si="89"/>
        <v>683.60708741050291</v>
      </c>
      <c r="BF184" s="214">
        <f t="shared" si="90"/>
        <v>-232.38768116325991</v>
      </c>
      <c r="BG184" s="224">
        <f t="shared" si="107"/>
        <v>0</v>
      </c>
      <c r="BH184" s="19">
        <f t="shared" si="104"/>
        <v>168080.77936746963</v>
      </c>
      <c r="BI184" s="214">
        <f t="shared" si="91"/>
        <v>818.14169263342694</v>
      </c>
      <c r="BJ184" s="214">
        <f t="shared" si="92"/>
        <v>0</v>
      </c>
      <c r="BK184" s="19">
        <f t="shared" si="108"/>
        <v>0</v>
      </c>
    </row>
    <row r="185" spans="1:63">
      <c r="A185" s="165">
        <f t="shared" si="93"/>
        <v>71.222792607802873</v>
      </c>
      <c r="B185" s="69">
        <f t="shared" si="94"/>
        <v>10</v>
      </c>
      <c r="C185" s="70">
        <f t="shared" si="95"/>
        <v>111</v>
      </c>
      <c r="D185" s="13">
        <f t="shared" si="64"/>
        <v>4.8675505653430484E-3</v>
      </c>
      <c r="E185" s="15">
        <f t="shared" si="65"/>
        <v>1</v>
      </c>
      <c r="F185" s="15">
        <f t="shared" si="96"/>
        <v>0</v>
      </c>
      <c r="G185" s="15">
        <f t="shared" si="66"/>
        <v>0</v>
      </c>
      <c r="H185" s="73">
        <f t="shared" si="67"/>
        <v>0</v>
      </c>
      <c r="I185" s="189"/>
      <c r="J185" s="189"/>
      <c r="K185" s="5">
        <f t="shared" si="109"/>
        <v>127099.01040799521</v>
      </c>
      <c r="M185" s="5">
        <f t="shared" si="68"/>
        <v>618.66085996597906</v>
      </c>
      <c r="N185" s="5">
        <f t="shared" si="69"/>
        <v>-210.30964324632495</v>
      </c>
      <c r="O185" s="5">
        <f t="shared" si="70"/>
        <v>0</v>
      </c>
      <c r="P185" s="5">
        <f t="shared" si="71"/>
        <v>0</v>
      </c>
      <c r="Q185" s="5">
        <f t="shared" si="105"/>
        <v>0</v>
      </c>
      <c r="R185" s="5">
        <f t="shared" si="97"/>
        <v>0</v>
      </c>
      <c r="S185" s="5">
        <f t="shared" si="72"/>
        <v>0</v>
      </c>
      <c r="T185" s="5">
        <f t="shared" si="73"/>
        <v>0</v>
      </c>
      <c r="U185" s="74">
        <f t="shared" si="74"/>
        <v>0</v>
      </c>
      <c r="V185" s="75">
        <f t="shared" si="75"/>
        <v>0</v>
      </c>
      <c r="W185" s="5">
        <f t="shared" si="76"/>
        <v>0</v>
      </c>
      <c r="X185" s="5">
        <f t="shared" si="77"/>
        <v>127507.36162471487</v>
      </c>
      <c r="Y185" s="5">
        <f t="shared" si="98"/>
        <v>100000</v>
      </c>
      <c r="Z185" s="215">
        <f t="shared" si="78"/>
        <v>1</v>
      </c>
      <c r="AA185" s="216">
        <f t="shared" si="99"/>
        <v>0</v>
      </c>
      <c r="AB185" s="72">
        <f t="shared" si="106"/>
        <v>13188.158705474159</v>
      </c>
      <c r="AC185" s="72">
        <f t="shared" si="79"/>
        <v>0</v>
      </c>
      <c r="AD185" s="72">
        <f t="shared" si="80"/>
        <v>0</v>
      </c>
      <c r="AE185" s="72">
        <f t="shared" si="100"/>
        <v>-26.551934929144053</v>
      </c>
      <c r="AF185" s="70">
        <f t="shared" si="81"/>
        <v>0</v>
      </c>
      <c r="AG185" s="70">
        <f t="shared" si="82"/>
        <v>2276.1390199976722</v>
      </c>
      <c r="AH185" s="1">
        <f t="shared" ref="AH185:AS194" si="115">IF($B185&lt;=AH$74,1,0)</f>
        <v>0</v>
      </c>
      <c r="AI185" s="1">
        <f t="shared" si="115"/>
        <v>0</v>
      </c>
      <c r="AJ185" s="1">
        <f t="shared" si="115"/>
        <v>0</v>
      </c>
      <c r="AK185" s="1">
        <f t="shared" si="115"/>
        <v>0</v>
      </c>
      <c r="AL185" s="1">
        <f t="shared" si="115"/>
        <v>0</v>
      </c>
      <c r="AM185" s="1">
        <f t="shared" si="115"/>
        <v>1</v>
      </c>
      <c r="AN185" s="1">
        <f t="shared" si="115"/>
        <v>1</v>
      </c>
      <c r="AO185" s="1">
        <f t="shared" si="115"/>
        <v>1</v>
      </c>
      <c r="AP185" s="1">
        <f t="shared" si="115"/>
        <v>1</v>
      </c>
      <c r="AQ185" s="1">
        <f t="shared" si="115"/>
        <v>1</v>
      </c>
      <c r="AR185" s="1">
        <f t="shared" si="115"/>
        <v>1</v>
      </c>
      <c r="AS185" s="1">
        <f t="shared" si="115"/>
        <v>1</v>
      </c>
      <c r="AT185" s="39">
        <f t="shared" si="83"/>
        <v>127507.36162471487</v>
      </c>
      <c r="AU185" s="39">
        <f t="shared" si="101"/>
        <v>127507.36162471487</v>
      </c>
      <c r="AV185" s="39">
        <f t="shared" si="111"/>
        <v>0</v>
      </c>
      <c r="AW185" s="3">
        <f t="shared" si="84"/>
        <v>111</v>
      </c>
      <c r="AX185" s="69">
        <f t="shared" si="102"/>
        <v>0</v>
      </c>
      <c r="AY185" s="75">
        <f t="shared" si="85"/>
        <v>0</v>
      </c>
      <c r="AZ185" s="75">
        <f t="shared" si="86"/>
        <v>0</v>
      </c>
      <c r="BA185" s="75">
        <f t="shared" si="87"/>
        <v>0</v>
      </c>
      <c r="BB185" s="75">
        <f t="shared" si="88"/>
        <v>0</v>
      </c>
      <c r="BD185" s="214">
        <f t="shared" si="103"/>
        <v>140892.92170263099</v>
      </c>
      <c r="BE185" s="214">
        <f t="shared" si="89"/>
        <v>685.80342068647531</v>
      </c>
      <c r="BF185" s="214">
        <f t="shared" si="90"/>
        <v>-233.13431004769456</v>
      </c>
      <c r="BG185" s="224">
        <f t="shared" si="107"/>
        <v>0</v>
      </c>
      <c r="BH185" s="19">
        <f t="shared" si="104"/>
        <v>168898.92106010305</v>
      </c>
      <c r="BI185" s="214">
        <f t="shared" si="91"/>
        <v>822.12403869193554</v>
      </c>
      <c r="BJ185" s="214">
        <f t="shared" si="92"/>
        <v>0</v>
      </c>
      <c r="BK185" s="19">
        <f t="shared" si="108"/>
        <v>0</v>
      </c>
    </row>
    <row r="186" spans="1:63">
      <c r="A186" s="165">
        <f t="shared" si="93"/>
        <v>71.306125941136202</v>
      </c>
      <c r="B186" s="69">
        <f t="shared" si="94"/>
        <v>10</v>
      </c>
      <c r="C186" s="70">
        <f t="shared" si="95"/>
        <v>112</v>
      </c>
      <c r="D186" s="13">
        <f t="shared" si="64"/>
        <v>4.8675505653430484E-3</v>
      </c>
      <c r="E186" s="15">
        <f t="shared" si="65"/>
        <v>1</v>
      </c>
      <c r="F186" s="15">
        <f t="shared" si="96"/>
        <v>0</v>
      </c>
      <c r="G186" s="15">
        <f t="shared" si="66"/>
        <v>0</v>
      </c>
      <c r="H186" s="73">
        <f t="shared" si="67"/>
        <v>0</v>
      </c>
      <c r="I186" s="189"/>
      <c r="J186" s="189"/>
      <c r="K186" s="5">
        <f t="shared" si="109"/>
        <v>127507.36162471487</v>
      </c>
      <c r="M186" s="5">
        <f t="shared" si="68"/>
        <v>620.64853016178142</v>
      </c>
      <c r="N186" s="5">
        <f t="shared" si="69"/>
        <v>-210.98533850494132</v>
      </c>
      <c r="O186" s="5">
        <f t="shared" si="70"/>
        <v>0</v>
      </c>
      <c r="P186" s="5">
        <f t="shared" si="71"/>
        <v>0</v>
      </c>
      <c r="Q186" s="5">
        <f t="shared" si="105"/>
        <v>0</v>
      </c>
      <c r="R186" s="5">
        <f t="shared" si="97"/>
        <v>0</v>
      </c>
      <c r="S186" s="5">
        <f t="shared" si="72"/>
        <v>0</v>
      </c>
      <c r="T186" s="5">
        <f t="shared" si="73"/>
        <v>0</v>
      </c>
      <c r="U186" s="74">
        <f t="shared" si="74"/>
        <v>0</v>
      </c>
      <c r="V186" s="75">
        <f t="shared" si="75"/>
        <v>0</v>
      </c>
      <c r="W186" s="5">
        <f t="shared" si="76"/>
        <v>0</v>
      </c>
      <c r="X186" s="5">
        <f t="shared" si="77"/>
        <v>127917.02481637172</v>
      </c>
      <c r="Y186" s="5">
        <f t="shared" si="98"/>
        <v>100000</v>
      </c>
      <c r="Z186" s="215">
        <f t="shared" si="78"/>
        <v>1</v>
      </c>
      <c r="AA186" s="216">
        <f t="shared" si="99"/>
        <v>0</v>
      </c>
      <c r="AB186" s="72">
        <f t="shared" si="106"/>
        <v>13188.158705474159</v>
      </c>
      <c r="AC186" s="72">
        <f t="shared" si="79"/>
        <v>0</v>
      </c>
      <c r="AD186" s="72">
        <f t="shared" si="80"/>
        <v>0</v>
      </c>
      <c r="AE186" s="72">
        <f t="shared" si="100"/>
        <v>-26.637242555849973</v>
      </c>
      <c r="AF186" s="70">
        <f t="shared" si="81"/>
        <v>0</v>
      </c>
      <c r="AG186" s="70">
        <f t="shared" si="82"/>
        <v>2431.8110328272724</v>
      </c>
      <c r="AH186" s="1">
        <f t="shared" si="115"/>
        <v>0</v>
      </c>
      <c r="AI186" s="1">
        <f t="shared" si="115"/>
        <v>0</v>
      </c>
      <c r="AJ186" s="1">
        <f t="shared" si="115"/>
        <v>0</v>
      </c>
      <c r="AK186" s="1">
        <f t="shared" si="115"/>
        <v>0</v>
      </c>
      <c r="AL186" s="1">
        <f t="shared" si="115"/>
        <v>0</v>
      </c>
      <c r="AM186" s="1">
        <f t="shared" si="115"/>
        <v>1</v>
      </c>
      <c r="AN186" s="1">
        <f t="shared" si="115"/>
        <v>1</v>
      </c>
      <c r="AO186" s="1">
        <f t="shared" si="115"/>
        <v>1</v>
      </c>
      <c r="AP186" s="1">
        <f t="shared" si="115"/>
        <v>1</v>
      </c>
      <c r="AQ186" s="1">
        <f t="shared" si="115"/>
        <v>1</v>
      </c>
      <c r="AR186" s="1">
        <f t="shared" si="115"/>
        <v>1</v>
      </c>
      <c r="AS186" s="1">
        <f t="shared" si="115"/>
        <v>1</v>
      </c>
      <c r="AT186" s="39">
        <f t="shared" si="83"/>
        <v>127917.02481637172</v>
      </c>
      <c r="AU186" s="39">
        <f t="shared" si="101"/>
        <v>127917.02481637172</v>
      </c>
      <c r="AV186" s="39">
        <f t="shared" si="111"/>
        <v>0</v>
      </c>
      <c r="AW186" s="3">
        <f t="shared" si="84"/>
        <v>112</v>
      </c>
      <c r="AX186" s="69">
        <f t="shared" si="102"/>
        <v>0</v>
      </c>
      <c r="AY186" s="75">
        <f t="shared" si="85"/>
        <v>0</v>
      </c>
      <c r="AZ186" s="75">
        <f t="shared" si="86"/>
        <v>0</v>
      </c>
      <c r="BA186" s="75">
        <f t="shared" si="87"/>
        <v>0</v>
      </c>
      <c r="BB186" s="75">
        <f t="shared" si="88"/>
        <v>0</v>
      </c>
      <c r="BD186" s="214">
        <f t="shared" si="103"/>
        <v>141345.59081326978</v>
      </c>
      <c r="BE186" s="214">
        <f t="shared" si="89"/>
        <v>688.00681047187857</v>
      </c>
      <c r="BF186" s="214">
        <f t="shared" si="90"/>
        <v>-233.88333774556159</v>
      </c>
      <c r="BG186" s="224">
        <f t="shared" si="107"/>
        <v>0</v>
      </c>
      <c r="BH186" s="19">
        <f t="shared" si="104"/>
        <v>169721.04509879497</v>
      </c>
      <c r="BI186" s="214">
        <f t="shared" si="91"/>
        <v>826.12576902125249</v>
      </c>
      <c r="BJ186" s="214">
        <f t="shared" si="92"/>
        <v>0</v>
      </c>
      <c r="BK186" s="19">
        <f t="shared" si="108"/>
        <v>0</v>
      </c>
    </row>
    <row r="187" spans="1:63">
      <c r="A187" s="165">
        <f t="shared" si="93"/>
        <v>71.389459274469544</v>
      </c>
      <c r="B187" s="69">
        <f t="shared" si="94"/>
        <v>10</v>
      </c>
      <c r="C187" s="70">
        <f t="shared" si="95"/>
        <v>113</v>
      </c>
      <c r="D187" s="13">
        <f t="shared" si="64"/>
        <v>4.8675505653430484E-3</v>
      </c>
      <c r="E187" s="15">
        <f t="shared" si="65"/>
        <v>1</v>
      </c>
      <c r="F187" s="15">
        <f t="shared" si="96"/>
        <v>0</v>
      </c>
      <c r="G187" s="15">
        <f t="shared" si="66"/>
        <v>0</v>
      </c>
      <c r="H187" s="73">
        <f t="shared" si="67"/>
        <v>0</v>
      </c>
      <c r="I187" s="189"/>
      <c r="J187" s="189"/>
      <c r="K187" s="5">
        <f t="shared" si="109"/>
        <v>127917.02481637172</v>
      </c>
      <c r="M187" s="5">
        <f t="shared" si="68"/>
        <v>622.64258646193093</v>
      </c>
      <c r="N187" s="5">
        <f t="shared" si="69"/>
        <v>-211.66320467724222</v>
      </c>
      <c r="O187" s="5">
        <f t="shared" si="70"/>
        <v>0</v>
      </c>
      <c r="P187" s="5">
        <f t="shared" si="71"/>
        <v>0</v>
      </c>
      <c r="Q187" s="5">
        <f t="shared" si="105"/>
        <v>0</v>
      </c>
      <c r="R187" s="5">
        <f t="shared" si="97"/>
        <v>0</v>
      </c>
      <c r="S187" s="5">
        <f t="shared" si="72"/>
        <v>0</v>
      </c>
      <c r="T187" s="5">
        <f t="shared" si="73"/>
        <v>0</v>
      </c>
      <c r="U187" s="74">
        <f t="shared" si="74"/>
        <v>0</v>
      </c>
      <c r="V187" s="75">
        <f t="shared" si="75"/>
        <v>0</v>
      </c>
      <c r="W187" s="5">
        <f t="shared" si="76"/>
        <v>0</v>
      </c>
      <c r="X187" s="5">
        <f t="shared" si="77"/>
        <v>128328.00419815641</v>
      </c>
      <c r="Y187" s="5">
        <f t="shared" si="98"/>
        <v>100000</v>
      </c>
      <c r="Z187" s="215">
        <f t="shared" si="78"/>
        <v>1</v>
      </c>
      <c r="AA187" s="216">
        <f t="shared" si="99"/>
        <v>0</v>
      </c>
      <c r="AB187" s="72">
        <f t="shared" si="106"/>
        <v>13188.158705474159</v>
      </c>
      <c r="AC187" s="72">
        <f t="shared" si="79"/>
        <v>0</v>
      </c>
      <c r="AD187" s="72">
        <f t="shared" si="80"/>
        <v>0</v>
      </c>
      <c r="AE187" s="72">
        <f t="shared" si="100"/>
        <v>-26.7228242639437</v>
      </c>
      <c r="AF187" s="70">
        <f t="shared" si="81"/>
        <v>0</v>
      </c>
      <c r="AG187" s="70">
        <f t="shared" si="82"/>
        <v>2587.9831979054616</v>
      </c>
      <c r="AH187" s="1">
        <f t="shared" si="115"/>
        <v>0</v>
      </c>
      <c r="AI187" s="1">
        <f t="shared" si="115"/>
        <v>0</v>
      </c>
      <c r="AJ187" s="1">
        <f t="shared" si="115"/>
        <v>0</v>
      </c>
      <c r="AK187" s="1">
        <f t="shared" si="115"/>
        <v>0</v>
      </c>
      <c r="AL187" s="1">
        <f t="shared" si="115"/>
        <v>0</v>
      </c>
      <c r="AM187" s="1">
        <f t="shared" si="115"/>
        <v>1</v>
      </c>
      <c r="AN187" s="1">
        <f t="shared" si="115"/>
        <v>1</v>
      </c>
      <c r="AO187" s="1">
        <f t="shared" si="115"/>
        <v>1</v>
      </c>
      <c r="AP187" s="1">
        <f t="shared" si="115"/>
        <v>1</v>
      </c>
      <c r="AQ187" s="1">
        <f t="shared" si="115"/>
        <v>1</v>
      </c>
      <c r="AR187" s="1">
        <f t="shared" si="115"/>
        <v>1</v>
      </c>
      <c r="AS187" s="1">
        <f t="shared" si="115"/>
        <v>1</v>
      </c>
      <c r="AT187" s="39">
        <f t="shared" si="83"/>
        <v>128328.00419815641</v>
      </c>
      <c r="AU187" s="39">
        <f t="shared" si="101"/>
        <v>128328.00419815641</v>
      </c>
      <c r="AV187" s="39">
        <f t="shared" si="111"/>
        <v>0</v>
      </c>
      <c r="AW187" s="3">
        <f t="shared" si="84"/>
        <v>113</v>
      </c>
      <c r="AX187" s="69">
        <f t="shared" si="102"/>
        <v>0</v>
      </c>
      <c r="AY187" s="75">
        <f t="shared" si="85"/>
        <v>0</v>
      </c>
      <c r="AZ187" s="75">
        <f t="shared" si="86"/>
        <v>0</v>
      </c>
      <c r="BA187" s="75">
        <f t="shared" si="87"/>
        <v>0</v>
      </c>
      <c r="BB187" s="75">
        <f t="shared" si="88"/>
        <v>0</v>
      </c>
      <c r="BD187" s="214">
        <f t="shared" si="103"/>
        <v>141799.7142859961</v>
      </c>
      <c r="BE187" s="214">
        <f t="shared" si="89"/>
        <v>690.21727943828307</v>
      </c>
      <c r="BF187" s="214">
        <f t="shared" si="90"/>
        <v>-234.63477196391051</v>
      </c>
      <c r="BG187" s="224">
        <f t="shared" si="107"/>
        <v>0</v>
      </c>
      <c r="BH187" s="19">
        <f t="shared" si="104"/>
        <v>170547.17086781622</v>
      </c>
      <c r="BI187" s="214">
        <f t="shared" si="91"/>
        <v>830.14697797529629</v>
      </c>
      <c r="BJ187" s="214">
        <f t="shared" si="92"/>
        <v>0</v>
      </c>
      <c r="BK187" s="19">
        <f t="shared" si="108"/>
        <v>0</v>
      </c>
    </row>
    <row r="188" spans="1:63">
      <c r="A188" s="165">
        <f t="shared" si="93"/>
        <v>71.472792607802873</v>
      </c>
      <c r="B188" s="69">
        <f t="shared" si="94"/>
        <v>10</v>
      </c>
      <c r="C188" s="70">
        <f t="shared" si="95"/>
        <v>114</v>
      </c>
      <c r="D188" s="13">
        <f t="shared" si="64"/>
        <v>4.8675505653430484E-3</v>
      </c>
      <c r="E188" s="15">
        <f t="shared" si="65"/>
        <v>1</v>
      </c>
      <c r="F188" s="15">
        <f t="shared" si="96"/>
        <v>0</v>
      </c>
      <c r="G188" s="15">
        <f t="shared" si="66"/>
        <v>0</v>
      </c>
      <c r="H188" s="73">
        <f t="shared" si="67"/>
        <v>0</v>
      </c>
      <c r="I188" s="189"/>
      <c r="J188" s="189"/>
      <c r="K188" s="5">
        <f t="shared" si="109"/>
        <v>128328.00419815641</v>
      </c>
      <c r="M188" s="5">
        <f t="shared" si="68"/>
        <v>624.64304938408134</v>
      </c>
      <c r="N188" s="5">
        <f t="shared" si="69"/>
        <v>-212.34324873806756</v>
      </c>
      <c r="O188" s="5">
        <f t="shared" si="70"/>
        <v>0</v>
      </c>
      <c r="P188" s="5">
        <f t="shared" si="71"/>
        <v>0</v>
      </c>
      <c r="Q188" s="5">
        <f t="shared" si="105"/>
        <v>0</v>
      </c>
      <c r="R188" s="5">
        <f t="shared" si="97"/>
        <v>0</v>
      </c>
      <c r="S188" s="5">
        <f t="shared" si="72"/>
        <v>0</v>
      </c>
      <c r="T188" s="5">
        <f t="shared" si="73"/>
        <v>0</v>
      </c>
      <c r="U188" s="74">
        <f t="shared" si="74"/>
        <v>0</v>
      </c>
      <c r="V188" s="75">
        <f t="shared" si="75"/>
        <v>0</v>
      </c>
      <c r="W188" s="5">
        <f t="shared" si="76"/>
        <v>0</v>
      </c>
      <c r="X188" s="5">
        <f t="shared" si="77"/>
        <v>128740.30399880242</v>
      </c>
      <c r="Y188" s="5">
        <f t="shared" si="98"/>
        <v>100000</v>
      </c>
      <c r="Z188" s="215">
        <f t="shared" si="78"/>
        <v>1</v>
      </c>
      <c r="AA188" s="216">
        <f t="shared" si="99"/>
        <v>0</v>
      </c>
      <c r="AB188" s="72">
        <f t="shared" si="106"/>
        <v>13188.158705474159</v>
      </c>
      <c r="AC188" s="72">
        <f t="shared" si="79"/>
        <v>0</v>
      </c>
      <c r="AD188" s="72">
        <f t="shared" si="80"/>
        <v>0</v>
      </c>
      <c r="AE188" s="72">
        <f t="shared" si="100"/>
        <v>-26.808680934010113</v>
      </c>
      <c r="AF188" s="70">
        <f t="shared" si="81"/>
        <v>0</v>
      </c>
      <c r="AG188" s="70">
        <f t="shared" si="82"/>
        <v>2744.6571221509403</v>
      </c>
      <c r="AH188" s="1">
        <f t="shared" si="115"/>
        <v>0</v>
      </c>
      <c r="AI188" s="1">
        <f t="shared" si="115"/>
        <v>0</v>
      </c>
      <c r="AJ188" s="1">
        <f t="shared" si="115"/>
        <v>0</v>
      </c>
      <c r="AK188" s="1">
        <f t="shared" si="115"/>
        <v>0</v>
      </c>
      <c r="AL188" s="1">
        <f t="shared" si="115"/>
        <v>0</v>
      </c>
      <c r="AM188" s="1">
        <f t="shared" si="115"/>
        <v>1</v>
      </c>
      <c r="AN188" s="1">
        <f t="shared" si="115"/>
        <v>1</v>
      </c>
      <c r="AO188" s="1">
        <f t="shared" si="115"/>
        <v>1</v>
      </c>
      <c r="AP188" s="1">
        <f t="shared" si="115"/>
        <v>1</v>
      </c>
      <c r="AQ188" s="1">
        <f t="shared" si="115"/>
        <v>1</v>
      </c>
      <c r="AR188" s="1">
        <f t="shared" si="115"/>
        <v>1</v>
      </c>
      <c r="AS188" s="1">
        <f t="shared" si="115"/>
        <v>1</v>
      </c>
      <c r="AT188" s="39">
        <f t="shared" si="83"/>
        <v>128740.30399880242</v>
      </c>
      <c r="AU188" s="39">
        <f t="shared" si="101"/>
        <v>128740.30399880242</v>
      </c>
      <c r="AV188" s="39">
        <f t="shared" si="111"/>
        <v>0</v>
      </c>
      <c r="AW188" s="3">
        <f t="shared" si="84"/>
        <v>114</v>
      </c>
      <c r="AX188" s="69">
        <f t="shared" si="102"/>
        <v>0</v>
      </c>
      <c r="AY188" s="75">
        <f t="shared" si="85"/>
        <v>0</v>
      </c>
      <c r="AZ188" s="75">
        <f t="shared" si="86"/>
        <v>0</v>
      </c>
      <c r="BA188" s="75">
        <f t="shared" si="87"/>
        <v>0</v>
      </c>
      <c r="BB188" s="75">
        <f t="shared" si="88"/>
        <v>0</v>
      </c>
      <c r="BD188" s="214">
        <f t="shared" si="103"/>
        <v>142255.29679347048</v>
      </c>
      <c r="BE188" s="214">
        <f t="shared" si="89"/>
        <v>692.4348503301004</v>
      </c>
      <c r="BF188" s="214">
        <f t="shared" si="90"/>
        <v>-235.38862043455271</v>
      </c>
      <c r="BG188" s="224">
        <f t="shared" si="107"/>
        <v>0</v>
      </c>
      <c r="BH188" s="19">
        <f t="shared" si="104"/>
        <v>171377.31784579152</v>
      </c>
      <c r="BI188" s="214">
        <f t="shared" si="91"/>
        <v>834.18776036725785</v>
      </c>
      <c r="BJ188" s="214">
        <f t="shared" si="92"/>
        <v>0</v>
      </c>
      <c r="BK188" s="19">
        <f t="shared" si="108"/>
        <v>0</v>
      </c>
    </row>
    <row r="189" spans="1:63">
      <c r="A189" s="165">
        <f t="shared" si="93"/>
        <v>71.556125941136202</v>
      </c>
      <c r="B189" s="69">
        <f t="shared" si="94"/>
        <v>10</v>
      </c>
      <c r="C189" s="70">
        <f t="shared" si="95"/>
        <v>115</v>
      </c>
      <c r="D189" s="13">
        <f t="shared" si="64"/>
        <v>4.8675505653430484E-3</v>
      </c>
      <c r="E189" s="15">
        <f t="shared" si="65"/>
        <v>1</v>
      </c>
      <c r="F189" s="15">
        <f t="shared" si="96"/>
        <v>0</v>
      </c>
      <c r="G189" s="15">
        <f t="shared" si="66"/>
        <v>0</v>
      </c>
      <c r="H189" s="73">
        <f t="shared" si="67"/>
        <v>0</v>
      </c>
      <c r="I189" s="189"/>
      <c r="J189" s="189"/>
      <c r="K189" s="5">
        <f t="shared" si="109"/>
        <v>128740.30399880242</v>
      </c>
      <c r="M189" s="5">
        <f t="shared" si="68"/>
        <v>626.64993951180668</v>
      </c>
      <c r="N189" s="5">
        <f t="shared" si="69"/>
        <v>-213.02547768466633</v>
      </c>
      <c r="O189" s="5">
        <f t="shared" si="70"/>
        <v>0</v>
      </c>
      <c r="P189" s="5">
        <f t="shared" si="71"/>
        <v>0</v>
      </c>
      <c r="Q189" s="5">
        <f t="shared" si="105"/>
        <v>0</v>
      </c>
      <c r="R189" s="5">
        <f t="shared" si="97"/>
        <v>0</v>
      </c>
      <c r="S189" s="5">
        <f t="shared" si="72"/>
        <v>0</v>
      </c>
      <c r="T189" s="5">
        <f t="shared" si="73"/>
        <v>0</v>
      </c>
      <c r="U189" s="74">
        <f t="shared" si="74"/>
        <v>0</v>
      </c>
      <c r="V189" s="75">
        <f t="shared" si="75"/>
        <v>0</v>
      </c>
      <c r="W189" s="5">
        <f t="shared" si="76"/>
        <v>0</v>
      </c>
      <c r="X189" s="5">
        <f t="shared" si="77"/>
        <v>129153.92846062956</v>
      </c>
      <c r="Y189" s="5">
        <f t="shared" si="98"/>
        <v>100000</v>
      </c>
      <c r="Z189" s="215">
        <f t="shared" si="78"/>
        <v>1</v>
      </c>
      <c r="AA189" s="216">
        <f t="shared" si="99"/>
        <v>0</v>
      </c>
      <c r="AB189" s="72">
        <f t="shared" si="106"/>
        <v>13188.158705474159</v>
      </c>
      <c r="AC189" s="72">
        <f t="shared" si="79"/>
        <v>0</v>
      </c>
      <c r="AD189" s="72">
        <f t="shared" si="80"/>
        <v>0</v>
      </c>
      <c r="AE189" s="72">
        <f t="shared" si="100"/>
        <v>-26.894813449463303</v>
      </c>
      <c r="AF189" s="70">
        <f t="shared" si="81"/>
        <v>0</v>
      </c>
      <c r="AG189" s="70">
        <f t="shared" si="82"/>
        <v>2901.8344176452501</v>
      </c>
      <c r="AH189" s="1">
        <f t="shared" si="115"/>
        <v>0</v>
      </c>
      <c r="AI189" s="1">
        <f t="shared" si="115"/>
        <v>0</v>
      </c>
      <c r="AJ189" s="1">
        <f t="shared" si="115"/>
        <v>0</v>
      </c>
      <c r="AK189" s="1">
        <f t="shared" si="115"/>
        <v>0</v>
      </c>
      <c r="AL189" s="1">
        <f t="shared" si="115"/>
        <v>0</v>
      </c>
      <c r="AM189" s="1">
        <f t="shared" si="115"/>
        <v>1</v>
      </c>
      <c r="AN189" s="1">
        <f t="shared" si="115"/>
        <v>1</v>
      </c>
      <c r="AO189" s="1">
        <f t="shared" si="115"/>
        <v>1</v>
      </c>
      <c r="AP189" s="1">
        <f t="shared" si="115"/>
        <v>1</v>
      </c>
      <c r="AQ189" s="1">
        <f t="shared" si="115"/>
        <v>1</v>
      </c>
      <c r="AR189" s="1">
        <f t="shared" si="115"/>
        <v>1</v>
      </c>
      <c r="AS189" s="1">
        <f t="shared" si="115"/>
        <v>1</v>
      </c>
      <c r="AT189" s="39">
        <f t="shared" si="83"/>
        <v>129153.92846062956</v>
      </c>
      <c r="AU189" s="39">
        <f t="shared" si="101"/>
        <v>129153.92846062956</v>
      </c>
      <c r="AV189" s="39">
        <f t="shared" si="111"/>
        <v>0</v>
      </c>
      <c r="AW189" s="3">
        <f t="shared" si="84"/>
        <v>115</v>
      </c>
      <c r="AX189" s="69">
        <f t="shared" si="102"/>
        <v>0</v>
      </c>
      <c r="AY189" s="75">
        <f t="shared" si="85"/>
        <v>0</v>
      </c>
      <c r="AZ189" s="75">
        <f t="shared" si="86"/>
        <v>0</v>
      </c>
      <c r="BA189" s="75">
        <f t="shared" si="87"/>
        <v>0</v>
      </c>
      <c r="BB189" s="75">
        <f t="shared" si="88"/>
        <v>0</v>
      </c>
      <c r="BD189" s="214">
        <f t="shared" si="103"/>
        <v>142712.343023366</v>
      </c>
      <c r="BE189" s="214">
        <f t="shared" si="89"/>
        <v>694.65954596481629</v>
      </c>
      <c r="BF189" s="214">
        <f t="shared" si="90"/>
        <v>-236.1448909141406</v>
      </c>
      <c r="BG189" s="224">
        <f t="shared" si="107"/>
        <v>0</v>
      </c>
      <c r="BH189" s="19">
        <f t="shared" si="104"/>
        <v>172211.50560615878</v>
      </c>
      <c r="BI189" s="214">
        <f t="shared" si="91"/>
        <v>838.2482114718357</v>
      </c>
      <c r="BJ189" s="214">
        <f t="shared" si="92"/>
        <v>0</v>
      </c>
      <c r="BK189" s="19">
        <f t="shared" si="108"/>
        <v>0</v>
      </c>
    </row>
    <row r="190" spans="1:63">
      <c r="A190" s="165">
        <f t="shared" si="93"/>
        <v>71.639459274469544</v>
      </c>
      <c r="B190" s="69">
        <f t="shared" si="94"/>
        <v>10</v>
      </c>
      <c r="C190" s="70">
        <f t="shared" si="95"/>
        <v>116</v>
      </c>
      <c r="D190" s="13">
        <f t="shared" si="64"/>
        <v>4.8675505653430484E-3</v>
      </c>
      <c r="E190" s="15">
        <f t="shared" si="65"/>
        <v>1</v>
      </c>
      <c r="F190" s="15">
        <f t="shared" si="96"/>
        <v>0</v>
      </c>
      <c r="G190" s="15">
        <f t="shared" si="66"/>
        <v>0</v>
      </c>
      <c r="H190" s="73">
        <f t="shared" si="67"/>
        <v>0</v>
      </c>
      <c r="I190" s="189"/>
      <c r="J190" s="189"/>
      <c r="K190" s="5">
        <f t="shared" si="109"/>
        <v>129153.92846062956</v>
      </c>
      <c r="M190" s="5">
        <f t="shared" si="68"/>
        <v>628.66327749481297</v>
      </c>
      <c r="N190" s="5">
        <f t="shared" si="69"/>
        <v>-213.70989853676878</v>
      </c>
      <c r="O190" s="5">
        <f t="shared" si="70"/>
        <v>0</v>
      </c>
      <c r="P190" s="5">
        <f t="shared" si="71"/>
        <v>0</v>
      </c>
      <c r="Q190" s="5">
        <f t="shared" si="105"/>
        <v>0</v>
      </c>
      <c r="R190" s="5">
        <f t="shared" si="97"/>
        <v>0</v>
      </c>
      <c r="S190" s="5">
        <f t="shared" si="72"/>
        <v>0</v>
      </c>
      <c r="T190" s="5">
        <f t="shared" si="73"/>
        <v>0</v>
      </c>
      <c r="U190" s="74">
        <f t="shared" si="74"/>
        <v>0</v>
      </c>
      <c r="V190" s="75">
        <f t="shared" si="75"/>
        <v>0</v>
      </c>
      <c r="W190" s="5">
        <f t="shared" si="76"/>
        <v>0</v>
      </c>
      <c r="X190" s="5">
        <f t="shared" si="77"/>
        <v>129568.8818395876</v>
      </c>
      <c r="Y190" s="5">
        <f t="shared" si="98"/>
        <v>100000</v>
      </c>
      <c r="Z190" s="215">
        <f t="shared" si="78"/>
        <v>1</v>
      </c>
      <c r="AA190" s="216">
        <f t="shared" si="99"/>
        <v>0</v>
      </c>
      <c r="AB190" s="72">
        <f t="shared" si="106"/>
        <v>13188.158705474159</v>
      </c>
      <c r="AC190" s="72">
        <f t="shared" si="79"/>
        <v>0</v>
      </c>
      <c r="AD190" s="72">
        <f t="shared" si="80"/>
        <v>0</v>
      </c>
      <c r="AE190" s="72">
        <f t="shared" si="100"/>
        <v>-26.981222696555641</v>
      </c>
      <c r="AF190" s="70">
        <f t="shared" si="81"/>
        <v>0</v>
      </c>
      <c r="AG190" s="70">
        <f t="shared" si="82"/>
        <v>3059.5167016493069</v>
      </c>
      <c r="AH190" s="1">
        <f t="shared" si="115"/>
        <v>0</v>
      </c>
      <c r="AI190" s="1">
        <f t="shared" si="115"/>
        <v>0</v>
      </c>
      <c r="AJ190" s="1">
        <f t="shared" si="115"/>
        <v>0</v>
      </c>
      <c r="AK190" s="1">
        <f t="shared" si="115"/>
        <v>0</v>
      </c>
      <c r="AL190" s="1">
        <f t="shared" si="115"/>
        <v>0</v>
      </c>
      <c r="AM190" s="1">
        <f t="shared" si="115"/>
        <v>1</v>
      </c>
      <c r="AN190" s="1">
        <f t="shared" si="115"/>
        <v>1</v>
      </c>
      <c r="AO190" s="1">
        <f t="shared" si="115"/>
        <v>1</v>
      </c>
      <c r="AP190" s="1">
        <f t="shared" si="115"/>
        <v>1</v>
      </c>
      <c r="AQ190" s="1">
        <f t="shared" si="115"/>
        <v>1</v>
      </c>
      <c r="AR190" s="1">
        <f t="shared" si="115"/>
        <v>1</v>
      </c>
      <c r="AS190" s="1">
        <f t="shared" si="115"/>
        <v>1</v>
      </c>
      <c r="AT190" s="39">
        <f t="shared" si="83"/>
        <v>129568.8818395876</v>
      </c>
      <c r="AU190" s="39">
        <f t="shared" si="101"/>
        <v>129568.8818395876</v>
      </c>
      <c r="AV190" s="39">
        <f t="shared" si="111"/>
        <v>0</v>
      </c>
      <c r="AW190" s="3">
        <f t="shared" si="84"/>
        <v>116</v>
      </c>
      <c r="AX190" s="69">
        <f t="shared" si="102"/>
        <v>0</v>
      </c>
      <c r="AY190" s="75">
        <f t="shared" si="85"/>
        <v>0</v>
      </c>
      <c r="AZ190" s="75">
        <f t="shared" si="86"/>
        <v>0</v>
      </c>
      <c r="BA190" s="75">
        <f t="shared" si="87"/>
        <v>0</v>
      </c>
      <c r="BB190" s="75">
        <f t="shared" si="88"/>
        <v>0</v>
      </c>
      <c r="BD190" s="214">
        <f t="shared" si="103"/>
        <v>143170.85767841668</v>
      </c>
      <c r="BE190" s="214">
        <f t="shared" si="89"/>
        <v>696.89138923322628</v>
      </c>
      <c r="BF190" s="214">
        <f t="shared" si="90"/>
        <v>-236.90359118424797</v>
      </c>
      <c r="BG190" s="224">
        <f t="shared" si="107"/>
        <v>0</v>
      </c>
      <c r="BH190" s="19">
        <f t="shared" si="104"/>
        <v>173049.75381763061</v>
      </c>
      <c r="BI190" s="214">
        <f t="shared" si="91"/>
        <v>842.32842702748326</v>
      </c>
      <c r="BJ190" s="214">
        <f t="shared" si="92"/>
        <v>0</v>
      </c>
      <c r="BK190" s="19">
        <f t="shared" si="108"/>
        <v>0</v>
      </c>
    </row>
    <row r="191" spans="1:63">
      <c r="A191" s="165">
        <f t="shared" si="93"/>
        <v>71.722792607802873</v>
      </c>
      <c r="B191" s="69">
        <f t="shared" si="94"/>
        <v>10</v>
      </c>
      <c r="C191" s="70">
        <f t="shared" si="95"/>
        <v>117</v>
      </c>
      <c r="D191" s="13">
        <f t="shared" si="64"/>
        <v>4.8675505653430484E-3</v>
      </c>
      <c r="E191" s="15">
        <f t="shared" si="65"/>
        <v>1</v>
      </c>
      <c r="F191" s="15">
        <f t="shared" si="96"/>
        <v>0</v>
      </c>
      <c r="G191" s="15">
        <f t="shared" si="66"/>
        <v>0</v>
      </c>
      <c r="H191" s="73">
        <f t="shared" si="67"/>
        <v>0</v>
      </c>
      <c r="I191" s="189"/>
      <c r="J191" s="189"/>
      <c r="K191" s="5">
        <f t="shared" si="109"/>
        <v>129568.8818395876</v>
      </c>
      <c r="M191" s="5">
        <f t="shared" si="68"/>
        <v>630.68308404915126</v>
      </c>
      <c r="N191" s="5">
        <f t="shared" si="69"/>
        <v>-214.39651833665852</v>
      </c>
      <c r="O191" s="5">
        <f t="shared" si="70"/>
        <v>0</v>
      </c>
      <c r="P191" s="5">
        <f t="shared" si="71"/>
        <v>0</v>
      </c>
      <c r="Q191" s="5">
        <f t="shared" si="105"/>
        <v>0</v>
      </c>
      <c r="R191" s="5">
        <f t="shared" si="97"/>
        <v>0</v>
      </c>
      <c r="S191" s="5">
        <f t="shared" si="72"/>
        <v>0</v>
      </c>
      <c r="T191" s="5">
        <f t="shared" si="73"/>
        <v>0</v>
      </c>
      <c r="U191" s="74">
        <f t="shared" si="74"/>
        <v>0</v>
      </c>
      <c r="V191" s="75">
        <f t="shared" si="75"/>
        <v>0</v>
      </c>
      <c r="W191" s="5">
        <f t="shared" si="76"/>
        <v>0</v>
      </c>
      <c r="X191" s="5">
        <f t="shared" si="77"/>
        <v>129985.16840530009</v>
      </c>
      <c r="Y191" s="5">
        <f t="shared" si="98"/>
        <v>100000</v>
      </c>
      <c r="Z191" s="215">
        <f t="shared" si="78"/>
        <v>1</v>
      </c>
      <c r="AA191" s="216">
        <f t="shared" si="99"/>
        <v>0</v>
      </c>
      <c r="AB191" s="72">
        <f t="shared" si="106"/>
        <v>13188.158705474159</v>
      </c>
      <c r="AC191" s="72">
        <f t="shared" si="79"/>
        <v>0</v>
      </c>
      <c r="AD191" s="72">
        <f t="shared" si="80"/>
        <v>0</v>
      </c>
      <c r="AE191" s="72">
        <f t="shared" si="100"/>
        <v>-27.067909564386905</v>
      </c>
      <c r="AF191" s="70">
        <f t="shared" si="81"/>
        <v>0</v>
      </c>
      <c r="AG191" s="70">
        <f t="shared" si="82"/>
        <v>3217.7055966200587</v>
      </c>
      <c r="AH191" s="1">
        <f t="shared" si="115"/>
        <v>0</v>
      </c>
      <c r="AI191" s="1">
        <f t="shared" si="115"/>
        <v>0</v>
      </c>
      <c r="AJ191" s="1">
        <f t="shared" si="115"/>
        <v>0</v>
      </c>
      <c r="AK191" s="1">
        <f t="shared" si="115"/>
        <v>0</v>
      </c>
      <c r="AL191" s="1">
        <f t="shared" si="115"/>
        <v>0</v>
      </c>
      <c r="AM191" s="1">
        <f t="shared" si="115"/>
        <v>1</v>
      </c>
      <c r="AN191" s="1">
        <f t="shared" si="115"/>
        <v>1</v>
      </c>
      <c r="AO191" s="1">
        <f t="shared" si="115"/>
        <v>1</v>
      </c>
      <c r="AP191" s="1">
        <f t="shared" si="115"/>
        <v>1</v>
      </c>
      <c r="AQ191" s="1">
        <f t="shared" si="115"/>
        <v>1</v>
      </c>
      <c r="AR191" s="1">
        <f t="shared" si="115"/>
        <v>1</v>
      </c>
      <c r="AS191" s="1">
        <f t="shared" si="115"/>
        <v>1</v>
      </c>
      <c r="AT191" s="39">
        <f t="shared" si="83"/>
        <v>129985.16840530009</v>
      </c>
      <c r="AU191" s="39">
        <f t="shared" si="101"/>
        <v>129985.16840530009</v>
      </c>
      <c r="AV191" s="39">
        <f t="shared" si="111"/>
        <v>0</v>
      </c>
      <c r="AW191" s="3">
        <f t="shared" si="84"/>
        <v>117</v>
      </c>
      <c r="AX191" s="69">
        <f t="shared" si="102"/>
        <v>0</v>
      </c>
      <c r="AY191" s="75">
        <f t="shared" si="85"/>
        <v>0</v>
      </c>
      <c r="AZ191" s="75">
        <f t="shared" si="86"/>
        <v>0</v>
      </c>
      <c r="BA191" s="75">
        <f t="shared" si="87"/>
        <v>0</v>
      </c>
      <c r="BB191" s="75">
        <f t="shared" si="88"/>
        <v>0</v>
      </c>
      <c r="BD191" s="214">
        <f t="shared" si="103"/>
        <v>143630.84547646568</v>
      </c>
      <c r="BE191" s="214">
        <f t="shared" si="89"/>
        <v>699.1304030996705</v>
      </c>
      <c r="BF191" s="214">
        <f t="shared" si="90"/>
        <v>-237.66472905144934</v>
      </c>
      <c r="BG191" s="224">
        <f t="shared" si="107"/>
        <v>0</v>
      </c>
      <c r="BH191" s="19">
        <f t="shared" si="104"/>
        <v>173892.08224465809</v>
      </c>
      <c r="BI191" s="214">
        <f t="shared" si="91"/>
        <v>846.42850323866537</v>
      </c>
      <c r="BJ191" s="214">
        <f t="shared" si="92"/>
        <v>0</v>
      </c>
      <c r="BK191" s="19">
        <f t="shared" si="108"/>
        <v>0</v>
      </c>
    </row>
    <row r="192" spans="1:63">
      <c r="A192" s="165">
        <f t="shared" si="93"/>
        <v>71.806125941136202</v>
      </c>
      <c r="B192" s="69">
        <f t="shared" si="94"/>
        <v>10</v>
      </c>
      <c r="C192" s="70">
        <f t="shared" si="95"/>
        <v>118</v>
      </c>
      <c r="D192" s="13">
        <f t="shared" si="64"/>
        <v>4.8675505653430484E-3</v>
      </c>
      <c r="E192" s="15">
        <f t="shared" si="65"/>
        <v>1</v>
      </c>
      <c r="F192" s="15">
        <f t="shared" si="96"/>
        <v>0</v>
      </c>
      <c r="G192" s="15">
        <f t="shared" si="66"/>
        <v>0</v>
      </c>
      <c r="H192" s="73">
        <f t="shared" si="67"/>
        <v>0</v>
      </c>
      <c r="I192" s="189"/>
      <c r="J192" s="189"/>
      <c r="K192" s="5">
        <f t="shared" si="109"/>
        <v>129985.16840530009</v>
      </c>
      <c r="M192" s="5">
        <f t="shared" si="68"/>
        <v>632.70937995742986</v>
      </c>
      <c r="N192" s="5">
        <f t="shared" si="69"/>
        <v>-215.08534414924506</v>
      </c>
      <c r="O192" s="5">
        <f t="shared" si="70"/>
        <v>0</v>
      </c>
      <c r="P192" s="5">
        <f t="shared" si="71"/>
        <v>0</v>
      </c>
      <c r="Q192" s="5">
        <f t="shared" si="105"/>
        <v>0</v>
      </c>
      <c r="R192" s="5">
        <f t="shared" si="97"/>
        <v>0</v>
      </c>
      <c r="S192" s="5">
        <f t="shared" si="72"/>
        <v>0</v>
      </c>
      <c r="T192" s="5">
        <f t="shared" si="73"/>
        <v>0</v>
      </c>
      <c r="U192" s="74">
        <f t="shared" si="74"/>
        <v>0</v>
      </c>
      <c r="V192" s="75">
        <f t="shared" si="75"/>
        <v>0</v>
      </c>
      <c r="W192" s="5">
        <f t="shared" si="76"/>
        <v>0</v>
      </c>
      <c r="X192" s="5">
        <f t="shared" si="77"/>
        <v>130402.79244110828</v>
      </c>
      <c r="Y192" s="5">
        <f t="shared" si="98"/>
        <v>100000</v>
      </c>
      <c r="Z192" s="215">
        <f t="shared" si="78"/>
        <v>1</v>
      </c>
      <c r="AA192" s="216">
        <f t="shared" si="99"/>
        <v>0</v>
      </c>
      <c r="AB192" s="72">
        <f t="shared" si="106"/>
        <v>13188.158705474159</v>
      </c>
      <c r="AC192" s="72">
        <f t="shared" si="79"/>
        <v>0</v>
      </c>
      <c r="AD192" s="72">
        <f t="shared" si="80"/>
        <v>0</v>
      </c>
      <c r="AE192" s="72">
        <f t="shared" si="100"/>
        <v>-27.154874944913423</v>
      </c>
      <c r="AF192" s="70">
        <f t="shared" si="81"/>
        <v>0</v>
      </c>
      <c r="AG192" s="70">
        <f t="shared" si="82"/>
        <v>3376.4027302271661</v>
      </c>
      <c r="AH192" s="1">
        <f t="shared" si="115"/>
        <v>0</v>
      </c>
      <c r="AI192" s="1">
        <f t="shared" si="115"/>
        <v>0</v>
      </c>
      <c r="AJ192" s="1">
        <f t="shared" si="115"/>
        <v>0</v>
      </c>
      <c r="AK192" s="1">
        <f t="shared" si="115"/>
        <v>0</v>
      </c>
      <c r="AL192" s="1">
        <f t="shared" si="115"/>
        <v>0</v>
      </c>
      <c r="AM192" s="1">
        <f t="shared" si="115"/>
        <v>1</v>
      </c>
      <c r="AN192" s="1">
        <f t="shared" si="115"/>
        <v>1</v>
      </c>
      <c r="AO192" s="1">
        <f t="shared" si="115"/>
        <v>1</v>
      </c>
      <c r="AP192" s="1">
        <f t="shared" si="115"/>
        <v>1</v>
      </c>
      <c r="AQ192" s="1">
        <f t="shared" si="115"/>
        <v>1</v>
      </c>
      <c r="AR192" s="1">
        <f t="shared" si="115"/>
        <v>1</v>
      </c>
      <c r="AS192" s="1">
        <f t="shared" si="115"/>
        <v>1</v>
      </c>
      <c r="AT192" s="39">
        <f t="shared" si="83"/>
        <v>130402.79244110828</v>
      </c>
      <c r="AU192" s="39">
        <f t="shared" si="101"/>
        <v>130402.79244110828</v>
      </c>
      <c r="AV192" s="39">
        <f t="shared" si="111"/>
        <v>0</v>
      </c>
      <c r="AW192" s="3">
        <f t="shared" si="84"/>
        <v>118</v>
      </c>
      <c r="AX192" s="69">
        <f t="shared" si="102"/>
        <v>0</v>
      </c>
      <c r="AY192" s="75">
        <f t="shared" si="85"/>
        <v>0</v>
      </c>
      <c r="AZ192" s="75">
        <f t="shared" si="86"/>
        <v>0</v>
      </c>
      <c r="BA192" s="75">
        <f t="shared" si="87"/>
        <v>0</v>
      </c>
      <c r="BB192" s="75">
        <f t="shared" si="88"/>
        <v>0</v>
      </c>
      <c r="BD192" s="214">
        <f t="shared" si="103"/>
        <v>144092.31115051391</v>
      </c>
      <c r="BE192" s="214">
        <f t="shared" si="89"/>
        <v>701.37661060227038</v>
      </c>
      <c r="BF192" s="214">
        <f t="shared" si="90"/>
        <v>-238.42831234740081</v>
      </c>
      <c r="BG192" s="224">
        <f t="shared" si="107"/>
        <v>0</v>
      </c>
      <c r="BH192" s="19">
        <f t="shared" si="104"/>
        <v>174738.51074789674</v>
      </c>
      <c r="BI192" s="214">
        <f t="shared" si="91"/>
        <v>850.54853677812707</v>
      </c>
      <c r="BJ192" s="214">
        <f t="shared" si="92"/>
        <v>0</v>
      </c>
      <c r="BK192" s="19">
        <f t="shared" si="108"/>
        <v>0</v>
      </c>
    </row>
    <row r="193" spans="1:63">
      <c r="A193" s="165">
        <f t="shared" si="93"/>
        <v>71.889459274469544</v>
      </c>
      <c r="B193" s="69">
        <f t="shared" si="94"/>
        <v>10</v>
      </c>
      <c r="C193" s="70">
        <f t="shared" si="95"/>
        <v>119</v>
      </c>
      <c r="D193" s="13">
        <f t="shared" si="64"/>
        <v>4.8675505653430484E-3</v>
      </c>
      <c r="E193" s="15">
        <f t="shared" si="65"/>
        <v>1</v>
      </c>
      <c r="F193" s="15">
        <f t="shared" si="96"/>
        <v>0</v>
      </c>
      <c r="G193" s="15">
        <f t="shared" si="66"/>
        <v>0</v>
      </c>
      <c r="H193" s="73">
        <f t="shared" si="67"/>
        <v>0</v>
      </c>
      <c r="I193" s="189"/>
      <c r="J193" s="189"/>
      <c r="K193" s="5">
        <f t="shared" si="109"/>
        <v>130402.79244110828</v>
      </c>
      <c r="M193" s="5">
        <f t="shared" si="68"/>
        <v>634.74218606902878</v>
      </c>
      <c r="N193" s="5">
        <f t="shared" si="69"/>
        <v>-215.77638306213643</v>
      </c>
      <c r="O193" s="5">
        <f t="shared" si="70"/>
        <v>0</v>
      </c>
      <c r="P193" s="5">
        <f t="shared" si="71"/>
        <v>0</v>
      </c>
      <c r="Q193" s="5">
        <f t="shared" si="105"/>
        <v>0</v>
      </c>
      <c r="R193" s="5">
        <f t="shared" si="97"/>
        <v>0</v>
      </c>
      <c r="S193" s="5">
        <f t="shared" si="72"/>
        <v>0</v>
      </c>
      <c r="T193" s="5">
        <f t="shared" si="73"/>
        <v>0</v>
      </c>
      <c r="U193" s="74">
        <f t="shared" si="74"/>
        <v>0</v>
      </c>
      <c r="V193" s="75">
        <f t="shared" si="75"/>
        <v>0</v>
      </c>
      <c r="W193" s="5">
        <f t="shared" si="76"/>
        <v>0</v>
      </c>
      <c r="X193" s="5">
        <f t="shared" si="77"/>
        <v>130821.75824411516</v>
      </c>
      <c r="Y193" s="5">
        <f t="shared" si="98"/>
        <v>100000</v>
      </c>
      <c r="Z193" s="215">
        <f t="shared" si="78"/>
        <v>1</v>
      </c>
      <c r="AA193" s="216">
        <f t="shared" si="99"/>
        <v>0</v>
      </c>
      <c r="AB193" s="72">
        <f t="shared" si="106"/>
        <v>13188.158705474159</v>
      </c>
      <c r="AC193" s="72">
        <f t="shared" si="79"/>
        <v>0</v>
      </c>
      <c r="AD193" s="72">
        <f t="shared" si="80"/>
        <v>0</v>
      </c>
      <c r="AE193" s="72">
        <f t="shared" si="100"/>
        <v>-27.242119732957249</v>
      </c>
      <c r="AF193" s="70">
        <f t="shared" si="81"/>
        <v>0</v>
      </c>
      <c r="AG193" s="70">
        <f t="shared" si="82"/>
        <v>3535.609735369786</v>
      </c>
      <c r="AH193" s="1">
        <f t="shared" si="115"/>
        <v>0</v>
      </c>
      <c r="AI193" s="1">
        <f t="shared" si="115"/>
        <v>0</v>
      </c>
      <c r="AJ193" s="1">
        <f t="shared" si="115"/>
        <v>0</v>
      </c>
      <c r="AK193" s="1">
        <f t="shared" si="115"/>
        <v>0</v>
      </c>
      <c r="AL193" s="1">
        <f t="shared" si="115"/>
        <v>0</v>
      </c>
      <c r="AM193" s="1">
        <f t="shared" si="115"/>
        <v>1</v>
      </c>
      <c r="AN193" s="1">
        <f t="shared" si="115"/>
        <v>1</v>
      </c>
      <c r="AO193" s="1">
        <f t="shared" si="115"/>
        <v>1</v>
      </c>
      <c r="AP193" s="1">
        <f t="shared" si="115"/>
        <v>1</v>
      </c>
      <c r="AQ193" s="1">
        <f t="shared" si="115"/>
        <v>1</v>
      </c>
      <c r="AR193" s="1">
        <f t="shared" si="115"/>
        <v>1</v>
      </c>
      <c r="AS193" s="1">
        <f t="shared" si="115"/>
        <v>1</v>
      </c>
      <c r="AT193" s="39">
        <f t="shared" si="83"/>
        <v>130821.75824411516</v>
      </c>
      <c r="AU193" s="39">
        <f t="shared" si="101"/>
        <v>130821.75824411516</v>
      </c>
      <c r="AV193" s="39">
        <f t="shared" si="111"/>
        <v>0</v>
      </c>
      <c r="AW193" s="3">
        <f t="shared" si="84"/>
        <v>119</v>
      </c>
      <c r="AX193" s="69">
        <f t="shared" si="102"/>
        <v>0</v>
      </c>
      <c r="AY193" s="75">
        <f t="shared" si="85"/>
        <v>0</v>
      </c>
      <c r="AZ193" s="75">
        <f t="shared" si="86"/>
        <v>0</v>
      </c>
      <c r="BA193" s="75">
        <f t="shared" si="87"/>
        <v>0</v>
      </c>
      <c r="BB193" s="75">
        <f t="shared" si="88"/>
        <v>0</v>
      </c>
      <c r="BD193" s="214">
        <f t="shared" si="103"/>
        <v>144555.2594487688</v>
      </c>
      <c r="BE193" s="214">
        <f t="shared" si="89"/>
        <v>703.63003485316563</v>
      </c>
      <c r="BF193" s="214">
        <f t="shared" si="90"/>
        <v>-239.19434892892053</v>
      </c>
      <c r="BG193" s="224">
        <f t="shared" si="107"/>
        <v>0</v>
      </c>
      <c r="BH193" s="19">
        <f t="shared" si="104"/>
        <v>175589.05928467488</v>
      </c>
      <c r="BI193" s="214">
        <f t="shared" si="91"/>
        <v>854.68862478917322</v>
      </c>
      <c r="BJ193" s="214">
        <f t="shared" si="92"/>
        <v>0</v>
      </c>
      <c r="BK193" s="19">
        <f t="shared" si="108"/>
        <v>0</v>
      </c>
    </row>
    <row r="194" spans="1:63">
      <c r="A194" s="165">
        <f t="shared" si="93"/>
        <v>71.972792607802873</v>
      </c>
      <c r="B194" s="69">
        <f t="shared" si="94"/>
        <v>10</v>
      </c>
      <c r="C194" s="70">
        <f t="shared" si="95"/>
        <v>120</v>
      </c>
      <c r="D194" s="13">
        <f t="shared" si="64"/>
        <v>4.8675505653430484E-3</v>
      </c>
      <c r="E194" s="15">
        <f t="shared" si="65"/>
        <v>1</v>
      </c>
      <c r="F194" s="15">
        <f t="shared" si="96"/>
        <v>0</v>
      </c>
      <c r="G194" s="15">
        <f t="shared" si="66"/>
        <v>0</v>
      </c>
      <c r="H194" s="73">
        <f t="shared" si="67"/>
        <v>0</v>
      </c>
      <c r="I194" s="189"/>
      <c r="J194" s="189"/>
      <c r="K194" s="5">
        <f t="shared" si="109"/>
        <v>130821.75824411516</v>
      </c>
      <c r="M194" s="5">
        <f t="shared" si="68"/>
        <v>636.78152330031435</v>
      </c>
      <c r="N194" s="5">
        <f t="shared" si="69"/>
        <v>-216.46964218571216</v>
      </c>
      <c r="O194" s="5">
        <f t="shared" si="70"/>
        <v>0</v>
      </c>
      <c r="P194" s="5">
        <f t="shared" si="71"/>
        <v>0</v>
      </c>
      <c r="Q194" s="5">
        <f t="shared" si="105"/>
        <v>0</v>
      </c>
      <c r="R194" s="5">
        <f t="shared" si="97"/>
        <v>0</v>
      </c>
      <c r="S194" s="5">
        <f t="shared" si="72"/>
        <v>0</v>
      </c>
      <c r="T194" s="5">
        <f t="shared" si="73"/>
        <v>0</v>
      </c>
      <c r="U194" s="74">
        <f t="shared" si="74"/>
        <v>0</v>
      </c>
      <c r="V194" s="75">
        <f t="shared" si="75"/>
        <v>0</v>
      </c>
      <c r="W194" s="5">
        <f t="shared" si="76"/>
        <v>0</v>
      </c>
      <c r="X194" s="5">
        <f t="shared" si="77"/>
        <v>131242.07012522974</v>
      </c>
      <c r="Y194" s="5">
        <f t="shared" si="98"/>
        <v>100000</v>
      </c>
      <c r="Z194" s="215">
        <f t="shared" si="78"/>
        <v>1</v>
      </c>
      <c r="AA194" s="216">
        <f t="shared" si="99"/>
        <v>0</v>
      </c>
      <c r="AB194" s="72">
        <f t="shared" si="106"/>
        <v>13188.158705474159</v>
      </c>
      <c r="AC194" s="72">
        <f t="shared" si="79"/>
        <v>0</v>
      </c>
      <c r="AD194" s="72">
        <f t="shared" si="80"/>
        <v>0</v>
      </c>
      <c r="AE194" s="72">
        <f t="shared" si="100"/>
        <v>-27.329644826215375</v>
      </c>
      <c r="AF194" s="70">
        <f t="shared" si="81"/>
        <v>0</v>
      </c>
      <c r="AG194" s="70">
        <f t="shared" si="82"/>
        <v>3695.3282501933263</v>
      </c>
      <c r="AH194" s="1">
        <f t="shared" si="115"/>
        <v>0</v>
      </c>
      <c r="AI194" s="1">
        <f t="shared" si="115"/>
        <v>0</v>
      </c>
      <c r="AJ194" s="1">
        <f t="shared" si="115"/>
        <v>0</v>
      </c>
      <c r="AK194" s="1">
        <f t="shared" si="115"/>
        <v>0</v>
      </c>
      <c r="AL194" s="1">
        <f t="shared" si="115"/>
        <v>0</v>
      </c>
      <c r="AM194" s="1">
        <f t="shared" si="115"/>
        <v>1</v>
      </c>
      <c r="AN194" s="1">
        <f t="shared" si="115"/>
        <v>1</v>
      </c>
      <c r="AO194" s="1">
        <f t="shared" si="115"/>
        <v>1</v>
      </c>
      <c r="AP194" s="1">
        <f t="shared" si="115"/>
        <v>1</v>
      </c>
      <c r="AQ194" s="1">
        <f t="shared" si="115"/>
        <v>1</v>
      </c>
      <c r="AR194" s="1">
        <f t="shared" si="115"/>
        <v>1</v>
      </c>
      <c r="AS194" s="1">
        <f t="shared" si="115"/>
        <v>1</v>
      </c>
      <c r="AT194" s="39">
        <f t="shared" si="83"/>
        <v>131242.07012522974</v>
      </c>
      <c r="AU194" s="39">
        <f t="shared" si="101"/>
        <v>131242.07012522974</v>
      </c>
      <c r="AV194" s="39">
        <f t="shared" si="111"/>
        <v>0</v>
      </c>
      <c r="AW194" s="3">
        <f t="shared" si="84"/>
        <v>120</v>
      </c>
      <c r="AX194" s="69">
        <f t="shared" si="102"/>
        <v>0</v>
      </c>
      <c r="AY194" s="75">
        <f t="shared" si="85"/>
        <v>0</v>
      </c>
      <c r="AZ194" s="75">
        <f t="shared" si="86"/>
        <v>0</v>
      </c>
      <c r="BA194" s="75">
        <f t="shared" si="87"/>
        <v>0</v>
      </c>
      <c r="BB194" s="75">
        <f t="shared" si="88"/>
        <v>0</v>
      </c>
      <c r="BD194" s="214">
        <f t="shared" si="103"/>
        <v>145019.69513469303</v>
      </c>
      <c r="BE194" s="214">
        <f t="shared" si="89"/>
        <v>705.89069903875156</v>
      </c>
      <c r="BF194" s="214">
        <f t="shared" si="90"/>
        <v>-239.96284667806935</v>
      </c>
      <c r="BG194" s="224">
        <f t="shared" si="107"/>
        <v>0</v>
      </c>
      <c r="BH194" s="19">
        <f t="shared" si="104"/>
        <v>176443.74790946406</v>
      </c>
      <c r="BI194" s="214">
        <f t="shared" si="91"/>
        <v>858.84886488795814</v>
      </c>
      <c r="BJ194" s="214">
        <f t="shared" si="92"/>
        <v>0</v>
      </c>
      <c r="BK194" s="19">
        <f t="shared" si="108"/>
        <v>0</v>
      </c>
    </row>
    <row r="195" spans="1:63">
      <c r="A195" s="165">
        <f t="shared" si="93"/>
        <v>72.056125941136202</v>
      </c>
      <c r="B195" s="69">
        <f t="shared" si="94"/>
        <v>11</v>
      </c>
      <c r="C195" s="70">
        <f t="shared" si="95"/>
        <v>121</v>
      </c>
      <c r="D195" s="13">
        <f t="shared" si="64"/>
        <v>4.8675505653430484E-3</v>
      </c>
      <c r="E195" s="15">
        <f t="shared" si="65"/>
        <v>1</v>
      </c>
      <c r="F195" s="15">
        <f t="shared" si="96"/>
        <v>0</v>
      </c>
      <c r="G195" s="15">
        <f t="shared" si="66"/>
        <v>0</v>
      </c>
      <c r="H195" s="73">
        <f t="shared" si="67"/>
        <v>0</v>
      </c>
      <c r="I195" s="189"/>
      <c r="J195" s="189"/>
      <c r="K195" s="5">
        <f t="shared" si="109"/>
        <v>131242.07012522974</v>
      </c>
      <c r="M195" s="5">
        <f t="shared" si="68"/>
        <v>638.827412634854</v>
      </c>
      <c r="N195" s="5">
        <f t="shared" si="69"/>
        <v>-217.1651286531964</v>
      </c>
      <c r="O195" s="5">
        <f t="shared" si="70"/>
        <v>0</v>
      </c>
      <c r="P195" s="5">
        <f t="shared" si="71"/>
        <v>0</v>
      </c>
      <c r="Q195" s="5">
        <f t="shared" si="105"/>
        <v>0</v>
      </c>
      <c r="R195" s="5">
        <f t="shared" si="97"/>
        <v>0</v>
      </c>
      <c r="S195" s="5">
        <f t="shared" si="72"/>
        <v>0</v>
      </c>
      <c r="T195" s="5">
        <f t="shared" si="73"/>
        <v>0</v>
      </c>
      <c r="U195" s="74">
        <f t="shared" si="74"/>
        <v>0</v>
      </c>
      <c r="V195" s="75">
        <f t="shared" si="75"/>
        <v>0</v>
      </c>
      <c r="W195" s="5">
        <f t="shared" si="76"/>
        <v>0</v>
      </c>
      <c r="X195" s="5">
        <f t="shared" si="77"/>
        <v>131663.7324092114</v>
      </c>
      <c r="Y195" s="5">
        <f t="shared" si="98"/>
        <v>100000</v>
      </c>
      <c r="Z195" s="215">
        <f t="shared" si="78"/>
        <v>1</v>
      </c>
      <c r="AA195" s="216">
        <f t="shared" si="99"/>
        <v>0</v>
      </c>
      <c r="AB195" s="72">
        <f t="shared" si="106"/>
        <v>13188.158705474159</v>
      </c>
      <c r="AC195" s="72">
        <f t="shared" si="79"/>
        <v>0</v>
      </c>
      <c r="AD195" s="72">
        <f t="shared" si="80"/>
        <v>0</v>
      </c>
      <c r="AE195" s="72">
        <f t="shared" si="100"/>
        <v>-27.417451125268972</v>
      </c>
      <c r="AF195" s="70">
        <f t="shared" si="81"/>
        <v>0</v>
      </c>
      <c r="AG195" s="70">
        <f t="shared" si="82"/>
        <v>3855.5599181063571</v>
      </c>
      <c r="AH195" s="1">
        <f t="shared" ref="AH195:AS204" si="116">IF($B195&lt;=AH$74,1,0)</f>
        <v>0</v>
      </c>
      <c r="AI195" s="1">
        <f t="shared" si="116"/>
        <v>0</v>
      </c>
      <c r="AJ195" s="1">
        <f t="shared" si="116"/>
        <v>0</v>
      </c>
      <c r="AK195" s="1">
        <f t="shared" si="116"/>
        <v>0</v>
      </c>
      <c r="AL195" s="1">
        <f t="shared" si="116"/>
        <v>0</v>
      </c>
      <c r="AM195" s="1">
        <f t="shared" si="116"/>
        <v>0</v>
      </c>
      <c r="AN195" s="1">
        <f t="shared" si="116"/>
        <v>1</v>
      </c>
      <c r="AO195" s="1">
        <f t="shared" si="116"/>
        <v>1</v>
      </c>
      <c r="AP195" s="1">
        <f t="shared" si="116"/>
        <v>1</v>
      </c>
      <c r="AQ195" s="1">
        <f t="shared" si="116"/>
        <v>1</v>
      </c>
      <c r="AR195" s="1">
        <f t="shared" si="116"/>
        <v>1</v>
      </c>
      <c r="AS195" s="1">
        <f t="shared" si="116"/>
        <v>1</v>
      </c>
      <c r="AT195" s="39">
        <f t="shared" si="83"/>
        <v>131663.7324092114</v>
      </c>
      <c r="AU195" s="39">
        <f t="shared" si="101"/>
        <v>131663.7324092114</v>
      </c>
      <c r="AV195" s="39">
        <f t="shared" si="111"/>
        <v>0</v>
      </c>
      <c r="AW195" s="3">
        <f t="shared" si="84"/>
        <v>121</v>
      </c>
      <c r="AX195" s="69">
        <f t="shared" si="102"/>
        <v>0</v>
      </c>
      <c r="AY195" s="75">
        <f t="shared" si="85"/>
        <v>0</v>
      </c>
      <c r="AZ195" s="75">
        <f t="shared" si="86"/>
        <v>0</v>
      </c>
      <c r="BA195" s="75">
        <f t="shared" si="87"/>
        <v>0</v>
      </c>
      <c r="BB195" s="75">
        <f t="shared" si="88"/>
        <v>0</v>
      </c>
      <c r="BD195" s="214">
        <f t="shared" si="103"/>
        <v>145485.62298705371</v>
      </c>
      <c r="BE195" s="214">
        <f t="shared" si="89"/>
        <v>708.15862641991885</v>
      </c>
      <c r="BF195" s="214">
        <f t="shared" si="90"/>
        <v>-240.73381350223224</v>
      </c>
      <c r="BG195" s="224">
        <f t="shared" si="107"/>
        <v>0</v>
      </c>
      <c r="BH195" s="19">
        <f t="shared" si="104"/>
        <v>177302.59677435202</v>
      </c>
      <c r="BI195" s="214">
        <f t="shared" si="91"/>
        <v>863.02935516578771</v>
      </c>
      <c r="BJ195" s="214">
        <f t="shared" si="92"/>
        <v>0</v>
      </c>
      <c r="BK195" s="19">
        <f t="shared" si="108"/>
        <v>0</v>
      </c>
    </row>
    <row r="196" spans="1:63">
      <c r="A196" s="165">
        <f t="shared" si="93"/>
        <v>72.139459274469544</v>
      </c>
      <c r="B196" s="69">
        <f t="shared" si="94"/>
        <v>11</v>
      </c>
      <c r="C196" s="70">
        <f t="shared" si="95"/>
        <v>122</v>
      </c>
      <c r="D196" s="13">
        <f t="shared" si="64"/>
        <v>4.8675505653430484E-3</v>
      </c>
      <c r="E196" s="15">
        <f t="shared" si="65"/>
        <v>1</v>
      </c>
      <c r="F196" s="15">
        <f t="shared" si="96"/>
        <v>0</v>
      </c>
      <c r="G196" s="15">
        <f t="shared" si="66"/>
        <v>0</v>
      </c>
      <c r="H196" s="73">
        <f t="shared" si="67"/>
        <v>0</v>
      </c>
      <c r="I196" s="189"/>
      <c r="J196" s="189"/>
      <c r="K196" s="5">
        <f t="shared" si="109"/>
        <v>131663.7324092114</v>
      </c>
      <c r="M196" s="5">
        <f t="shared" si="68"/>
        <v>640.87987512363281</v>
      </c>
      <c r="N196" s="5">
        <f t="shared" si="69"/>
        <v>-217.86284962073142</v>
      </c>
      <c r="O196" s="5">
        <f t="shared" si="70"/>
        <v>0</v>
      </c>
      <c r="P196" s="5">
        <f t="shared" si="71"/>
        <v>0</v>
      </c>
      <c r="Q196" s="5">
        <f t="shared" si="105"/>
        <v>0</v>
      </c>
      <c r="R196" s="5">
        <f t="shared" si="97"/>
        <v>0</v>
      </c>
      <c r="S196" s="5">
        <f t="shared" si="72"/>
        <v>0</v>
      </c>
      <c r="T196" s="5">
        <f t="shared" si="73"/>
        <v>0</v>
      </c>
      <c r="U196" s="74">
        <f t="shared" si="74"/>
        <v>0</v>
      </c>
      <c r="V196" s="75">
        <f t="shared" si="75"/>
        <v>0</v>
      </c>
      <c r="W196" s="5">
        <f t="shared" si="76"/>
        <v>0</v>
      </c>
      <c r="X196" s="5">
        <f t="shared" si="77"/>
        <v>132086.74943471432</v>
      </c>
      <c r="Y196" s="5">
        <f t="shared" si="98"/>
        <v>100000</v>
      </c>
      <c r="Z196" s="215">
        <f t="shared" si="78"/>
        <v>1</v>
      </c>
      <c r="AA196" s="216">
        <f t="shared" si="99"/>
        <v>0</v>
      </c>
      <c r="AB196" s="72">
        <f t="shared" si="106"/>
        <v>13188.158705474159</v>
      </c>
      <c r="AC196" s="72">
        <f t="shared" si="79"/>
        <v>0</v>
      </c>
      <c r="AD196" s="72">
        <f t="shared" si="80"/>
        <v>0</v>
      </c>
      <c r="AE196" s="72">
        <f t="shared" si="100"/>
        <v>-27.505539533592646</v>
      </c>
      <c r="AF196" s="70">
        <f t="shared" si="81"/>
        <v>0</v>
      </c>
      <c r="AG196" s="70">
        <f t="shared" si="82"/>
        <v>4016.3063877974655</v>
      </c>
      <c r="AH196" s="1">
        <f t="shared" si="116"/>
        <v>0</v>
      </c>
      <c r="AI196" s="1">
        <f t="shared" si="116"/>
        <v>0</v>
      </c>
      <c r="AJ196" s="1">
        <f t="shared" si="116"/>
        <v>0</v>
      </c>
      <c r="AK196" s="1">
        <f t="shared" si="116"/>
        <v>0</v>
      </c>
      <c r="AL196" s="1">
        <f t="shared" si="116"/>
        <v>0</v>
      </c>
      <c r="AM196" s="1">
        <f t="shared" si="116"/>
        <v>0</v>
      </c>
      <c r="AN196" s="1">
        <f t="shared" si="116"/>
        <v>1</v>
      </c>
      <c r="AO196" s="1">
        <f t="shared" si="116"/>
        <v>1</v>
      </c>
      <c r="AP196" s="1">
        <f t="shared" si="116"/>
        <v>1</v>
      </c>
      <c r="AQ196" s="1">
        <f t="shared" si="116"/>
        <v>1</v>
      </c>
      <c r="AR196" s="1">
        <f t="shared" si="116"/>
        <v>1</v>
      </c>
      <c r="AS196" s="1">
        <f t="shared" si="116"/>
        <v>1</v>
      </c>
      <c r="AT196" s="39">
        <f t="shared" si="83"/>
        <v>132086.74943471432</v>
      </c>
      <c r="AU196" s="39">
        <f t="shared" si="101"/>
        <v>132086.74943471432</v>
      </c>
      <c r="AV196" s="39">
        <f t="shared" si="111"/>
        <v>0</v>
      </c>
      <c r="AW196" s="3">
        <f t="shared" si="84"/>
        <v>122</v>
      </c>
      <c r="AX196" s="69">
        <f t="shared" si="102"/>
        <v>0</v>
      </c>
      <c r="AY196" s="75">
        <f t="shared" si="85"/>
        <v>0</v>
      </c>
      <c r="AZ196" s="75">
        <f t="shared" si="86"/>
        <v>0</v>
      </c>
      <c r="BA196" s="75">
        <f t="shared" si="87"/>
        <v>0</v>
      </c>
      <c r="BB196" s="75">
        <f t="shared" si="88"/>
        <v>0</v>
      </c>
      <c r="BD196" s="214">
        <f t="shared" si="103"/>
        <v>145953.04779997139</v>
      </c>
      <c r="BE196" s="214">
        <f t="shared" si="89"/>
        <v>710.43384033229177</v>
      </c>
      <c r="BF196" s="214">
        <f t="shared" si="90"/>
        <v>-241.50725733419947</v>
      </c>
      <c r="BG196" s="224">
        <f t="shared" si="107"/>
        <v>0</v>
      </c>
      <c r="BH196" s="19">
        <f t="shared" si="104"/>
        <v>178165.6261295178</v>
      </c>
      <c r="BI196" s="214">
        <f t="shared" si="91"/>
        <v>867.23019419143259</v>
      </c>
      <c r="BJ196" s="214">
        <f t="shared" si="92"/>
        <v>0</v>
      </c>
      <c r="BK196" s="19">
        <f t="shared" si="108"/>
        <v>0</v>
      </c>
    </row>
    <row r="197" spans="1:63">
      <c r="A197" s="165">
        <f t="shared" si="93"/>
        <v>72.222792607802873</v>
      </c>
      <c r="B197" s="69">
        <f t="shared" si="94"/>
        <v>11</v>
      </c>
      <c r="C197" s="70">
        <f t="shared" si="95"/>
        <v>123</v>
      </c>
      <c r="D197" s="13">
        <f t="shared" si="64"/>
        <v>4.8675505653430484E-3</v>
      </c>
      <c r="E197" s="15">
        <f t="shared" si="65"/>
        <v>1</v>
      </c>
      <c r="F197" s="15">
        <f t="shared" si="96"/>
        <v>0</v>
      </c>
      <c r="G197" s="15">
        <f t="shared" si="66"/>
        <v>0</v>
      </c>
      <c r="H197" s="73">
        <f t="shared" si="67"/>
        <v>0</v>
      </c>
      <c r="I197" s="189"/>
      <c r="J197" s="189"/>
      <c r="K197" s="5">
        <f t="shared" si="109"/>
        <v>132086.74943471432</v>
      </c>
      <c r="M197" s="5">
        <f t="shared" si="68"/>
        <v>642.93893188526931</v>
      </c>
      <c r="N197" s="5">
        <f t="shared" si="69"/>
        <v>-218.56281226745119</v>
      </c>
      <c r="O197" s="5">
        <f t="shared" si="70"/>
        <v>0</v>
      </c>
      <c r="P197" s="5">
        <f t="shared" si="71"/>
        <v>0</v>
      </c>
      <c r="Q197" s="5">
        <f t="shared" si="105"/>
        <v>0</v>
      </c>
      <c r="R197" s="5">
        <f t="shared" si="97"/>
        <v>0</v>
      </c>
      <c r="S197" s="5">
        <f t="shared" si="72"/>
        <v>0</v>
      </c>
      <c r="T197" s="5">
        <f t="shared" si="73"/>
        <v>0</v>
      </c>
      <c r="U197" s="74">
        <f t="shared" si="74"/>
        <v>0</v>
      </c>
      <c r="V197" s="75">
        <f t="shared" si="75"/>
        <v>0</v>
      </c>
      <c r="W197" s="5">
        <f t="shared" si="76"/>
        <v>0</v>
      </c>
      <c r="X197" s="5">
        <f t="shared" si="77"/>
        <v>132511.12555433213</v>
      </c>
      <c r="Y197" s="5">
        <f t="shared" si="98"/>
        <v>100000</v>
      </c>
      <c r="Z197" s="215">
        <f t="shared" si="78"/>
        <v>1</v>
      </c>
      <c r="AA197" s="216">
        <f t="shared" si="99"/>
        <v>0</v>
      </c>
      <c r="AB197" s="72">
        <f t="shared" si="106"/>
        <v>13188.158705474159</v>
      </c>
      <c r="AC197" s="72">
        <f t="shared" si="79"/>
        <v>0</v>
      </c>
      <c r="AD197" s="72">
        <f t="shared" si="80"/>
        <v>0</v>
      </c>
      <c r="AE197" s="72">
        <f t="shared" si="100"/>
        <v>-27.593910957563764</v>
      </c>
      <c r="AF197" s="70">
        <f t="shared" si="81"/>
        <v>0</v>
      </c>
      <c r="AG197" s="70">
        <f t="shared" si="82"/>
        <v>4177.5693132522338</v>
      </c>
      <c r="AH197" s="1">
        <f t="shared" si="116"/>
        <v>0</v>
      </c>
      <c r="AI197" s="1">
        <f t="shared" si="116"/>
        <v>0</v>
      </c>
      <c r="AJ197" s="1">
        <f t="shared" si="116"/>
        <v>0</v>
      </c>
      <c r="AK197" s="1">
        <f t="shared" si="116"/>
        <v>0</v>
      </c>
      <c r="AL197" s="1">
        <f t="shared" si="116"/>
        <v>0</v>
      </c>
      <c r="AM197" s="1">
        <f t="shared" si="116"/>
        <v>0</v>
      </c>
      <c r="AN197" s="1">
        <f t="shared" si="116"/>
        <v>1</v>
      </c>
      <c r="AO197" s="1">
        <f t="shared" si="116"/>
        <v>1</v>
      </c>
      <c r="AP197" s="1">
        <f t="shared" si="116"/>
        <v>1</v>
      </c>
      <c r="AQ197" s="1">
        <f t="shared" si="116"/>
        <v>1</v>
      </c>
      <c r="AR197" s="1">
        <f t="shared" si="116"/>
        <v>1</v>
      </c>
      <c r="AS197" s="1">
        <f t="shared" si="116"/>
        <v>1</v>
      </c>
      <c r="AT197" s="39">
        <f t="shared" si="83"/>
        <v>132511.12555433213</v>
      </c>
      <c r="AU197" s="39">
        <f t="shared" si="101"/>
        <v>132511.12555433213</v>
      </c>
      <c r="AV197" s="39">
        <f t="shared" si="111"/>
        <v>0</v>
      </c>
      <c r="AW197" s="3">
        <f t="shared" si="84"/>
        <v>123</v>
      </c>
      <c r="AX197" s="69">
        <f t="shared" si="102"/>
        <v>0</v>
      </c>
      <c r="AY197" s="75">
        <f t="shared" si="85"/>
        <v>0</v>
      </c>
      <c r="AZ197" s="75">
        <f t="shared" si="86"/>
        <v>0</v>
      </c>
      <c r="BA197" s="75">
        <f t="shared" si="87"/>
        <v>0</v>
      </c>
      <c r="BB197" s="75">
        <f t="shared" si="88"/>
        <v>0</v>
      </c>
      <c r="BD197" s="214">
        <f t="shared" si="103"/>
        <v>146421.97438296949</v>
      </c>
      <c r="BE197" s="214">
        <f t="shared" si="89"/>
        <v>712.71636418646847</v>
      </c>
      <c r="BF197" s="214">
        <f t="shared" si="90"/>
        <v>-242.28318613224812</v>
      </c>
      <c r="BG197" s="224">
        <f t="shared" si="107"/>
        <v>0</v>
      </c>
      <c r="BH197" s="19">
        <f t="shared" si="104"/>
        <v>179032.85632370922</v>
      </c>
      <c r="BI197" s="214">
        <f t="shared" si="91"/>
        <v>871.4514810134516</v>
      </c>
      <c r="BJ197" s="214">
        <f t="shared" si="92"/>
        <v>0</v>
      </c>
      <c r="BK197" s="19">
        <f t="shared" si="108"/>
        <v>0</v>
      </c>
    </row>
    <row r="198" spans="1:63">
      <c r="A198" s="165">
        <f t="shared" si="93"/>
        <v>72.306125941136202</v>
      </c>
      <c r="B198" s="69">
        <f t="shared" si="94"/>
        <v>11</v>
      </c>
      <c r="C198" s="70">
        <f t="shared" si="95"/>
        <v>124</v>
      </c>
      <c r="D198" s="13">
        <f t="shared" si="64"/>
        <v>4.8675505653430484E-3</v>
      </c>
      <c r="E198" s="15">
        <f t="shared" si="65"/>
        <v>1</v>
      </c>
      <c r="F198" s="15">
        <f t="shared" si="96"/>
        <v>0</v>
      </c>
      <c r="G198" s="15">
        <f t="shared" si="66"/>
        <v>0</v>
      </c>
      <c r="H198" s="73">
        <f t="shared" si="67"/>
        <v>0</v>
      </c>
      <c r="I198" s="189"/>
      <c r="J198" s="189"/>
      <c r="K198" s="5">
        <f t="shared" si="109"/>
        <v>132511.12555433213</v>
      </c>
      <c r="M198" s="5">
        <f t="shared" si="68"/>
        <v>645.00460410623305</v>
      </c>
      <c r="N198" s="5">
        <f t="shared" si="69"/>
        <v>-219.26502379555501</v>
      </c>
      <c r="O198" s="5">
        <f t="shared" si="70"/>
        <v>0</v>
      </c>
      <c r="P198" s="5">
        <f t="shared" si="71"/>
        <v>0</v>
      </c>
      <c r="Q198" s="5">
        <f t="shared" si="105"/>
        <v>0</v>
      </c>
      <c r="R198" s="5">
        <f t="shared" si="97"/>
        <v>0</v>
      </c>
      <c r="S198" s="5">
        <f t="shared" si="72"/>
        <v>0</v>
      </c>
      <c r="T198" s="5">
        <f t="shared" si="73"/>
        <v>0</v>
      </c>
      <c r="U198" s="74">
        <f t="shared" si="74"/>
        <v>0</v>
      </c>
      <c r="V198" s="75">
        <f t="shared" si="75"/>
        <v>0</v>
      </c>
      <c r="W198" s="5">
        <f t="shared" si="76"/>
        <v>0</v>
      </c>
      <c r="X198" s="5">
        <f t="shared" si="77"/>
        <v>132936.86513464281</v>
      </c>
      <c r="Y198" s="5">
        <f t="shared" si="98"/>
        <v>100000</v>
      </c>
      <c r="Z198" s="215">
        <f t="shared" si="78"/>
        <v>1</v>
      </c>
      <c r="AA198" s="216">
        <f t="shared" si="99"/>
        <v>0</v>
      </c>
      <c r="AB198" s="72">
        <f t="shared" si="106"/>
        <v>13188.158705474159</v>
      </c>
      <c r="AC198" s="72">
        <f t="shared" si="79"/>
        <v>0</v>
      </c>
      <c r="AD198" s="72">
        <f t="shared" si="80"/>
        <v>0</v>
      </c>
      <c r="AE198" s="72">
        <f t="shared" si="100"/>
        <v>-27.682566306471703</v>
      </c>
      <c r="AF198" s="70">
        <f t="shared" si="81"/>
        <v>0</v>
      </c>
      <c r="AG198" s="70">
        <f t="shared" si="82"/>
        <v>4339.3503537702909</v>
      </c>
      <c r="AH198" s="1">
        <f t="shared" si="116"/>
        <v>0</v>
      </c>
      <c r="AI198" s="1">
        <f t="shared" si="116"/>
        <v>0</v>
      </c>
      <c r="AJ198" s="1">
        <f t="shared" si="116"/>
        <v>0</v>
      </c>
      <c r="AK198" s="1">
        <f t="shared" si="116"/>
        <v>0</v>
      </c>
      <c r="AL198" s="1">
        <f t="shared" si="116"/>
        <v>0</v>
      </c>
      <c r="AM198" s="1">
        <f t="shared" si="116"/>
        <v>0</v>
      </c>
      <c r="AN198" s="1">
        <f t="shared" si="116"/>
        <v>1</v>
      </c>
      <c r="AO198" s="1">
        <f t="shared" si="116"/>
        <v>1</v>
      </c>
      <c r="AP198" s="1">
        <f t="shared" si="116"/>
        <v>1</v>
      </c>
      <c r="AQ198" s="1">
        <f t="shared" si="116"/>
        <v>1</v>
      </c>
      <c r="AR198" s="1">
        <f t="shared" si="116"/>
        <v>1</v>
      </c>
      <c r="AS198" s="1">
        <f t="shared" si="116"/>
        <v>1</v>
      </c>
      <c r="AT198" s="39">
        <f t="shared" si="83"/>
        <v>132936.86513464281</v>
      </c>
      <c r="AU198" s="39">
        <f t="shared" si="101"/>
        <v>132936.86513464281</v>
      </c>
      <c r="AV198" s="39">
        <f t="shared" si="111"/>
        <v>0</v>
      </c>
      <c r="AW198" s="3">
        <f t="shared" si="84"/>
        <v>124</v>
      </c>
      <c r="AX198" s="69">
        <f t="shared" si="102"/>
        <v>0</v>
      </c>
      <c r="AY198" s="75">
        <f t="shared" si="85"/>
        <v>0</v>
      </c>
      <c r="AZ198" s="75">
        <f t="shared" si="86"/>
        <v>0</v>
      </c>
      <c r="BA198" s="75">
        <f t="shared" si="87"/>
        <v>0</v>
      </c>
      <c r="BB198" s="75">
        <f t="shared" si="88"/>
        <v>0</v>
      </c>
      <c r="BD198" s="214">
        <f t="shared" si="103"/>
        <v>146892.40756102372</v>
      </c>
      <c r="BE198" s="214">
        <f t="shared" si="89"/>
        <v>715.00622146826254</v>
      </c>
      <c r="BF198" s="214">
        <f t="shared" si="90"/>
        <v>-243.06160788022416</v>
      </c>
      <c r="BG198" s="224">
        <f t="shared" si="107"/>
        <v>0</v>
      </c>
      <c r="BH198" s="19">
        <f t="shared" si="104"/>
        <v>179904.30780472266</v>
      </c>
      <c r="BI198" s="214">
        <f t="shared" si="91"/>
        <v>875.6933151625276</v>
      </c>
      <c r="BJ198" s="214">
        <f t="shared" si="92"/>
        <v>0</v>
      </c>
      <c r="BK198" s="19">
        <f t="shared" si="108"/>
        <v>0</v>
      </c>
    </row>
    <row r="199" spans="1:63">
      <c r="A199" s="165">
        <f t="shared" si="93"/>
        <v>72.389459274469544</v>
      </c>
      <c r="B199" s="69">
        <f t="shared" si="94"/>
        <v>11</v>
      </c>
      <c r="C199" s="70">
        <f t="shared" si="95"/>
        <v>125</v>
      </c>
      <c r="D199" s="13">
        <f t="shared" si="64"/>
        <v>4.8675505653430484E-3</v>
      </c>
      <c r="E199" s="15">
        <f t="shared" si="65"/>
        <v>1</v>
      </c>
      <c r="F199" s="15">
        <f t="shared" si="96"/>
        <v>0</v>
      </c>
      <c r="G199" s="15">
        <f t="shared" si="66"/>
        <v>0</v>
      </c>
      <c r="H199" s="73">
        <f t="shared" si="67"/>
        <v>0</v>
      </c>
      <c r="I199" s="189"/>
      <c r="J199" s="189"/>
      <c r="K199" s="5">
        <f t="shared" si="109"/>
        <v>132936.86513464281</v>
      </c>
      <c r="M199" s="5">
        <f t="shared" si="68"/>
        <v>647.07691304106322</v>
      </c>
      <c r="N199" s="5">
        <f t="shared" si="69"/>
        <v>-219.96949143038205</v>
      </c>
      <c r="O199" s="5">
        <f t="shared" si="70"/>
        <v>0</v>
      </c>
      <c r="P199" s="5">
        <f t="shared" si="71"/>
        <v>0</v>
      </c>
      <c r="Q199" s="5">
        <f t="shared" si="105"/>
        <v>0</v>
      </c>
      <c r="R199" s="5">
        <f t="shared" si="97"/>
        <v>0</v>
      </c>
      <c r="S199" s="5">
        <f t="shared" si="72"/>
        <v>0</v>
      </c>
      <c r="T199" s="5">
        <f t="shared" si="73"/>
        <v>0</v>
      </c>
      <c r="U199" s="74">
        <f t="shared" si="74"/>
        <v>0</v>
      </c>
      <c r="V199" s="75">
        <f t="shared" si="75"/>
        <v>0</v>
      </c>
      <c r="W199" s="5">
        <f t="shared" si="76"/>
        <v>0</v>
      </c>
      <c r="X199" s="5">
        <f t="shared" si="77"/>
        <v>133363.97255625349</v>
      </c>
      <c r="Y199" s="5">
        <f t="shared" si="98"/>
        <v>100000</v>
      </c>
      <c r="Z199" s="215">
        <f t="shared" si="78"/>
        <v>1</v>
      </c>
      <c r="AA199" s="216">
        <f t="shared" si="99"/>
        <v>0</v>
      </c>
      <c r="AB199" s="72">
        <f t="shared" si="106"/>
        <v>13188.158705474159</v>
      </c>
      <c r="AC199" s="72">
        <f t="shared" si="79"/>
        <v>0</v>
      </c>
      <c r="AD199" s="72">
        <f t="shared" si="80"/>
        <v>0</v>
      </c>
      <c r="AE199" s="72">
        <f t="shared" si="100"/>
        <v>-27.771506492527305</v>
      </c>
      <c r="AF199" s="70">
        <f t="shared" si="81"/>
        <v>0</v>
      </c>
      <c r="AG199" s="70">
        <f t="shared" si="82"/>
        <v>4501.6511739823491</v>
      </c>
      <c r="AH199" s="1">
        <f t="shared" si="116"/>
        <v>0</v>
      </c>
      <c r="AI199" s="1">
        <f t="shared" si="116"/>
        <v>0</v>
      </c>
      <c r="AJ199" s="1">
        <f t="shared" si="116"/>
        <v>0</v>
      </c>
      <c r="AK199" s="1">
        <f t="shared" si="116"/>
        <v>0</v>
      </c>
      <c r="AL199" s="1">
        <f t="shared" si="116"/>
        <v>0</v>
      </c>
      <c r="AM199" s="1">
        <f t="shared" si="116"/>
        <v>0</v>
      </c>
      <c r="AN199" s="1">
        <f t="shared" si="116"/>
        <v>1</v>
      </c>
      <c r="AO199" s="1">
        <f t="shared" si="116"/>
        <v>1</v>
      </c>
      <c r="AP199" s="1">
        <f t="shared" si="116"/>
        <v>1</v>
      </c>
      <c r="AQ199" s="1">
        <f t="shared" si="116"/>
        <v>1</v>
      </c>
      <c r="AR199" s="1">
        <f t="shared" si="116"/>
        <v>1</v>
      </c>
      <c r="AS199" s="1">
        <f t="shared" si="116"/>
        <v>1</v>
      </c>
      <c r="AT199" s="39">
        <f t="shared" si="83"/>
        <v>133363.97255625349</v>
      </c>
      <c r="AU199" s="39">
        <f t="shared" si="101"/>
        <v>133363.97255625349</v>
      </c>
      <c r="AV199" s="39">
        <f t="shared" si="111"/>
        <v>0</v>
      </c>
      <c r="AW199" s="3">
        <f t="shared" si="84"/>
        <v>125</v>
      </c>
      <c r="AX199" s="69">
        <f t="shared" si="102"/>
        <v>0</v>
      </c>
      <c r="AY199" s="75">
        <f t="shared" si="85"/>
        <v>0</v>
      </c>
      <c r="AZ199" s="75">
        <f t="shared" si="86"/>
        <v>0</v>
      </c>
      <c r="BA199" s="75">
        <f t="shared" si="87"/>
        <v>0</v>
      </c>
      <c r="BB199" s="75">
        <f t="shared" si="88"/>
        <v>0</v>
      </c>
      <c r="BD199" s="214">
        <f t="shared" si="103"/>
        <v>147364.35217461176</v>
      </c>
      <c r="BE199" s="214">
        <f t="shared" si="89"/>
        <v>717.30343573894356</v>
      </c>
      <c r="BF199" s="214">
        <f t="shared" si="90"/>
        <v>-243.84253058762459</v>
      </c>
      <c r="BG199" s="224">
        <f t="shared" si="107"/>
        <v>0</v>
      </c>
      <c r="BH199" s="19">
        <f t="shared" si="104"/>
        <v>180780.00111988519</v>
      </c>
      <c r="BI199" s="214">
        <f t="shared" si="91"/>
        <v>879.9557966538141</v>
      </c>
      <c r="BJ199" s="214">
        <f t="shared" si="92"/>
        <v>0</v>
      </c>
      <c r="BK199" s="19">
        <f t="shared" si="108"/>
        <v>0</v>
      </c>
    </row>
    <row r="200" spans="1:63">
      <c r="A200" s="165">
        <f t="shared" si="93"/>
        <v>72.472792607802873</v>
      </c>
      <c r="B200" s="69">
        <f t="shared" si="94"/>
        <v>11</v>
      </c>
      <c r="C200" s="70">
        <f t="shared" si="95"/>
        <v>126</v>
      </c>
      <c r="D200" s="13">
        <f t="shared" si="64"/>
        <v>4.8675505653430484E-3</v>
      </c>
      <c r="E200" s="15">
        <f t="shared" si="65"/>
        <v>1</v>
      </c>
      <c r="F200" s="15">
        <f t="shared" si="96"/>
        <v>0</v>
      </c>
      <c r="G200" s="15">
        <f t="shared" si="66"/>
        <v>0</v>
      </c>
      <c r="H200" s="73">
        <f t="shared" si="67"/>
        <v>0</v>
      </c>
      <c r="I200" s="189"/>
      <c r="J200" s="189"/>
      <c r="K200" s="5">
        <f t="shared" si="109"/>
        <v>133363.97255625349</v>
      </c>
      <c r="M200" s="5">
        <f t="shared" si="68"/>
        <v>649.15588001258641</v>
      </c>
      <c r="N200" s="5">
        <f t="shared" si="69"/>
        <v>-220.67622242048543</v>
      </c>
      <c r="O200" s="5">
        <f t="shared" si="70"/>
        <v>0</v>
      </c>
      <c r="P200" s="5">
        <f t="shared" si="71"/>
        <v>0</v>
      </c>
      <c r="Q200" s="5">
        <f t="shared" si="105"/>
        <v>0</v>
      </c>
      <c r="R200" s="5">
        <f t="shared" si="97"/>
        <v>0</v>
      </c>
      <c r="S200" s="5">
        <f t="shared" si="72"/>
        <v>0</v>
      </c>
      <c r="T200" s="5">
        <f t="shared" si="73"/>
        <v>0</v>
      </c>
      <c r="U200" s="74">
        <f t="shared" si="74"/>
        <v>0</v>
      </c>
      <c r="V200" s="75">
        <f t="shared" si="75"/>
        <v>0</v>
      </c>
      <c r="W200" s="5">
        <f t="shared" si="76"/>
        <v>0</v>
      </c>
      <c r="X200" s="5">
        <f t="shared" si="77"/>
        <v>133792.45221384559</v>
      </c>
      <c r="Y200" s="5">
        <f t="shared" si="98"/>
        <v>100000</v>
      </c>
      <c r="Z200" s="215">
        <f t="shared" si="78"/>
        <v>1</v>
      </c>
      <c r="AA200" s="216">
        <f t="shared" si="99"/>
        <v>0</v>
      </c>
      <c r="AB200" s="72">
        <f t="shared" si="106"/>
        <v>13188.158705474159</v>
      </c>
      <c r="AC200" s="72">
        <f t="shared" si="79"/>
        <v>0</v>
      </c>
      <c r="AD200" s="72">
        <f t="shared" si="80"/>
        <v>0</v>
      </c>
      <c r="AE200" s="72">
        <f t="shared" si="100"/>
        <v>-27.860732430872208</v>
      </c>
      <c r="AF200" s="70">
        <f t="shared" si="81"/>
        <v>0</v>
      </c>
      <c r="AG200" s="70">
        <f t="shared" si="82"/>
        <v>4664.4734438673495</v>
      </c>
      <c r="AH200" s="1">
        <f t="shared" si="116"/>
        <v>0</v>
      </c>
      <c r="AI200" s="1">
        <f t="shared" si="116"/>
        <v>0</v>
      </c>
      <c r="AJ200" s="1">
        <f t="shared" si="116"/>
        <v>0</v>
      </c>
      <c r="AK200" s="1">
        <f t="shared" si="116"/>
        <v>0</v>
      </c>
      <c r="AL200" s="1">
        <f t="shared" si="116"/>
        <v>0</v>
      </c>
      <c r="AM200" s="1">
        <f t="shared" si="116"/>
        <v>0</v>
      </c>
      <c r="AN200" s="1">
        <f t="shared" si="116"/>
        <v>1</v>
      </c>
      <c r="AO200" s="1">
        <f t="shared" si="116"/>
        <v>1</v>
      </c>
      <c r="AP200" s="1">
        <f t="shared" si="116"/>
        <v>1</v>
      </c>
      <c r="AQ200" s="1">
        <f t="shared" si="116"/>
        <v>1</v>
      </c>
      <c r="AR200" s="1">
        <f t="shared" si="116"/>
        <v>1</v>
      </c>
      <c r="AS200" s="1">
        <f t="shared" si="116"/>
        <v>1</v>
      </c>
      <c r="AT200" s="39">
        <f t="shared" si="83"/>
        <v>133792.45221384559</v>
      </c>
      <c r="AU200" s="39">
        <f t="shared" si="101"/>
        <v>133792.45221384559</v>
      </c>
      <c r="AV200" s="39">
        <f t="shared" si="111"/>
        <v>0</v>
      </c>
      <c r="AW200" s="3">
        <f t="shared" si="84"/>
        <v>126</v>
      </c>
      <c r="AX200" s="69">
        <f t="shared" si="102"/>
        <v>0</v>
      </c>
      <c r="AY200" s="75">
        <f t="shared" si="85"/>
        <v>0</v>
      </c>
      <c r="AZ200" s="75">
        <f t="shared" si="86"/>
        <v>0</v>
      </c>
      <c r="BA200" s="75">
        <f t="shared" si="87"/>
        <v>0</v>
      </c>
      <c r="BB200" s="75">
        <f t="shared" si="88"/>
        <v>0</v>
      </c>
      <c r="BD200" s="214">
        <f t="shared" si="103"/>
        <v>147837.81307976309</v>
      </c>
      <c r="BE200" s="214">
        <f t="shared" si="89"/>
        <v>719.60803063548076</v>
      </c>
      <c r="BF200" s="214">
        <f t="shared" si="90"/>
        <v>-244.62596228967968</v>
      </c>
      <c r="BG200" s="224">
        <f t="shared" si="107"/>
        <v>0</v>
      </c>
      <c r="BH200" s="19">
        <f t="shared" si="104"/>
        <v>181659.956916539</v>
      </c>
      <c r="BI200" s="214">
        <f t="shared" si="91"/>
        <v>884.23902598929317</v>
      </c>
      <c r="BJ200" s="214">
        <f t="shared" si="92"/>
        <v>0</v>
      </c>
      <c r="BK200" s="19">
        <f t="shared" si="108"/>
        <v>0</v>
      </c>
    </row>
    <row r="201" spans="1:63">
      <c r="A201" s="165">
        <f t="shared" si="93"/>
        <v>72.556125941136202</v>
      </c>
      <c r="B201" s="69">
        <f t="shared" si="94"/>
        <v>11</v>
      </c>
      <c r="C201" s="70">
        <f t="shared" si="95"/>
        <v>127</v>
      </c>
      <c r="D201" s="13">
        <f t="shared" si="64"/>
        <v>4.8675505653430484E-3</v>
      </c>
      <c r="E201" s="15">
        <f t="shared" si="65"/>
        <v>1</v>
      </c>
      <c r="F201" s="15">
        <f t="shared" si="96"/>
        <v>0</v>
      </c>
      <c r="G201" s="15">
        <f t="shared" si="66"/>
        <v>0</v>
      </c>
      <c r="H201" s="73">
        <f t="shared" si="67"/>
        <v>0</v>
      </c>
      <c r="I201" s="189"/>
      <c r="J201" s="189"/>
      <c r="K201" s="5">
        <f t="shared" si="109"/>
        <v>133792.45221384559</v>
      </c>
      <c r="M201" s="5">
        <f t="shared" si="68"/>
        <v>651.24152641213686</v>
      </c>
      <c r="N201" s="5">
        <f t="shared" si="69"/>
        <v>-221.38522403770676</v>
      </c>
      <c r="O201" s="5">
        <f t="shared" si="70"/>
        <v>0</v>
      </c>
      <c r="P201" s="5">
        <f t="shared" si="71"/>
        <v>0</v>
      </c>
      <c r="Q201" s="5">
        <f t="shared" si="105"/>
        <v>0</v>
      </c>
      <c r="R201" s="5">
        <f t="shared" si="97"/>
        <v>0</v>
      </c>
      <c r="S201" s="5">
        <f t="shared" si="72"/>
        <v>0</v>
      </c>
      <c r="T201" s="5">
        <f t="shared" si="73"/>
        <v>0</v>
      </c>
      <c r="U201" s="74">
        <f t="shared" si="74"/>
        <v>0</v>
      </c>
      <c r="V201" s="75">
        <f t="shared" si="75"/>
        <v>0</v>
      </c>
      <c r="W201" s="5">
        <f t="shared" si="76"/>
        <v>0</v>
      </c>
      <c r="X201" s="5">
        <f t="shared" si="77"/>
        <v>134222.30851622002</v>
      </c>
      <c r="Y201" s="5">
        <f t="shared" si="98"/>
        <v>100000</v>
      </c>
      <c r="Z201" s="215">
        <f t="shared" si="78"/>
        <v>1</v>
      </c>
      <c r="AA201" s="216">
        <f t="shared" si="99"/>
        <v>0</v>
      </c>
      <c r="AB201" s="72">
        <f t="shared" si="106"/>
        <v>13188.158705474159</v>
      </c>
      <c r="AC201" s="72">
        <f t="shared" si="79"/>
        <v>0</v>
      </c>
      <c r="AD201" s="72">
        <f t="shared" si="80"/>
        <v>0</v>
      </c>
      <c r="AE201" s="72">
        <f t="shared" si="100"/>
        <v>-27.95024503958825</v>
      </c>
      <c r="AF201" s="70">
        <f t="shared" si="81"/>
        <v>0</v>
      </c>
      <c r="AG201" s="70">
        <f t="shared" si="82"/>
        <v>4827.81883876963</v>
      </c>
      <c r="AH201" s="1">
        <f t="shared" si="116"/>
        <v>0</v>
      </c>
      <c r="AI201" s="1">
        <f t="shared" si="116"/>
        <v>0</v>
      </c>
      <c r="AJ201" s="1">
        <f t="shared" si="116"/>
        <v>0</v>
      </c>
      <c r="AK201" s="1">
        <f t="shared" si="116"/>
        <v>0</v>
      </c>
      <c r="AL201" s="1">
        <f t="shared" si="116"/>
        <v>0</v>
      </c>
      <c r="AM201" s="1">
        <f t="shared" si="116"/>
        <v>0</v>
      </c>
      <c r="AN201" s="1">
        <f t="shared" si="116"/>
        <v>1</v>
      </c>
      <c r="AO201" s="1">
        <f t="shared" si="116"/>
        <v>1</v>
      </c>
      <c r="AP201" s="1">
        <f t="shared" si="116"/>
        <v>1</v>
      </c>
      <c r="AQ201" s="1">
        <f t="shared" si="116"/>
        <v>1</v>
      </c>
      <c r="AR201" s="1">
        <f t="shared" si="116"/>
        <v>1</v>
      </c>
      <c r="AS201" s="1">
        <f t="shared" si="116"/>
        <v>1</v>
      </c>
      <c r="AT201" s="39">
        <f t="shared" si="83"/>
        <v>134222.30851622002</v>
      </c>
      <c r="AU201" s="39">
        <f t="shared" si="101"/>
        <v>134222.30851622002</v>
      </c>
      <c r="AV201" s="39">
        <f t="shared" si="111"/>
        <v>0</v>
      </c>
      <c r="AW201" s="3">
        <f t="shared" si="84"/>
        <v>127</v>
      </c>
      <c r="AX201" s="69">
        <f t="shared" si="102"/>
        <v>0</v>
      </c>
      <c r="AY201" s="75">
        <f t="shared" si="85"/>
        <v>0</v>
      </c>
      <c r="AZ201" s="75">
        <f t="shared" si="86"/>
        <v>0</v>
      </c>
      <c r="BA201" s="75">
        <f t="shared" si="87"/>
        <v>0</v>
      </c>
      <c r="BB201" s="75">
        <f t="shared" si="88"/>
        <v>0</v>
      </c>
      <c r="BD201" s="214">
        <f t="shared" si="103"/>
        <v>148312.79514810888</v>
      </c>
      <c r="BE201" s="214">
        <f t="shared" si="89"/>
        <v>721.92002987078513</v>
      </c>
      <c r="BF201" s="214">
        <f t="shared" si="90"/>
        <v>-245.41191104743589</v>
      </c>
      <c r="BG201" s="224">
        <f t="shared" si="107"/>
        <v>0</v>
      </c>
      <c r="BH201" s="19">
        <f t="shared" si="104"/>
        <v>182544.19594252828</v>
      </c>
      <c r="BI201" s="214">
        <f t="shared" si="91"/>
        <v>888.54310416014573</v>
      </c>
      <c r="BJ201" s="214">
        <f t="shared" si="92"/>
        <v>0</v>
      </c>
      <c r="BK201" s="19">
        <f t="shared" si="108"/>
        <v>0</v>
      </c>
    </row>
    <row r="202" spans="1:63">
      <c r="A202" s="165">
        <f t="shared" si="93"/>
        <v>72.639459274469544</v>
      </c>
      <c r="B202" s="69">
        <f t="shared" si="94"/>
        <v>11</v>
      </c>
      <c r="C202" s="70">
        <f t="shared" si="95"/>
        <v>128</v>
      </c>
      <c r="D202" s="13">
        <f t="shared" si="64"/>
        <v>4.8675505653430484E-3</v>
      </c>
      <c r="E202" s="15">
        <f t="shared" si="65"/>
        <v>1</v>
      </c>
      <c r="F202" s="15">
        <f t="shared" si="96"/>
        <v>0</v>
      </c>
      <c r="G202" s="15">
        <f t="shared" si="66"/>
        <v>0</v>
      </c>
      <c r="H202" s="73">
        <f t="shared" si="67"/>
        <v>0</v>
      </c>
      <c r="I202" s="189"/>
      <c r="J202" s="189"/>
      <c r="K202" s="5">
        <f t="shared" si="109"/>
        <v>134222.30851622002</v>
      </c>
      <c r="M202" s="5">
        <f t="shared" si="68"/>
        <v>653.33387369977584</v>
      </c>
      <c r="N202" s="5">
        <f t="shared" si="69"/>
        <v>-222.09650357725116</v>
      </c>
      <c r="O202" s="5">
        <f t="shared" si="70"/>
        <v>0</v>
      </c>
      <c r="P202" s="5">
        <f t="shared" si="71"/>
        <v>0</v>
      </c>
      <c r="Q202" s="5">
        <f t="shared" si="105"/>
        <v>0</v>
      </c>
      <c r="R202" s="5">
        <f t="shared" si="97"/>
        <v>0</v>
      </c>
      <c r="S202" s="5">
        <f t="shared" si="72"/>
        <v>0</v>
      </c>
      <c r="T202" s="5">
        <f t="shared" si="73"/>
        <v>0</v>
      </c>
      <c r="U202" s="74">
        <f t="shared" si="74"/>
        <v>0</v>
      </c>
      <c r="V202" s="75">
        <f t="shared" si="75"/>
        <v>0</v>
      </c>
      <c r="W202" s="5">
        <f t="shared" si="76"/>
        <v>0</v>
      </c>
      <c r="X202" s="5">
        <f t="shared" si="77"/>
        <v>134653.54588634253</v>
      </c>
      <c r="Y202" s="5">
        <f t="shared" si="98"/>
        <v>100000</v>
      </c>
      <c r="Z202" s="215">
        <f t="shared" si="78"/>
        <v>1</v>
      </c>
      <c r="AA202" s="216">
        <f t="shared" si="99"/>
        <v>0</v>
      </c>
      <c r="AB202" s="72">
        <f t="shared" si="106"/>
        <v>13188.158705474159</v>
      </c>
      <c r="AC202" s="72">
        <f t="shared" si="79"/>
        <v>0</v>
      </c>
      <c r="AD202" s="72">
        <f t="shared" si="80"/>
        <v>0</v>
      </c>
      <c r="AE202" s="72">
        <f t="shared" si="100"/>
        <v>-28.040045239706959</v>
      </c>
      <c r="AF202" s="70">
        <f t="shared" si="81"/>
        <v>0</v>
      </c>
      <c r="AG202" s="70">
        <f t="shared" si="82"/>
        <v>4991.6890394161874</v>
      </c>
      <c r="AH202" s="1">
        <f t="shared" si="116"/>
        <v>0</v>
      </c>
      <c r="AI202" s="1">
        <f t="shared" si="116"/>
        <v>0</v>
      </c>
      <c r="AJ202" s="1">
        <f t="shared" si="116"/>
        <v>0</v>
      </c>
      <c r="AK202" s="1">
        <f t="shared" si="116"/>
        <v>0</v>
      </c>
      <c r="AL202" s="1">
        <f t="shared" si="116"/>
        <v>0</v>
      </c>
      <c r="AM202" s="1">
        <f t="shared" si="116"/>
        <v>0</v>
      </c>
      <c r="AN202" s="1">
        <f t="shared" si="116"/>
        <v>1</v>
      </c>
      <c r="AO202" s="1">
        <f t="shared" si="116"/>
        <v>1</v>
      </c>
      <c r="AP202" s="1">
        <f t="shared" si="116"/>
        <v>1</v>
      </c>
      <c r="AQ202" s="1">
        <f t="shared" si="116"/>
        <v>1</v>
      </c>
      <c r="AR202" s="1">
        <f t="shared" si="116"/>
        <v>1</v>
      </c>
      <c r="AS202" s="1">
        <f t="shared" si="116"/>
        <v>1</v>
      </c>
      <c r="AT202" s="39">
        <f t="shared" si="83"/>
        <v>134653.54588634253</v>
      </c>
      <c r="AU202" s="39">
        <f t="shared" si="101"/>
        <v>134653.54588634253</v>
      </c>
      <c r="AV202" s="39">
        <f t="shared" si="111"/>
        <v>0</v>
      </c>
      <c r="AW202" s="3">
        <f t="shared" si="84"/>
        <v>128</v>
      </c>
      <c r="AX202" s="69">
        <f t="shared" si="102"/>
        <v>0</v>
      </c>
      <c r="AY202" s="75">
        <f t="shared" si="85"/>
        <v>0</v>
      </c>
      <c r="AZ202" s="75">
        <f t="shared" si="86"/>
        <v>0</v>
      </c>
      <c r="BA202" s="75">
        <f t="shared" si="87"/>
        <v>0</v>
      </c>
      <c r="BB202" s="75">
        <f t="shared" si="88"/>
        <v>0</v>
      </c>
      <c r="BD202" s="214">
        <f t="shared" si="103"/>
        <v>148789.30326693223</v>
      </c>
      <c r="BE202" s="214">
        <f t="shared" si="89"/>
        <v>724.23945723395423</v>
      </c>
      <c r="BF202" s="214">
        <f t="shared" si="90"/>
        <v>-246.20038494783859</v>
      </c>
      <c r="BG202" s="224">
        <f t="shared" si="107"/>
        <v>0</v>
      </c>
      <c r="BH202" s="19">
        <f t="shared" si="104"/>
        <v>183432.73904668842</v>
      </c>
      <c r="BI202" s="214">
        <f t="shared" si="91"/>
        <v>892.86813264913212</v>
      </c>
      <c r="BJ202" s="214">
        <f t="shared" si="92"/>
        <v>0</v>
      </c>
      <c r="BK202" s="19">
        <f t="shared" si="108"/>
        <v>0</v>
      </c>
    </row>
    <row r="203" spans="1:63">
      <c r="A203" s="165">
        <f t="shared" si="93"/>
        <v>72.722792607802873</v>
      </c>
      <c r="B203" s="69">
        <f t="shared" si="94"/>
        <v>11</v>
      </c>
      <c r="C203" s="70">
        <f t="shared" si="95"/>
        <v>129</v>
      </c>
      <c r="D203" s="13">
        <f t="shared" ref="D203:D266" si="117">Growth_Rate_1_Monthly</f>
        <v>4.8675505653430484E-3</v>
      </c>
      <c r="E203" s="15">
        <f t="shared" ref="E203:E266" si="118">IF(Gtee_Flag="on",1,0)</f>
        <v>1</v>
      </c>
      <c r="F203" s="15">
        <f t="shared" si="96"/>
        <v>0</v>
      </c>
      <c r="G203" s="15">
        <f t="shared" ref="G203:G266" si="119">IF(AND(RP_Flag = "Yes",RP_Allowed="Yes"),IF(RP_PremFreq = "Annual",IF(MOD(C203-1, 12) = 0, 1, 0), IF(RP_PremFreq = "Half-Yearly", IF(MOD(C203-1, 6) = 0, 1, 0), IF(RP_PremFreq = "Quarterly", IF(MOD(C203-1, 3) = 0, 1, 0), IF(RP_PremFreq = "Monthly", IF(MOD(C203-1, 1) = 0, 1, 0), "Error")))),0)</f>
        <v>0</v>
      </c>
      <c r="H203" s="73">
        <f t="shared" ref="H203:H266" si="120">IF(ISERROR(VLOOKUP(Product_Code,Product_Parameters,B203+8,FALSE)),0,VLOOKUP(Product_Code,Product_Parameters,B203+8,FALSE))</f>
        <v>0</v>
      </c>
      <c r="I203" s="189"/>
      <c r="J203" s="189"/>
      <c r="K203" s="5">
        <f t="shared" si="109"/>
        <v>134653.54588634253</v>
      </c>
      <c r="M203" s="5">
        <f t="shared" ref="M203:M266" si="121">(K203+L203)*D203</f>
        <v>655.43294340451268</v>
      </c>
      <c r="N203" s="5">
        <f t="shared" ref="N203:N266" si="122">-(($K203+(L203)+M203/2)*(External_Fund_Charge_Monthly+Fund_Charge_Monthly+Gtee_Charge_Monthly*$E203))-I203*Government_Levy</f>
        <v>-222.81006835776222</v>
      </c>
      <c r="O203" s="5">
        <f t="shared" ref="O203:O266" si="123">(Reg_Contrib/Contrib_Per_Year)*(1+RP_Escalation_Rate)^(B203-1)*G203</f>
        <v>0</v>
      </c>
      <c r="P203" s="5">
        <f t="shared" ref="P203:P266" si="124">O203*(RP_Allocation_Rate-1)</f>
        <v>0</v>
      </c>
      <c r="Q203" s="5">
        <f t="shared" si="105"/>
        <v>0</v>
      </c>
      <c r="R203" s="5">
        <f t="shared" si="97"/>
        <v>0</v>
      </c>
      <c r="S203" s="5">
        <f t="shared" ref="S203:S266" si="125">(Q203+R203)*D203</f>
        <v>0</v>
      </c>
      <c r="T203" s="5">
        <f t="shared" ref="T203:T266" si="126">-(($Q203+(R203)+S203/2)*(External_Fund_Charge_Monthly+Fund_Charge_Monthly+Gtee_Charge_Monthly*$E203))-O203*Government_Levy</f>
        <v>0</v>
      </c>
      <c r="U203" s="74">
        <f t="shared" ref="U203:U266" si="127">IF(OR(Reg_Income_Flag="No",Income_Type="Fixed Percent"),0,IF(C203&gt;=Regular_Income_Start_Month,
MIN(Regular_Income_Amount/12*(1+Income_Escalation_Rate_Annual)^($B203-1),AU203),0))</f>
        <v>0</v>
      </c>
      <c r="V203" s="75">
        <f t="shared" ref="V203:V266" si="128">IF(Reg_Income_Flag="No",0,MAX(IF(C203&gt;=Regular_Income_Start_Month,
MIN(IF(Income_Type="Fixed Percent",$C$43,0)/12*(K203+L203+M203+N203+Q203+R203+S203+T203),AU203),0),0))</f>
        <v>0</v>
      </c>
      <c r="W203" s="5">
        <f t="shared" ref="W203:W266" si="129">-MAX(U203:V203)</f>
        <v>0</v>
      </c>
      <c r="X203" s="5">
        <f t="shared" ref="X203:X266" si="130">SUM(K203:N203,Q203:T203)</f>
        <v>135086.16876138927</v>
      </c>
      <c r="Y203" s="5">
        <f t="shared" si="98"/>
        <v>100000</v>
      </c>
      <c r="Z203" s="215">
        <f t="shared" ref="Z203:Z266" si="131">IFERROR(SUM(K203:N203)/X203,0)</f>
        <v>1</v>
      </c>
      <c r="AA203" s="216">
        <f t="shared" si="99"/>
        <v>0</v>
      </c>
      <c r="AB203" s="72">
        <f t="shared" si="106"/>
        <v>13188.158705474159</v>
      </c>
      <c r="AC203" s="72">
        <f t="shared" ref="AC203:AC266" si="132">IF(Y203=0,0,-IF(F203=1,1,AA203)*(MAX(X203+AB203-Y203,0)*Exit_Tax_Rate-AB203))</f>
        <v>0</v>
      </c>
      <c r="AD203" s="72">
        <f t="shared" ref="AD203:AD266" si="133">W203-IF(F203=1,AA203,1)*AC203</f>
        <v>0</v>
      </c>
      <c r="AE203" s="72">
        <f t="shared" si="100"/>
        <v>-28.130133955219009</v>
      </c>
      <c r="AF203" s="70">
        <f t="shared" ref="AF203:AF266" si="134">SUM(K203:N203,SUM(AC203:AD203)*Z203)*$H203</f>
        <v>0</v>
      </c>
      <c r="AG203" s="70">
        <f t="shared" ref="AG203:AG266" si="135">IF(F203=1,0,MAX(X203+AB203+AC203+AD203-AF203-Y203,0)*Exit_Tax_Rate-AB203)</f>
        <v>5156.0857319339466</v>
      </c>
      <c r="AH203" s="1">
        <f t="shared" si="116"/>
        <v>0</v>
      </c>
      <c r="AI203" s="1">
        <f t="shared" si="116"/>
        <v>0</v>
      </c>
      <c r="AJ203" s="1">
        <f t="shared" si="116"/>
        <v>0</v>
      </c>
      <c r="AK203" s="1">
        <f t="shared" si="116"/>
        <v>0</v>
      </c>
      <c r="AL203" s="1">
        <f t="shared" si="116"/>
        <v>0</v>
      </c>
      <c r="AM203" s="1">
        <f t="shared" si="116"/>
        <v>0</v>
      </c>
      <c r="AN203" s="1">
        <f t="shared" si="116"/>
        <v>1</v>
      </c>
      <c r="AO203" s="1">
        <f t="shared" si="116"/>
        <v>1</v>
      </c>
      <c r="AP203" s="1">
        <f t="shared" si="116"/>
        <v>1</v>
      </c>
      <c r="AQ203" s="1">
        <f t="shared" si="116"/>
        <v>1</v>
      </c>
      <c r="AR203" s="1">
        <f t="shared" si="116"/>
        <v>1</v>
      </c>
      <c r="AS203" s="1">
        <f t="shared" si="116"/>
        <v>1</v>
      </c>
      <c r="AT203" s="39">
        <f t="shared" ref="AT203:AT266" si="136">SUM(K203:N203,Q203:T203,W203,AC203)</f>
        <v>135086.16876138927</v>
      </c>
      <c r="AU203" s="39">
        <f t="shared" si="101"/>
        <v>135086.16876138927</v>
      </c>
      <c r="AV203" s="39">
        <f t="shared" si="111"/>
        <v>0</v>
      </c>
      <c r="AW203" s="3">
        <f t="shared" ref="AW203:AW266" si="137">C203</f>
        <v>129</v>
      </c>
      <c r="AX203" s="69">
        <f t="shared" si="102"/>
        <v>0</v>
      </c>
      <c r="AY203" s="75">
        <f t="shared" ref="AY203:AY266" si="138">IF(OR(AND(B203=Fund_Zero_Year,BD204=0,BD203&gt;0),C203=$C$53*12),-BH203,IF(AND(B203+1=Fund_Zero_Year,BD204=0,BD203&gt;0),-BH203,0))</f>
        <v>0</v>
      </c>
      <c r="AZ203" s="75">
        <f t="shared" ref="AZ203:AZ266" si="139">IF(OR(AND(B203=Fund_Zero_Year,BD204=0,BD203&gt;0),C203=$C$53*12),-BD203,IF(AND(B203+1=Fund_Zero_Year,BD204=0,BD203&gt;0),-BD203,0))</f>
        <v>0</v>
      </c>
      <c r="BA203" s="75">
        <f t="shared" ref="BA203:BA266" si="140">AY203+AX203+IF(OR(B203&gt;Fund_Zero_Year,BD203=0,C203&gt;MAX($C$53,$C$52)*12),0,W203)</f>
        <v>0</v>
      </c>
      <c r="BB203" s="75">
        <f t="shared" ref="BB203:BB266" si="141">AZ203+AX203+IF(OR(B203&gt;Fund_Zero_Year,BD203=0,C203&gt;MAX($C$53,$C$52)*12),0,W203)</f>
        <v>0</v>
      </c>
      <c r="BD203" s="214">
        <f t="shared" si="103"/>
        <v>149267.34233921833</v>
      </c>
      <c r="BE203" s="214">
        <f t="shared" ref="BE203:BE266" si="142">BD203*D203</f>
        <v>726.56633659051658</v>
      </c>
      <c r="BF203" s="214">
        <f t="shared" ref="BF203:BF266" si="143">-(BD203+BE203/2)*(External_Fund_Charge_Monthly+Fund_Charge_Monthly+Gtee_Charge_Monthly*$E203)-(I203+O203)*Government_Levy</f>
        <v>-246.9913921038154</v>
      </c>
      <c r="BG203" s="224">
        <f t="shared" si="107"/>
        <v>0</v>
      </c>
      <c r="BH203" s="19">
        <f t="shared" si="104"/>
        <v>184325.60717933756</v>
      </c>
      <c r="BI203" s="214">
        <f t="shared" ref="BI203:BI266" si="144">BH203*D203</f>
        <v>897.21421343298516</v>
      </c>
      <c r="BJ203" s="214">
        <f t="shared" ref="BJ203:BJ266" si="145">-(I203+O203)*Government_Levy</f>
        <v>0</v>
      </c>
      <c r="BK203" s="19">
        <f t="shared" si="108"/>
        <v>0</v>
      </c>
    </row>
    <row r="204" spans="1:63">
      <c r="A204" s="165">
        <f t="shared" ref="A204:A267" si="146">$C$35+C203/12</f>
        <v>72.806125941136202</v>
      </c>
      <c r="B204" s="69">
        <f t="shared" ref="B204:B267" si="147">INT((C204-1)/12)+1</f>
        <v>11</v>
      </c>
      <c r="C204" s="70">
        <f t="shared" ref="C204:C267" si="148">C203+1</f>
        <v>130</v>
      </c>
      <c r="D204" s="13">
        <f t="shared" si="117"/>
        <v>4.8675505653430484E-3</v>
      </c>
      <c r="E204" s="15">
        <f t="shared" si="118"/>
        <v>1</v>
      </c>
      <c r="F204" s="15">
        <f t="shared" ref="F204:F267" si="149">IF(MOD(C204,96)=0,1,0)</f>
        <v>0</v>
      </c>
      <c r="G204" s="15">
        <f t="shared" si="119"/>
        <v>0</v>
      </c>
      <c r="H204" s="73">
        <f t="shared" si="120"/>
        <v>0</v>
      </c>
      <c r="I204" s="189"/>
      <c r="J204" s="189"/>
      <c r="K204" s="5">
        <f t="shared" si="109"/>
        <v>135086.16876138927</v>
      </c>
      <c r="M204" s="5">
        <f t="shared" si="121"/>
        <v>657.5387571245268</v>
      </c>
      <c r="N204" s="5">
        <f t="shared" si="122"/>
        <v>-223.52592572139713</v>
      </c>
      <c r="O204" s="5">
        <f t="shared" si="123"/>
        <v>0</v>
      </c>
      <c r="P204" s="5">
        <f t="shared" si="124"/>
        <v>0</v>
      </c>
      <c r="Q204" s="5">
        <f t="shared" si="105"/>
        <v>0</v>
      </c>
      <c r="R204" s="5">
        <f t="shared" ref="R204:R267" si="150">O204+P204</f>
        <v>0</v>
      </c>
      <c r="S204" s="5">
        <f t="shared" si="125"/>
        <v>0</v>
      </c>
      <c r="T204" s="5">
        <f t="shared" si="126"/>
        <v>0</v>
      </c>
      <c r="U204" s="74">
        <f t="shared" si="127"/>
        <v>0</v>
      </c>
      <c r="V204" s="75">
        <f t="shared" si="128"/>
        <v>0</v>
      </c>
      <c r="W204" s="5">
        <f t="shared" si="129"/>
        <v>0</v>
      </c>
      <c r="X204" s="5">
        <f t="shared" si="130"/>
        <v>135520.18159279242</v>
      </c>
      <c r="Y204" s="5">
        <f t="shared" ref="Y204:Y267" si="151">I204+O204+Y203*(1-AA203)</f>
        <v>100000</v>
      </c>
      <c r="Z204" s="215">
        <f t="shared" si="131"/>
        <v>1</v>
      </c>
      <c r="AA204" s="216">
        <f t="shared" ref="AA204:AA267" si="152">IFERROR(-W204/X204,0)</f>
        <v>0</v>
      </c>
      <c r="AB204" s="72">
        <f t="shared" si="106"/>
        <v>13188.158705474159</v>
      </c>
      <c r="AC204" s="72">
        <f t="shared" si="132"/>
        <v>0</v>
      </c>
      <c r="AD204" s="72">
        <f t="shared" si="133"/>
        <v>0</v>
      </c>
      <c r="AE204" s="72">
        <f t="shared" ref="AE204:AE267" si="153">-(($K204+I204+M204/2+N204/2+W204/2+$Q204+O204+S204/2+T204/2))*(Ongoing_Commission_Monthly)</f>
        <v>-28.220512113083696</v>
      </c>
      <c r="AF204" s="70">
        <f t="shared" si="134"/>
        <v>0</v>
      </c>
      <c r="AG204" s="70">
        <f t="shared" si="135"/>
        <v>5321.0106078671433</v>
      </c>
      <c r="AH204" s="1">
        <f t="shared" si="116"/>
        <v>0</v>
      </c>
      <c r="AI204" s="1">
        <f t="shared" si="116"/>
        <v>0</v>
      </c>
      <c r="AJ204" s="1">
        <f t="shared" si="116"/>
        <v>0</v>
      </c>
      <c r="AK204" s="1">
        <f t="shared" si="116"/>
        <v>0</v>
      </c>
      <c r="AL204" s="1">
        <f t="shared" si="116"/>
        <v>0</v>
      </c>
      <c r="AM204" s="1">
        <f t="shared" si="116"/>
        <v>0</v>
      </c>
      <c r="AN204" s="1">
        <f t="shared" si="116"/>
        <v>1</v>
      </c>
      <c r="AO204" s="1">
        <f t="shared" si="116"/>
        <v>1</v>
      </c>
      <c r="AP204" s="1">
        <f t="shared" si="116"/>
        <v>1</v>
      </c>
      <c r="AQ204" s="1">
        <f t="shared" si="116"/>
        <v>1</v>
      </c>
      <c r="AR204" s="1">
        <f t="shared" si="116"/>
        <v>1</v>
      </c>
      <c r="AS204" s="1">
        <f t="shared" si="116"/>
        <v>1</v>
      </c>
      <c r="AT204" s="39">
        <f t="shared" si="136"/>
        <v>135520.18159279242</v>
      </c>
      <c r="AU204" s="39">
        <f t="shared" ref="AU204:AU267" si="154">MAX(0,SUM(K204:N204)-$C$51)</f>
        <v>135520.18159279242</v>
      </c>
      <c r="AV204" s="39">
        <f t="shared" si="111"/>
        <v>0</v>
      </c>
      <c r="AW204" s="3">
        <f t="shared" si="137"/>
        <v>130</v>
      </c>
      <c r="AX204" s="69">
        <f t="shared" ref="AX204:AX267" si="155">IF(OR(B204&gt;Fund_Zero_Year,SUM(K204,Q204)=0,C204&gt;$C$53*12),0,I204+O204)</f>
        <v>0</v>
      </c>
      <c r="AY204" s="75">
        <f t="shared" si="138"/>
        <v>0</v>
      </c>
      <c r="AZ204" s="75">
        <f t="shared" si="139"/>
        <v>0</v>
      </c>
      <c r="BA204" s="75">
        <f t="shared" si="140"/>
        <v>0</v>
      </c>
      <c r="BB204" s="75">
        <f t="shared" si="141"/>
        <v>0</v>
      </c>
      <c r="BD204" s="214">
        <f t="shared" ref="BD204:BD267" si="156">SUM(BD203:BG203)+L204+R204</f>
        <v>149746.91728370503</v>
      </c>
      <c r="BE204" s="214">
        <f t="shared" si="142"/>
        <v>728.90069188267717</v>
      </c>
      <c r="BF204" s="214">
        <f t="shared" si="143"/>
        <v>-247.78494065435964</v>
      </c>
      <c r="BG204" s="224">
        <f t="shared" si="107"/>
        <v>0</v>
      </c>
      <c r="BH204" s="19">
        <f t="shared" ref="BH204:BH267" si="157">SUM(BH203:BK203)+L204+R204</f>
        <v>185222.82139277054</v>
      </c>
      <c r="BI204" s="214">
        <f t="shared" si="144"/>
        <v>901.58144898481476</v>
      </c>
      <c r="BJ204" s="214">
        <f t="shared" si="145"/>
        <v>0</v>
      </c>
      <c r="BK204" s="19">
        <f t="shared" si="108"/>
        <v>0</v>
      </c>
    </row>
    <row r="205" spans="1:63">
      <c r="A205" s="165">
        <f t="shared" si="146"/>
        <v>72.889459274469544</v>
      </c>
      <c r="B205" s="69">
        <f t="shared" si="147"/>
        <v>11</v>
      </c>
      <c r="C205" s="70">
        <f t="shared" si="148"/>
        <v>131</v>
      </c>
      <c r="D205" s="13">
        <f t="shared" si="117"/>
        <v>4.8675505653430484E-3</v>
      </c>
      <c r="E205" s="15">
        <f t="shared" si="118"/>
        <v>1</v>
      </c>
      <c r="F205" s="15">
        <f t="shared" si="149"/>
        <v>0</v>
      </c>
      <c r="G205" s="15">
        <f t="shared" si="119"/>
        <v>0</v>
      </c>
      <c r="H205" s="73">
        <f t="shared" si="120"/>
        <v>0</v>
      </c>
      <c r="I205" s="189"/>
      <c r="J205" s="189"/>
      <c r="K205" s="5">
        <f t="shared" si="109"/>
        <v>135520.18159279242</v>
      </c>
      <c r="M205" s="5">
        <f t="shared" si="121"/>
        <v>659.65133652738928</v>
      </c>
      <c r="N205" s="5">
        <f t="shared" si="122"/>
        <v>-224.24408303390271</v>
      </c>
      <c r="O205" s="5">
        <f t="shared" si="123"/>
        <v>0</v>
      </c>
      <c r="P205" s="5">
        <f t="shared" si="124"/>
        <v>0</v>
      </c>
      <c r="Q205" s="5">
        <f t="shared" ref="Q205:Q268" si="158">SUM(Q204:T204)+SUM(AC204)*(1-Z204)</f>
        <v>0</v>
      </c>
      <c r="R205" s="5">
        <f t="shared" si="150"/>
        <v>0</v>
      </c>
      <c r="S205" s="5">
        <f t="shared" si="125"/>
        <v>0</v>
      </c>
      <c r="T205" s="5">
        <f t="shared" si="126"/>
        <v>0</v>
      </c>
      <c r="U205" s="74">
        <f t="shared" si="127"/>
        <v>0</v>
      </c>
      <c r="V205" s="75">
        <f t="shared" si="128"/>
        <v>0</v>
      </c>
      <c r="W205" s="5">
        <f t="shared" si="129"/>
        <v>0</v>
      </c>
      <c r="X205" s="5">
        <f t="shared" si="130"/>
        <v>135955.58884628591</v>
      </c>
      <c r="Y205" s="5">
        <f t="shared" si="151"/>
        <v>100000</v>
      </c>
      <c r="Z205" s="215">
        <f t="shared" si="131"/>
        <v>1</v>
      </c>
      <c r="AA205" s="216">
        <f t="shared" si="152"/>
        <v>0</v>
      </c>
      <c r="AB205" s="72">
        <f t="shared" ref="AB205:AB268" si="159">-IF(F204=1,AC204*(1-AA204),0)+AB204*(1-AA204)</f>
        <v>13188.158705474159</v>
      </c>
      <c r="AC205" s="72">
        <f t="shared" si="132"/>
        <v>0</v>
      </c>
      <c r="AD205" s="72">
        <f t="shared" si="133"/>
        <v>0</v>
      </c>
      <c r="AE205" s="72">
        <f t="shared" si="153"/>
        <v>-28.311180643238558</v>
      </c>
      <c r="AF205" s="70">
        <f t="shared" si="134"/>
        <v>0</v>
      </c>
      <c r="AG205" s="70">
        <f t="shared" si="135"/>
        <v>5486.4653641946734</v>
      </c>
      <c r="AH205" s="1">
        <f t="shared" ref="AH205:AS214" si="160">IF($B205&lt;=AH$74,1,0)</f>
        <v>0</v>
      </c>
      <c r="AI205" s="1">
        <f t="shared" si="160"/>
        <v>0</v>
      </c>
      <c r="AJ205" s="1">
        <f t="shared" si="160"/>
        <v>0</v>
      </c>
      <c r="AK205" s="1">
        <f t="shared" si="160"/>
        <v>0</v>
      </c>
      <c r="AL205" s="1">
        <f t="shared" si="160"/>
        <v>0</v>
      </c>
      <c r="AM205" s="1">
        <f t="shared" si="160"/>
        <v>0</v>
      </c>
      <c r="AN205" s="1">
        <f t="shared" si="160"/>
        <v>1</v>
      </c>
      <c r="AO205" s="1">
        <f t="shared" si="160"/>
        <v>1</v>
      </c>
      <c r="AP205" s="1">
        <f t="shared" si="160"/>
        <v>1</v>
      </c>
      <c r="AQ205" s="1">
        <f t="shared" si="160"/>
        <v>1</v>
      </c>
      <c r="AR205" s="1">
        <f t="shared" si="160"/>
        <v>1</v>
      </c>
      <c r="AS205" s="1">
        <f t="shared" si="160"/>
        <v>1</v>
      </c>
      <c r="AT205" s="39">
        <f t="shared" si="136"/>
        <v>135955.58884628591</v>
      </c>
      <c r="AU205" s="39">
        <f t="shared" si="154"/>
        <v>135955.58884628591</v>
      </c>
      <c r="AV205" s="39">
        <f t="shared" si="111"/>
        <v>0</v>
      </c>
      <c r="AW205" s="3">
        <f t="shared" si="137"/>
        <v>131</v>
      </c>
      <c r="AX205" s="69">
        <f t="shared" si="155"/>
        <v>0</v>
      </c>
      <c r="AY205" s="75">
        <f t="shared" si="138"/>
        <v>0</v>
      </c>
      <c r="AZ205" s="75">
        <f t="shared" si="139"/>
        <v>0</v>
      </c>
      <c r="BA205" s="75">
        <f t="shared" si="140"/>
        <v>0</v>
      </c>
      <c r="BB205" s="75">
        <f t="shared" si="141"/>
        <v>0</v>
      </c>
      <c r="BD205" s="214">
        <f t="shared" si="156"/>
        <v>150228.03303493335</v>
      </c>
      <c r="BE205" s="214">
        <f t="shared" si="142"/>
        <v>731.24254712956395</v>
      </c>
      <c r="BF205" s="214">
        <f t="shared" si="143"/>
        <v>-248.58103876461414</v>
      </c>
      <c r="BG205" s="224">
        <f t="shared" ref="BG205:BG268" si="161">W205</f>
        <v>0</v>
      </c>
      <c r="BH205" s="19">
        <f t="shared" si="157"/>
        <v>186124.40284175536</v>
      </c>
      <c r="BI205" s="214">
        <f t="shared" si="144"/>
        <v>905.96994227652362</v>
      </c>
      <c r="BJ205" s="214">
        <f t="shared" si="145"/>
        <v>0</v>
      </c>
      <c r="BK205" s="19">
        <f t="shared" ref="BK205:BK268" si="162">W205</f>
        <v>0</v>
      </c>
    </row>
    <row r="206" spans="1:63">
      <c r="A206" s="165">
        <f t="shared" si="146"/>
        <v>72.972792607802873</v>
      </c>
      <c r="B206" s="69">
        <f t="shared" si="147"/>
        <v>11</v>
      </c>
      <c r="C206" s="70">
        <f t="shared" si="148"/>
        <v>132</v>
      </c>
      <c r="D206" s="13">
        <f t="shared" si="117"/>
        <v>4.8675505653430484E-3</v>
      </c>
      <c r="E206" s="15">
        <f t="shared" si="118"/>
        <v>1</v>
      </c>
      <c r="F206" s="15">
        <f t="shared" si="149"/>
        <v>0</v>
      </c>
      <c r="G206" s="15">
        <f t="shared" si="119"/>
        <v>0</v>
      </c>
      <c r="H206" s="73">
        <f t="shared" si="120"/>
        <v>0</v>
      </c>
      <c r="I206" s="189"/>
      <c r="J206" s="189"/>
      <c r="K206" s="5">
        <f t="shared" ref="K206:K269" si="163">SUM(K205:N205)+AD205+AC205*Z205</f>
        <v>135955.58884628591</v>
      </c>
      <c r="M206" s="5">
        <f t="shared" si="121"/>
        <v>661.770703350286</v>
      </c>
      <c r="N206" s="5">
        <f t="shared" si="122"/>
        <v>-224.96454768469061</v>
      </c>
      <c r="O206" s="5">
        <f t="shared" si="123"/>
        <v>0</v>
      </c>
      <c r="P206" s="5">
        <f t="shared" si="124"/>
        <v>0</v>
      </c>
      <c r="Q206" s="5">
        <f t="shared" si="158"/>
        <v>0</v>
      </c>
      <c r="R206" s="5">
        <f t="shared" si="150"/>
        <v>0</v>
      </c>
      <c r="S206" s="5">
        <f t="shared" si="125"/>
        <v>0</v>
      </c>
      <c r="T206" s="5">
        <f t="shared" si="126"/>
        <v>0</v>
      </c>
      <c r="U206" s="74">
        <f t="shared" si="127"/>
        <v>0</v>
      </c>
      <c r="V206" s="75">
        <f t="shared" si="128"/>
        <v>0</v>
      </c>
      <c r="W206" s="5">
        <f t="shared" si="129"/>
        <v>0</v>
      </c>
      <c r="X206" s="5">
        <f t="shared" si="130"/>
        <v>136392.39500195152</v>
      </c>
      <c r="Y206" s="5">
        <f t="shared" si="151"/>
        <v>100000</v>
      </c>
      <c r="Z206" s="215">
        <f t="shared" si="131"/>
        <v>1</v>
      </c>
      <c r="AA206" s="216">
        <f t="shared" si="152"/>
        <v>0</v>
      </c>
      <c r="AB206" s="72">
        <f t="shared" si="159"/>
        <v>13188.158705474159</v>
      </c>
      <c r="AC206" s="72">
        <f t="shared" si="132"/>
        <v>0</v>
      </c>
      <c r="AD206" s="72">
        <f t="shared" si="133"/>
        <v>0</v>
      </c>
      <c r="AE206" s="72">
        <f t="shared" si="153"/>
        <v>-28.402140478608835</v>
      </c>
      <c r="AF206" s="70">
        <f t="shared" si="134"/>
        <v>0</v>
      </c>
      <c r="AG206" s="70">
        <f t="shared" si="135"/>
        <v>5652.4517033476022</v>
      </c>
      <c r="AH206" s="1">
        <f t="shared" si="160"/>
        <v>0</v>
      </c>
      <c r="AI206" s="1">
        <f t="shared" si="160"/>
        <v>0</v>
      </c>
      <c r="AJ206" s="1">
        <f t="shared" si="160"/>
        <v>0</v>
      </c>
      <c r="AK206" s="1">
        <f t="shared" si="160"/>
        <v>0</v>
      </c>
      <c r="AL206" s="1">
        <f t="shared" si="160"/>
        <v>0</v>
      </c>
      <c r="AM206" s="1">
        <f t="shared" si="160"/>
        <v>0</v>
      </c>
      <c r="AN206" s="1">
        <f t="shared" si="160"/>
        <v>1</v>
      </c>
      <c r="AO206" s="1">
        <f t="shared" si="160"/>
        <v>1</v>
      </c>
      <c r="AP206" s="1">
        <f t="shared" si="160"/>
        <v>1</v>
      </c>
      <c r="AQ206" s="1">
        <f t="shared" si="160"/>
        <v>1</v>
      </c>
      <c r="AR206" s="1">
        <f t="shared" si="160"/>
        <v>1</v>
      </c>
      <c r="AS206" s="1">
        <f t="shared" si="160"/>
        <v>1</v>
      </c>
      <c r="AT206" s="39">
        <f t="shared" si="136"/>
        <v>136392.39500195152</v>
      </c>
      <c r="AU206" s="39">
        <f t="shared" si="154"/>
        <v>136392.39500195152</v>
      </c>
      <c r="AV206" s="39">
        <f t="shared" si="111"/>
        <v>0</v>
      </c>
      <c r="AW206" s="3">
        <f t="shared" si="137"/>
        <v>132</v>
      </c>
      <c r="AX206" s="69">
        <f t="shared" si="155"/>
        <v>0</v>
      </c>
      <c r="AY206" s="75">
        <f t="shared" si="138"/>
        <v>0</v>
      </c>
      <c r="AZ206" s="75">
        <f t="shared" si="139"/>
        <v>0</v>
      </c>
      <c r="BA206" s="75">
        <f t="shared" si="140"/>
        <v>0</v>
      </c>
      <c r="BB206" s="75">
        <f t="shared" si="141"/>
        <v>0</v>
      </c>
      <c r="BD206" s="214">
        <f t="shared" si="156"/>
        <v>150710.6945432983</v>
      </c>
      <c r="BE206" s="214">
        <f t="shared" si="142"/>
        <v>733.59192642747519</v>
      </c>
      <c r="BF206" s="214">
        <f t="shared" si="143"/>
        <v>-249.37969462595498</v>
      </c>
      <c r="BG206" s="224">
        <f t="shared" si="161"/>
        <v>0</v>
      </c>
      <c r="BH206" s="19">
        <f t="shared" si="157"/>
        <v>187030.37278403188</v>
      </c>
      <c r="BI206" s="214">
        <f t="shared" si="144"/>
        <v>910.37979678123543</v>
      </c>
      <c r="BJ206" s="214">
        <f t="shared" si="145"/>
        <v>0</v>
      </c>
      <c r="BK206" s="19">
        <f t="shared" si="162"/>
        <v>0</v>
      </c>
    </row>
    <row r="207" spans="1:63">
      <c r="A207" s="165">
        <f t="shared" si="146"/>
        <v>73.056125941136202</v>
      </c>
      <c r="B207" s="69">
        <f t="shared" si="147"/>
        <v>12</v>
      </c>
      <c r="C207" s="70">
        <f t="shared" si="148"/>
        <v>133</v>
      </c>
      <c r="D207" s="13">
        <f t="shared" si="117"/>
        <v>4.8675505653430484E-3</v>
      </c>
      <c r="E207" s="15">
        <f t="shared" si="118"/>
        <v>1</v>
      </c>
      <c r="F207" s="15">
        <f t="shared" si="149"/>
        <v>0</v>
      </c>
      <c r="G207" s="15">
        <f t="shared" si="119"/>
        <v>0</v>
      </c>
      <c r="H207" s="73">
        <f t="shared" si="120"/>
        <v>0</v>
      </c>
      <c r="I207" s="189"/>
      <c r="J207" s="189"/>
      <c r="K207" s="5">
        <f t="shared" si="163"/>
        <v>136392.39500195152</v>
      </c>
      <c r="M207" s="5">
        <f t="shared" si="121"/>
        <v>663.89687940024146</v>
      </c>
      <c r="N207" s="5">
        <f t="shared" si="122"/>
        <v>-225.68732708691363</v>
      </c>
      <c r="O207" s="5">
        <f t="shared" si="123"/>
        <v>0</v>
      </c>
      <c r="P207" s="5">
        <f t="shared" si="124"/>
        <v>0</v>
      </c>
      <c r="Q207" s="5">
        <f t="shared" si="158"/>
        <v>0</v>
      </c>
      <c r="R207" s="5">
        <f t="shared" si="150"/>
        <v>0</v>
      </c>
      <c r="S207" s="5">
        <f t="shared" si="125"/>
        <v>0</v>
      </c>
      <c r="T207" s="5">
        <f t="shared" si="126"/>
        <v>0</v>
      </c>
      <c r="U207" s="74">
        <f t="shared" si="127"/>
        <v>0</v>
      </c>
      <c r="V207" s="75">
        <f t="shared" si="128"/>
        <v>0</v>
      </c>
      <c r="W207" s="5">
        <f t="shared" si="129"/>
        <v>0</v>
      </c>
      <c r="X207" s="5">
        <f t="shared" si="130"/>
        <v>136830.60455426484</v>
      </c>
      <c r="Y207" s="5">
        <f t="shared" si="151"/>
        <v>100000</v>
      </c>
      <c r="Z207" s="215">
        <f t="shared" si="131"/>
        <v>1</v>
      </c>
      <c r="AA207" s="216">
        <f t="shared" si="152"/>
        <v>0</v>
      </c>
      <c r="AB207" s="72">
        <f t="shared" si="159"/>
        <v>13188.158705474159</v>
      </c>
      <c r="AC207" s="72">
        <f t="shared" si="132"/>
        <v>0</v>
      </c>
      <c r="AD207" s="72">
        <f t="shared" si="133"/>
        <v>0</v>
      </c>
      <c r="AE207" s="72">
        <f t="shared" si="153"/>
        <v>-28.493392555117158</v>
      </c>
      <c r="AF207" s="70">
        <f t="shared" si="134"/>
        <v>0</v>
      </c>
      <c r="AG207" s="70">
        <f t="shared" si="135"/>
        <v>5818.9713332266638</v>
      </c>
      <c r="AH207" s="1">
        <f t="shared" si="160"/>
        <v>0</v>
      </c>
      <c r="AI207" s="1">
        <f t="shared" si="160"/>
        <v>0</v>
      </c>
      <c r="AJ207" s="1">
        <f t="shared" si="160"/>
        <v>0</v>
      </c>
      <c r="AK207" s="1">
        <f t="shared" si="160"/>
        <v>0</v>
      </c>
      <c r="AL207" s="1">
        <f t="shared" si="160"/>
        <v>0</v>
      </c>
      <c r="AM207" s="1">
        <f t="shared" si="160"/>
        <v>0</v>
      </c>
      <c r="AN207" s="1">
        <f t="shared" si="160"/>
        <v>1</v>
      </c>
      <c r="AO207" s="1">
        <f t="shared" si="160"/>
        <v>1</v>
      </c>
      <c r="AP207" s="1">
        <f t="shared" si="160"/>
        <v>1</v>
      </c>
      <c r="AQ207" s="1">
        <f t="shared" si="160"/>
        <v>1</v>
      </c>
      <c r="AR207" s="1">
        <f t="shared" si="160"/>
        <v>1</v>
      </c>
      <c r="AS207" s="1">
        <f t="shared" si="160"/>
        <v>1</v>
      </c>
      <c r="AT207" s="39">
        <f t="shared" si="136"/>
        <v>136830.60455426484</v>
      </c>
      <c r="AU207" s="39">
        <f t="shared" si="154"/>
        <v>136830.60455426484</v>
      </c>
      <c r="AV207" s="39">
        <f t="shared" si="111"/>
        <v>0</v>
      </c>
      <c r="AW207" s="3">
        <f t="shared" si="137"/>
        <v>133</v>
      </c>
      <c r="AX207" s="69">
        <f t="shared" si="155"/>
        <v>0</v>
      </c>
      <c r="AY207" s="75">
        <f t="shared" si="138"/>
        <v>0</v>
      </c>
      <c r="AZ207" s="75">
        <f t="shared" si="139"/>
        <v>0</v>
      </c>
      <c r="BA207" s="75">
        <f t="shared" si="140"/>
        <v>0</v>
      </c>
      <c r="BB207" s="75">
        <f t="shared" si="141"/>
        <v>0</v>
      </c>
      <c r="BD207" s="214">
        <f t="shared" si="156"/>
        <v>151194.90677509981</v>
      </c>
      <c r="BE207" s="214">
        <f t="shared" si="142"/>
        <v>735.94885395012659</v>
      </c>
      <c r="BF207" s="214">
        <f t="shared" si="143"/>
        <v>-250.18091645607612</v>
      </c>
      <c r="BG207" s="224">
        <f t="shared" si="161"/>
        <v>0</v>
      </c>
      <c r="BH207" s="19">
        <f t="shared" si="157"/>
        <v>187940.7525808131</v>
      </c>
      <c r="BI207" s="214">
        <f t="shared" si="144"/>
        <v>914.81111647573482</v>
      </c>
      <c r="BJ207" s="214">
        <f t="shared" si="145"/>
        <v>0</v>
      </c>
      <c r="BK207" s="19">
        <f t="shared" si="162"/>
        <v>0</v>
      </c>
    </row>
    <row r="208" spans="1:63">
      <c r="A208" s="165">
        <f t="shared" si="146"/>
        <v>73.139459274469544</v>
      </c>
      <c r="B208" s="69">
        <f t="shared" si="147"/>
        <v>12</v>
      </c>
      <c r="C208" s="70">
        <f t="shared" si="148"/>
        <v>134</v>
      </c>
      <c r="D208" s="13">
        <f t="shared" si="117"/>
        <v>4.8675505653430484E-3</v>
      </c>
      <c r="E208" s="15">
        <f t="shared" si="118"/>
        <v>1</v>
      </c>
      <c r="F208" s="15">
        <f t="shared" si="149"/>
        <v>0</v>
      </c>
      <c r="G208" s="15">
        <f t="shared" si="119"/>
        <v>0</v>
      </c>
      <c r="H208" s="73">
        <f t="shared" si="120"/>
        <v>0</v>
      </c>
      <c r="I208" s="189"/>
      <c r="J208" s="189"/>
      <c r="K208" s="5">
        <f t="shared" si="163"/>
        <v>136830.60455426484</v>
      </c>
      <c r="M208" s="5">
        <f t="shared" si="121"/>
        <v>666.02988655434285</v>
      </c>
      <c r="N208" s="5">
        <f t="shared" si="122"/>
        <v>-226.41242867754215</v>
      </c>
      <c r="O208" s="5">
        <f t="shared" si="123"/>
        <v>0</v>
      </c>
      <c r="P208" s="5">
        <f t="shared" si="124"/>
        <v>0</v>
      </c>
      <c r="Q208" s="5">
        <f t="shared" si="158"/>
        <v>0</v>
      </c>
      <c r="R208" s="5">
        <f t="shared" si="150"/>
        <v>0</v>
      </c>
      <c r="S208" s="5">
        <f t="shared" si="125"/>
        <v>0</v>
      </c>
      <c r="T208" s="5">
        <f t="shared" si="126"/>
        <v>0</v>
      </c>
      <c r="U208" s="74">
        <f t="shared" si="127"/>
        <v>0</v>
      </c>
      <c r="V208" s="75">
        <f t="shared" si="128"/>
        <v>0</v>
      </c>
      <c r="W208" s="5">
        <f t="shared" si="129"/>
        <v>0</v>
      </c>
      <c r="X208" s="5">
        <f t="shared" si="130"/>
        <v>137270.22201214163</v>
      </c>
      <c r="Y208" s="5">
        <f t="shared" si="151"/>
        <v>100000</v>
      </c>
      <c r="Z208" s="215">
        <f t="shared" si="131"/>
        <v>1</v>
      </c>
      <c r="AA208" s="216">
        <f t="shared" si="152"/>
        <v>0</v>
      </c>
      <c r="AB208" s="72">
        <f t="shared" si="159"/>
        <v>13188.158705474159</v>
      </c>
      <c r="AC208" s="72">
        <f t="shared" si="132"/>
        <v>0</v>
      </c>
      <c r="AD208" s="72">
        <f t="shared" si="133"/>
        <v>0</v>
      </c>
      <c r="AE208" s="72">
        <f t="shared" si="153"/>
        <v>-28.584937811693134</v>
      </c>
      <c r="AF208" s="70">
        <f t="shared" si="134"/>
        <v>0</v>
      </c>
      <c r="AG208" s="70">
        <f t="shared" si="135"/>
        <v>5986.0259672198463</v>
      </c>
      <c r="AH208" s="1">
        <f t="shared" si="160"/>
        <v>0</v>
      </c>
      <c r="AI208" s="1">
        <f t="shared" si="160"/>
        <v>0</v>
      </c>
      <c r="AJ208" s="1">
        <f t="shared" si="160"/>
        <v>0</v>
      </c>
      <c r="AK208" s="1">
        <f t="shared" si="160"/>
        <v>0</v>
      </c>
      <c r="AL208" s="1">
        <f t="shared" si="160"/>
        <v>0</v>
      </c>
      <c r="AM208" s="1">
        <f t="shared" si="160"/>
        <v>0</v>
      </c>
      <c r="AN208" s="1">
        <f t="shared" si="160"/>
        <v>1</v>
      </c>
      <c r="AO208" s="1">
        <f t="shared" si="160"/>
        <v>1</v>
      </c>
      <c r="AP208" s="1">
        <f t="shared" si="160"/>
        <v>1</v>
      </c>
      <c r="AQ208" s="1">
        <f t="shared" si="160"/>
        <v>1</v>
      </c>
      <c r="AR208" s="1">
        <f t="shared" si="160"/>
        <v>1</v>
      </c>
      <c r="AS208" s="1">
        <f t="shared" si="160"/>
        <v>1</v>
      </c>
      <c r="AT208" s="39">
        <f t="shared" si="136"/>
        <v>137270.22201214163</v>
      </c>
      <c r="AU208" s="39">
        <f t="shared" si="154"/>
        <v>137270.22201214163</v>
      </c>
      <c r="AV208" s="39">
        <f t="shared" si="111"/>
        <v>0</v>
      </c>
      <c r="AW208" s="3">
        <f t="shared" si="137"/>
        <v>134</v>
      </c>
      <c r="AX208" s="69">
        <f t="shared" si="155"/>
        <v>0</v>
      </c>
      <c r="AY208" s="75">
        <f t="shared" si="138"/>
        <v>0</v>
      </c>
      <c r="AZ208" s="75">
        <f t="shared" si="139"/>
        <v>0</v>
      </c>
      <c r="BA208" s="75">
        <f t="shared" si="140"/>
        <v>0</v>
      </c>
      <c r="BB208" s="75">
        <f t="shared" si="141"/>
        <v>0</v>
      </c>
      <c r="BD208" s="214">
        <f t="shared" si="156"/>
        <v>151680.67471259387</v>
      </c>
      <c r="BE208" s="214">
        <f t="shared" si="142"/>
        <v>738.31335394890129</v>
      </c>
      <c r="BF208" s="214">
        <f t="shared" si="143"/>
        <v>-250.98471249907385</v>
      </c>
      <c r="BG208" s="224">
        <f t="shared" si="161"/>
        <v>0</v>
      </c>
      <c r="BH208" s="19">
        <f t="shared" si="157"/>
        <v>188855.56369728883</v>
      </c>
      <c r="BI208" s="214">
        <f t="shared" si="144"/>
        <v>919.26400584291832</v>
      </c>
      <c r="BJ208" s="214">
        <f t="shared" si="145"/>
        <v>0</v>
      </c>
      <c r="BK208" s="19">
        <f t="shared" si="162"/>
        <v>0</v>
      </c>
    </row>
    <row r="209" spans="1:63">
      <c r="A209" s="165">
        <f t="shared" si="146"/>
        <v>73.222792607802873</v>
      </c>
      <c r="B209" s="69">
        <f t="shared" si="147"/>
        <v>12</v>
      </c>
      <c r="C209" s="70">
        <f t="shared" si="148"/>
        <v>135</v>
      </c>
      <c r="D209" s="13">
        <f t="shared" si="117"/>
        <v>4.8675505653430484E-3</v>
      </c>
      <c r="E209" s="15">
        <f t="shared" si="118"/>
        <v>1</v>
      </c>
      <c r="F209" s="15">
        <f t="shared" si="149"/>
        <v>0</v>
      </c>
      <c r="G209" s="15">
        <f t="shared" si="119"/>
        <v>0</v>
      </c>
      <c r="H209" s="73">
        <f t="shared" si="120"/>
        <v>0</v>
      </c>
      <c r="I209" s="189"/>
      <c r="J209" s="189"/>
      <c r="K209" s="5">
        <f t="shared" si="163"/>
        <v>137270.22201214163</v>
      </c>
      <c r="M209" s="5">
        <f t="shared" si="121"/>
        <v>668.16974675996573</v>
      </c>
      <c r="N209" s="5">
        <f t="shared" si="122"/>
        <v>-227.13985991744039</v>
      </c>
      <c r="O209" s="5">
        <f t="shared" si="123"/>
        <v>0</v>
      </c>
      <c r="P209" s="5">
        <f t="shared" si="124"/>
        <v>0</v>
      </c>
      <c r="Q209" s="5">
        <f t="shared" si="158"/>
        <v>0</v>
      </c>
      <c r="R209" s="5">
        <f t="shared" si="150"/>
        <v>0</v>
      </c>
      <c r="S209" s="5">
        <f t="shared" si="125"/>
        <v>0</v>
      </c>
      <c r="T209" s="5">
        <f t="shared" si="126"/>
        <v>0</v>
      </c>
      <c r="U209" s="74">
        <f t="shared" si="127"/>
        <v>0</v>
      </c>
      <c r="V209" s="75">
        <f t="shared" si="128"/>
        <v>0</v>
      </c>
      <c r="W209" s="5">
        <f t="shared" si="129"/>
        <v>0</v>
      </c>
      <c r="X209" s="5">
        <f t="shared" si="130"/>
        <v>137711.25189898416</v>
      </c>
      <c r="Y209" s="5">
        <f t="shared" si="151"/>
        <v>100000</v>
      </c>
      <c r="Z209" s="215">
        <f t="shared" si="131"/>
        <v>1</v>
      </c>
      <c r="AA209" s="216">
        <f t="shared" si="152"/>
        <v>0</v>
      </c>
      <c r="AB209" s="72">
        <f t="shared" si="159"/>
        <v>13188.158705474159</v>
      </c>
      <c r="AC209" s="72">
        <f t="shared" si="132"/>
        <v>0</v>
      </c>
      <c r="AD209" s="72">
        <f t="shared" si="133"/>
        <v>0</v>
      </c>
      <c r="AE209" s="72">
        <f t="shared" si="153"/>
        <v>-28.676777190283026</v>
      </c>
      <c r="AF209" s="70">
        <f t="shared" si="134"/>
        <v>0</v>
      </c>
      <c r="AG209" s="70">
        <f t="shared" si="135"/>
        <v>6153.6173242200075</v>
      </c>
      <c r="AH209" s="1">
        <f t="shared" si="160"/>
        <v>0</v>
      </c>
      <c r="AI209" s="1">
        <f t="shared" si="160"/>
        <v>0</v>
      </c>
      <c r="AJ209" s="1">
        <f t="shared" si="160"/>
        <v>0</v>
      </c>
      <c r="AK209" s="1">
        <f t="shared" si="160"/>
        <v>0</v>
      </c>
      <c r="AL209" s="1">
        <f t="shared" si="160"/>
        <v>0</v>
      </c>
      <c r="AM209" s="1">
        <f t="shared" si="160"/>
        <v>0</v>
      </c>
      <c r="AN209" s="1">
        <f t="shared" si="160"/>
        <v>1</v>
      </c>
      <c r="AO209" s="1">
        <f t="shared" si="160"/>
        <v>1</v>
      </c>
      <c r="AP209" s="1">
        <f t="shared" si="160"/>
        <v>1</v>
      </c>
      <c r="AQ209" s="1">
        <f t="shared" si="160"/>
        <v>1</v>
      </c>
      <c r="AR209" s="1">
        <f t="shared" si="160"/>
        <v>1</v>
      </c>
      <c r="AS209" s="1">
        <f t="shared" si="160"/>
        <v>1</v>
      </c>
      <c r="AT209" s="39">
        <f t="shared" si="136"/>
        <v>137711.25189898416</v>
      </c>
      <c r="AU209" s="39">
        <f t="shared" si="154"/>
        <v>137711.25189898416</v>
      </c>
      <c r="AV209" s="39">
        <f t="shared" si="111"/>
        <v>0</v>
      </c>
      <c r="AW209" s="3">
        <f t="shared" si="137"/>
        <v>135</v>
      </c>
      <c r="AX209" s="69">
        <f t="shared" si="155"/>
        <v>0</v>
      </c>
      <c r="AY209" s="75">
        <f t="shared" si="138"/>
        <v>0</v>
      </c>
      <c r="AZ209" s="75">
        <f t="shared" si="139"/>
        <v>0</v>
      </c>
      <c r="BA209" s="75">
        <f t="shared" si="140"/>
        <v>0</v>
      </c>
      <c r="BB209" s="75">
        <f t="shared" si="141"/>
        <v>0</v>
      </c>
      <c r="BD209" s="214">
        <f t="shared" si="156"/>
        <v>152168.0033540437</v>
      </c>
      <c r="BE209" s="214">
        <f t="shared" si="142"/>
        <v>740.68545075309828</v>
      </c>
      <c r="BF209" s="214">
        <f t="shared" si="143"/>
        <v>-251.79109102553156</v>
      </c>
      <c r="BG209" s="224">
        <f t="shared" si="161"/>
        <v>0</v>
      </c>
      <c r="BH209" s="19">
        <f t="shared" si="157"/>
        <v>189774.82770313174</v>
      </c>
      <c r="BI209" s="214">
        <f t="shared" si="144"/>
        <v>923.73856987425847</v>
      </c>
      <c r="BJ209" s="214">
        <f t="shared" si="145"/>
        <v>0</v>
      </c>
      <c r="BK209" s="19">
        <f t="shared" si="162"/>
        <v>0</v>
      </c>
    </row>
    <row r="210" spans="1:63">
      <c r="A210" s="165">
        <f t="shared" si="146"/>
        <v>73.306125941136202</v>
      </c>
      <c r="B210" s="69">
        <f t="shared" si="147"/>
        <v>12</v>
      </c>
      <c r="C210" s="70">
        <f t="shared" si="148"/>
        <v>136</v>
      </c>
      <c r="D210" s="13">
        <f t="shared" si="117"/>
        <v>4.8675505653430484E-3</v>
      </c>
      <c r="E210" s="15">
        <f t="shared" si="118"/>
        <v>1</v>
      </c>
      <c r="F210" s="15">
        <f t="shared" si="149"/>
        <v>0</v>
      </c>
      <c r="G210" s="15">
        <f t="shared" si="119"/>
        <v>0</v>
      </c>
      <c r="H210" s="73">
        <f t="shared" si="120"/>
        <v>0</v>
      </c>
      <c r="I210" s="189"/>
      <c r="J210" s="189"/>
      <c r="K210" s="5">
        <f t="shared" si="163"/>
        <v>137711.25189898416</v>
      </c>
      <c r="M210" s="5">
        <f t="shared" si="121"/>
        <v>670.31648203499935</v>
      </c>
      <c r="N210" s="5">
        <f t="shared" si="122"/>
        <v>-227.86962829144323</v>
      </c>
      <c r="O210" s="5">
        <f t="shared" si="123"/>
        <v>0</v>
      </c>
      <c r="P210" s="5">
        <f t="shared" si="124"/>
        <v>0</v>
      </c>
      <c r="Q210" s="5">
        <f t="shared" si="158"/>
        <v>0</v>
      </c>
      <c r="R210" s="5">
        <f t="shared" si="150"/>
        <v>0</v>
      </c>
      <c r="S210" s="5">
        <f t="shared" si="125"/>
        <v>0</v>
      </c>
      <c r="T210" s="5">
        <f t="shared" si="126"/>
        <v>0</v>
      </c>
      <c r="U210" s="74">
        <f t="shared" si="127"/>
        <v>0</v>
      </c>
      <c r="V210" s="75">
        <f t="shared" si="128"/>
        <v>0</v>
      </c>
      <c r="W210" s="5">
        <f t="shared" si="129"/>
        <v>0</v>
      </c>
      <c r="X210" s="5">
        <f t="shared" si="130"/>
        <v>138153.69875272774</v>
      </c>
      <c r="Y210" s="5">
        <f t="shared" si="151"/>
        <v>100000</v>
      </c>
      <c r="Z210" s="215">
        <f t="shared" si="131"/>
        <v>1</v>
      </c>
      <c r="AA210" s="216">
        <f t="shared" si="152"/>
        <v>0</v>
      </c>
      <c r="AB210" s="72">
        <f t="shared" si="159"/>
        <v>13188.158705474159</v>
      </c>
      <c r="AC210" s="72">
        <f t="shared" si="132"/>
        <v>0</v>
      </c>
      <c r="AD210" s="72">
        <f t="shared" si="133"/>
        <v>0</v>
      </c>
      <c r="AE210" s="72">
        <f t="shared" si="153"/>
        <v>-28.768911635859432</v>
      </c>
      <c r="AF210" s="70">
        <f t="shared" si="134"/>
        <v>0</v>
      </c>
      <c r="AG210" s="70">
        <f t="shared" si="135"/>
        <v>6321.7471286425662</v>
      </c>
      <c r="AH210" s="1">
        <f t="shared" si="160"/>
        <v>0</v>
      </c>
      <c r="AI210" s="1">
        <f t="shared" si="160"/>
        <v>0</v>
      </c>
      <c r="AJ210" s="1">
        <f t="shared" si="160"/>
        <v>0</v>
      </c>
      <c r="AK210" s="1">
        <f t="shared" si="160"/>
        <v>0</v>
      </c>
      <c r="AL210" s="1">
        <f t="shared" si="160"/>
        <v>0</v>
      </c>
      <c r="AM210" s="1">
        <f t="shared" si="160"/>
        <v>0</v>
      </c>
      <c r="AN210" s="1">
        <f t="shared" si="160"/>
        <v>1</v>
      </c>
      <c r="AO210" s="1">
        <f t="shared" si="160"/>
        <v>1</v>
      </c>
      <c r="AP210" s="1">
        <f t="shared" si="160"/>
        <v>1</v>
      </c>
      <c r="AQ210" s="1">
        <f t="shared" si="160"/>
        <v>1</v>
      </c>
      <c r="AR210" s="1">
        <f t="shared" si="160"/>
        <v>1</v>
      </c>
      <c r="AS210" s="1">
        <f t="shared" si="160"/>
        <v>1</v>
      </c>
      <c r="AT210" s="39">
        <f t="shared" si="136"/>
        <v>138153.69875272774</v>
      </c>
      <c r="AU210" s="39">
        <f t="shared" si="154"/>
        <v>138153.69875272774</v>
      </c>
      <c r="AV210" s="39">
        <f t="shared" si="111"/>
        <v>0</v>
      </c>
      <c r="AW210" s="3">
        <f t="shared" si="137"/>
        <v>136</v>
      </c>
      <c r="AX210" s="69">
        <f t="shared" si="155"/>
        <v>0</v>
      </c>
      <c r="AY210" s="75">
        <f t="shared" si="138"/>
        <v>0</v>
      </c>
      <c r="AZ210" s="75">
        <f t="shared" si="139"/>
        <v>0</v>
      </c>
      <c r="BA210" s="75">
        <f t="shared" si="140"/>
        <v>0</v>
      </c>
      <c r="BB210" s="75">
        <f t="shared" si="141"/>
        <v>0</v>
      </c>
      <c r="BD210" s="214">
        <f t="shared" si="156"/>
        <v>152656.89771377126</v>
      </c>
      <c r="BE210" s="214">
        <f t="shared" si="142"/>
        <v>743.06516877018328</v>
      </c>
      <c r="BF210" s="214">
        <f t="shared" si="143"/>
        <v>-252.60006033260478</v>
      </c>
      <c r="BG210" s="224">
        <f t="shared" si="161"/>
        <v>0</v>
      </c>
      <c r="BH210" s="19">
        <f t="shared" si="157"/>
        <v>190698.566273006</v>
      </c>
      <c r="BI210" s="214">
        <f t="shared" si="144"/>
        <v>928.23491407227914</v>
      </c>
      <c r="BJ210" s="214">
        <f t="shared" si="145"/>
        <v>0</v>
      </c>
      <c r="BK210" s="19">
        <f t="shared" si="162"/>
        <v>0</v>
      </c>
    </row>
    <row r="211" spans="1:63">
      <c r="A211" s="165">
        <f t="shared" si="146"/>
        <v>73.389459274469544</v>
      </c>
      <c r="B211" s="69">
        <f t="shared" si="147"/>
        <v>12</v>
      </c>
      <c r="C211" s="70">
        <f t="shared" si="148"/>
        <v>137</v>
      </c>
      <c r="D211" s="13">
        <f t="shared" si="117"/>
        <v>4.8675505653430484E-3</v>
      </c>
      <c r="E211" s="15">
        <f t="shared" si="118"/>
        <v>1</v>
      </c>
      <c r="F211" s="15">
        <f t="shared" si="149"/>
        <v>0</v>
      </c>
      <c r="G211" s="15">
        <f t="shared" si="119"/>
        <v>0</v>
      </c>
      <c r="H211" s="73">
        <f t="shared" si="120"/>
        <v>0</v>
      </c>
      <c r="I211" s="189"/>
      <c r="J211" s="189"/>
      <c r="K211" s="5">
        <f t="shared" si="163"/>
        <v>138153.69875272774</v>
      </c>
      <c r="M211" s="5">
        <f t="shared" si="121"/>
        <v>672.47011446807312</v>
      </c>
      <c r="N211" s="5">
        <f t="shared" si="122"/>
        <v>-228.6017413084335</v>
      </c>
      <c r="O211" s="5">
        <f t="shared" si="123"/>
        <v>0</v>
      </c>
      <c r="P211" s="5">
        <f t="shared" si="124"/>
        <v>0</v>
      </c>
      <c r="Q211" s="5">
        <f t="shared" si="158"/>
        <v>0</v>
      </c>
      <c r="R211" s="5">
        <f t="shared" si="150"/>
        <v>0</v>
      </c>
      <c r="S211" s="5">
        <f t="shared" si="125"/>
        <v>0</v>
      </c>
      <c r="T211" s="5">
        <f t="shared" si="126"/>
        <v>0</v>
      </c>
      <c r="U211" s="74">
        <f t="shared" si="127"/>
        <v>0</v>
      </c>
      <c r="V211" s="75">
        <f t="shared" si="128"/>
        <v>0</v>
      </c>
      <c r="W211" s="5">
        <f t="shared" si="129"/>
        <v>0</v>
      </c>
      <c r="X211" s="5">
        <f t="shared" si="130"/>
        <v>138597.56712588738</v>
      </c>
      <c r="Y211" s="5">
        <f t="shared" si="151"/>
        <v>100000</v>
      </c>
      <c r="Z211" s="215">
        <f t="shared" si="131"/>
        <v>1</v>
      </c>
      <c r="AA211" s="216">
        <f t="shared" si="152"/>
        <v>0</v>
      </c>
      <c r="AB211" s="72">
        <f t="shared" si="159"/>
        <v>13188.158705474159</v>
      </c>
      <c r="AC211" s="72">
        <f t="shared" si="132"/>
        <v>0</v>
      </c>
      <c r="AD211" s="72">
        <f t="shared" si="133"/>
        <v>0</v>
      </c>
      <c r="AE211" s="72">
        <f t="shared" si="153"/>
        <v>-28.861342096431024</v>
      </c>
      <c r="AF211" s="70">
        <f t="shared" si="134"/>
        <v>0</v>
      </c>
      <c r="AG211" s="70">
        <f t="shared" si="135"/>
        <v>6490.4171104432298</v>
      </c>
      <c r="AH211" s="1">
        <f t="shared" si="160"/>
        <v>0</v>
      </c>
      <c r="AI211" s="1">
        <f t="shared" si="160"/>
        <v>0</v>
      </c>
      <c r="AJ211" s="1">
        <f t="shared" si="160"/>
        <v>0</v>
      </c>
      <c r="AK211" s="1">
        <f t="shared" si="160"/>
        <v>0</v>
      </c>
      <c r="AL211" s="1">
        <f t="shared" si="160"/>
        <v>0</v>
      </c>
      <c r="AM211" s="1">
        <f t="shared" si="160"/>
        <v>0</v>
      </c>
      <c r="AN211" s="1">
        <f t="shared" si="160"/>
        <v>1</v>
      </c>
      <c r="AO211" s="1">
        <f t="shared" si="160"/>
        <v>1</v>
      </c>
      <c r="AP211" s="1">
        <f t="shared" si="160"/>
        <v>1</v>
      </c>
      <c r="AQ211" s="1">
        <f t="shared" si="160"/>
        <v>1</v>
      </c>
      <c r="AR211" s="1">
        <f t="shared" si="160"/>
        <v>1</v>
      </c>
      <c r="AS211" s="1">
        <f t="shared" si="160"/>
        <v>1</v>
      </c>
      <c r="AT211" s="39">
        <f t="shared" si="136"/>
        <v>138597.56712588738</v>
      </c>
      <c r="AU211" s="39">
        <f t="shared" si="154"/>
        <v>138597.56712588738</v>
      </c>
      <c r="AV211" s="39">
        <f t="shared" si="111"/>
        <v>0</v>
      </c>
      <c r="AW211" s="3">
        <f t="shared" si="137"/>
        <v>137</v>
      </c>
      <c r="AX211" s="69">
        <f t="shared" si="155"/>
        <v>0</v>
      </c>
      <c r="AY211" s="75">
        <f t="shared" si="138"/>
        <v>0</v>
      </c>
      <c r="AZ211" s="75">
        <f t="shared" si="139"/>
        <v>0</v>
      </c>
      <c r="BA211" s="75">
        <f t="shared" si="140"/>
        <v>0</v>
      </c>
      <c r="BB211" s="75">
        <f t="shared" si="141"/>
        <v>0</v>
      </c>
      <c r="BD211" s="214">
        <f t="shared" si="156"/>
        <v>153147.36282220884</v>
      </c>
      <c r="BE211" s="214">
        <f t="shared" si="142"/>
        <v>745.45253248603967</v>
      </c>
      <c r="BF211" s="214">
        <f t="shared" si="143"/>
        <v>-253.41162874410665</v>
      </c>
      <c r="BG211" s="224">
        <f t="shared" si="161"/>
        <v>0</v>
      </c>
      <c r="BH211" s="19">
        <f t="shared" si="157"/>
        <v>191626.80118707826</v>
      </c>
      <c r="BI211" s="214">
        <f t="shared" si="144"/>
        <v>932.75314445304275</v>
      </c>
      <c r="BJ211" s="214">
        <f t="shared" si="145"/>
        <v>0</v>
      </c>
      <c r="BK211" s="19">
        <f t="shared" si="162"/>
        <v>0</v>
      </c>
    </row>
    <row r="212" spans="1:63">
      <c r="A212" s="165">
        <f t="shared" si="146"/>
        <v>73.472792607802873</v>
      </c>
      <c r="B212" s="69">
        <f t="shared" si="147"/>
        <v>12</v>
      </c>
      <c r="C212" s="70">
        <f t="shared" si="148"/>
        <v>138</v>
      </c>
      <c r="D212" s="13">
        <f t="shared" si="117"/>
        <v>4.8675505653430484E-3</v>
      </c>
      <c r="E212" s="15">
        <f t="shared" si="118"/>
        <v>1</v>
      </c>
      <c r="F212" s="15">
        <f t="shared" si="149"/>
        <v>0</v>
      </c>
      <c r="G212" s="15">
        <f t="shared" si="119"/>
        <v>0</v>
      </c>
      <c r="H212" s="73">
        <f t="shared" si="120"/>
        <v>0</v>
      </c>
      <c r="I212" s="189"/>
      <c r="J212" s="189"/>
      <c r="K212" s="5">
        <f t="shared" si="163"/>
        <v>138597.56712588738</v>
      </c>
      <c r="M212" s="5">
        <f t="shared" si="121"/>
        <v>674.6306662187842</v>
      </c>
      <c r="N212" s="5">
        <f t="shared" si="122"/>
        <v>-229.33620650141862</v>
      </c>
      <c r="O212" s="5">
        <f t="shared" si="123"/>
        <v>0</v>
      </c>
      <c r="P212" s="5">
        <f t="shared" si="124"/>
        <v>0</v>
      </c>
      <c r="Q212" s="5">
        <f t="shared" si="158"/>
        <v>0</v>
      </c>
      <c r="R212" s="5">
        <f t="shared" si="150"/>
        <v>0</v>
      </c>
      <c r="S212" s="5">
        <f t="shared" si="125"/>
        <v>0</v>
      </c>
      <c r="T212" s="5">
        <f t="shared" si="126"/>
        <v>0</v>
      </c>
      <c r="U212" s="74">
        <f t="shared" si="127"/>
        <v>0</v>
      </c>
      <c r="V212" s="75">
        <f t="shared" si="128"/>
        <v>0</v>
      </c>
      <c r="W212" s="5">
        <f t="shared" si="129"/>
        <v>0</v>
      </c>
      <c r="X212" s="5">
        <f t="shared" si="130"/>
        <v>139042.86158560475</v>
      </c>
      <c r="Y212" s="5">
        <f t="shared" si="151"/>
        <v>100000</v>
      </c>
      <c r="Z212" s="215">
        <f t="shared" si="131"/>
        <v>1</v>
      </c>
      <c r="AA212" s="216">
        <f t="shared" si="152"/>
        <v>0</v>
      </c>
      <c r="AB212" s="72">
        <f t="shared" si="159"/>
        <v>13188.158705474159</v>
      </c>
      <c r="AC212" s="72">
        <f t="shared" si="132"/>
        <v>0</v>
      </c>
      <c r="AD212" s="72">
        <f t="shared" si="133"/>
        <v>0</v>
      </c>
      <c r="AE212" s="72">
        <f t="shared" si="153"/>
        <v>-28.954069523052262</v>
      </c>
      <c r="AF212" s="70">
        <f t="shared" si="134"/>
        <v>0</v>
      </c>
      <c r="AG212" s="70">
        <f t="shared" si="135"/>
        <v>6659.6290051358319</v>
      </c>
      <c r="AH212" s="1">
        <f t="shared" si="160"/>
        <v>0</v>
      </c>
      <c r="AI212" s="1">
        <f t="shared" si="160"/>
        <v>0</v>
      </c>
      <c r="AJ212" s="1">
        <f t="shared" si="160"/>
        <v>0</v>
      </c>
      <c r="AK212" s="1">
        <f t="shared" si="160"/>
        <v>0</v>
      </c>
      <c r="AL212" s="1">
        <f t="shared" si="160"/>
        <v>0</v>
      </c>
      <c r="AM212" s="1">
        <f t="shared" si="160"/>
        <v>0</v>
      </c>
      <c r="AN212" s="1">
        <f t="shared" si="160"/>
        <v>1</v>
      </c>
      <c r="AO212" s="1">
        <f t="shared" si="160"/>
        <v>1</v>
      </c>
      <c r="AP212" s="1">
        <f t="shared" si="160"/>
        <v>1</v>
      </c>
      <c r="AQ212" s="1">
        <f t="shared" si="160"/>
        <v>1</v>
      </c>
      <c r="AR212" s="1">
        <f t="shared" si="160"/>
        <v>1</v>
      </c>
      <c r="AS212" s="1">
        <f t="shared" si="160"/>
        <v>1</v>
      </c>
      <c r="AT212" s="39">
        <f t="shared" si="136"/>
        <v>139042.86158560475</v>
      </c>
      <c r="AU212" s="39">
        <f t="shared" si="154"/>
        <v>139042.86158560475</v>
      </c>
      <c r="AV212" s="39">
        <f t="shared" si="111"/>
        <v>0</v>
      </c>
      <c r="AW212" s="3">
        <f t="shared" si="137"/>
        <v>138</v>
      </c>
      <c r="AX212" s="69">
        <f t="shared" si="155"/>
        <v>0</v>
      </c>
      <c r="AY212" s="75">
        <f t="shared" si="138"/>
        <v>0</v>
      </c>
      <c r="AZ212" s="75">
        <f t="shared" si="139"/>
        <v>0</v>
      </c>
      <c r="BA212" s="75">
        <f t="shared" si="140"/>
        <v>0</v>
      </c>
      <c r="BB212" s="75">
        <f t="shared" si="141"/>
        <v>0</v>
      </c>
      <c r="BD212" s="214">
        <f t="shared" si="156"/>
        <v>153639.40372595077</v>
      </c>
      <c r="BE212" s="214">
        <f t="shared" si="142"/>
        <v>747.84756646522055</v>
      </c>
      <c r="BF212" s="214">
        <f t="shared" si="143"/>
        <v>-254.2258046105936</v>
      </c>
      <c r="BG212" s="224">
        <f t="shared" si="161"/>
        <v>0</v>
      </c>
      <c r="BH212" s="19">
        <f t="shared" si="157"/>
        <v>192559.55433153131</v>
      </c>
      <c r="BI212" s="214">
        <f t="shared" si="144"/>
        <v>937.29336754865074</v>
      </c>
      <c r="BJ212" s="214">
        <f t="shared" si="145"/>
        <v>0</v>
      </c>
      <c r="BK212" s="19">
        <f t="shared" si="162"/>
        <v>0</v>
      </c>
    </row>
    <row r="213" spans="1:63">
      <c r="A213" s="165">
        <f t="shared" si="146"/>
        <v>73.556125941136202</v>
      </c>
      <c r="B213" s="69">
        <f t="shared" si="147"/>
        <v>12</v>
      </c>
      <c r="C213" s="70">
        <f t="shared" si="148"/>
        <v>139</v>
      </c>
      <c r="D213" s="13">
        <f t="shared" si="117"/>
        <v>4.8675505653430484E-3</v>
      </c>
      <c r="E213" s="15">
        <f t="shared" si="118"/>
        <v>1</v>
      </c>
      <c r="F213" s="15">
        <f t="shared" si="149"/>
        <v>0</v>
      </c>
      <c r="G213" s="15">
        <f t="shared" si="119"/>
        <v>0</v>
      </c>
      <c r="H213" s="73">
        <f t="shared" si="120"/>
        <v>0</v>
      </c>
      <c r="I213" s="189"/>
      <c r="J213" s="189"/>
      <c r="K213" s="5">
        <f t="shared" si="163"/>
        <v>139042.86158560475</v>
      </c>
      <c r="M213" s="5">
        <f t="shared" si="121"/>
        <v>676.79815951792568</v>
      </c>
      <c r="N213" s="5">
        <f t="shared" si="122"/>
        <v>-230.07303142760892</v>
      </c>
      <c r="O213" s="5">
        <f t="shared" si="123"/>
        <v>0</v>
      </c>
      <c r="P213" s="5">
        <f t="shared" si="124"/>
        <v>0</v>
      </c>
      <c r="Q213" s="5">
        <f t="shared" si="158"/>
        <v>0</v>
      </c>
      <c r="R213" s="5">
        <f t="shared" si="150"/>
        <v>0</v>
      </c>
      <c r="S213" s="5">
        <f t="shared" si="125"/>
        <v>0</v>
      </c>
      <c r="T213" s="5">
        <f t="shared" si="126"/>
        <v>0</v>
      </c>
      <c r="U213" s="74">
        <f t="shared" si="127"/>
        <v>0</v>
      </c>
      <c r="V213" s="75">
        <f t="shared" si="128"/>
        <v>0</v>
      </c>
      <c r="W213" s="5">
        <f t="shared" si="129"/>
        <v>0</v>
      </c>
      <c r="X213" s="5">
        <f t="shared" si="130"/>
        <v>139489.58671369508</v>
      </c>
      <c r="Y213" s="5">
        <f t="shared" si="151"/>
        <v>100000</v>
      </c>
      <c r="Z213" s="215">
        <f t="shared" si="131"/>
        <v>1</v>
      </c>
      <c r="AA213" s="216">
        <f t="shared" si="152"/>
        <v>0</v>
      </c>
      <c r="AB213" s="72">
        <f t="shared" si="159"/>
        <v>13188.158705474159</v>
      </c>
      <c r="AC213" s="72">
        <f t="shared" si="132"/>
        <v>0</v>
      </c>
      <c r="AD213" s="72">
        <f t="shared" si="133"/>
        <v>0</v>
      </c>
      <c r="AE213" s="72">
        <f t="shared" si="153"/>
        <v>-29.047094869833249</v>
      </c>
      <c r="AF213" s="70">
        <f t="shared" si="134"/>
        <v>0</v>
      </c>
      <c r="AG213" s="70">
        <f t="shared" si="135"/>
        <v>6829.3845538101577</v>
      </c>
      <c r="AH213" s="1">
        <f t="shared" si="160"/>
        <v>0</v>
      </c>
      <c r="AI213" s="1">
        <f t="shared" si="160"/>
        <v>0</v>
      </c>
      <c r="AJ213" s="1">
        <f t="shared" si="160"/>
        <v>0</v>
      </c>
      <c r="AK213" s="1">
        <f t="shared" si="160"/>
        <v>0</v>
      </c>
      <c r="AL213" s="1">
        <f t="shared" si="160"/>
        <v>0</v>
      </c>
      <c r="AM213" s="1">
        <f t="shared" si="160"/>
        <v>0</v>
      </c>
      <c r="AN213" s="1">
        <f t="shared" si="160"/>
        <v>1</v>
      </c>
      <c r="AO213" s="1">
        <f t="shared" si="160"/>
        <v>1</v>
      </c>
      <c r="AP213" s="1">
        <f t="shared" si="160"/>
        <v>1</v>
      </c>
      <c r="AQ213" s="1">
        <f t="shared" si="160"/>
        <v>1</v>
      </c>
      <c r="AR213" s="1">
        <f t="shared" si="160"/>
        <v>1</v>
      </c>
      <c r="AS213" s="1">
        <f t="shared" si="160"/>
        <v>1</v>
      </c>
      <c r="AT213" s="39">
        <f t="shared" si="136"/>
        <v>139489.58671369508</v>
      </c>
      <c r="AU213" s="39">
        <f t="shared" si="154"/>
        <v>139489.58671369508</v>
      </c>
      <c r="AV213" s="39">
        <f t="shared" si="111"/>
        <v>0</v>
      </c>
      <c r="AW213" s="3">
        <f t="shared" si="137"/>
        <v>139</v>
      </c>
      <c r="AX213" s="69">
        <f t="shared" si="155"/>
        <v>0</v>
      </c>
      <c r="AY213" s="75">
        <f t="shared" si="138"/>
        <v>0</v>
      </c>
      <c r="AZ213" s="75">
        <f t="shared" si="139"/>
        <v>0</v>
      </c>
      <c r="BA213" s="75">
        <f t="shared" si="140"/>
        <v>0</v>
      </c>
      <c r="BB213" s="75">
        <f t="shared" si="141"/>
        <v>0</v>
      </c>
      <c r="BD213" s="214">
        <f t="shared" si="156"/>
        <v>154133.0254878054</v>
      </c>
      <c r="BE213" s="214">
        <f t="shared" si="142"/>
        <v>750.25029535120166</v>
      </c>
      <c r="BF213" s="214">
        <f t="shared" si="143"/>
        <v>-255.04259630945123</v>
      </c>
      <c r="BG213" s="224">
        <f t="shared" si="161"/>
        <v>0</v>
      </c>
      <c r="BH213" s="19">
        <f t="shared" si="157"/>
        <v>193496.84769907995</v>
      </c>
      <c r="BI213" s="214">
        <f t="shared" si="144"/>
        <v>941.8556904097544</v>
      </c>
      <c r="BJ213" s="214">
        <f t="shared" si="145"/>
        <v>0</v>
      </c>
      <c r="BK213" s="19">
        <f t="shared" si="162"/>
        <v>0</v>
      </c>
    </row>
    <row r="214" spans="1:63">
      <c r="A214" s="165">
        <f t="shared" si="146"/>
        <v>73.639459274469544</v>
      </c>
      <c r="B214" s="69">
        <f t="shared" si="147"/>
        <v>12</v>
      </c>
      <c r="C214" s="70">
        <f t="shared" si="148"/>
        <v>140</v>
      </c>
      <c r="D214" s="13">
        <f t="shared" si="117"/>
        <v>4.8675505653430484E-3</v>
      </c>
      <c r="E214" s="15">
        <f t="shared" si="118"/>
        <v>1</v>
      </c>
      <c r="F214" s="15">
        <f t="shared" si="149"/>
        <v>0</v>
      </c>
      <c r="G214" s="15">
        <f t="shared" si="119"/>
        <v>0</v>
      </c>
      <c r="H214" s="73">
        <f t="shared" si="120"/>
        <v>0</v>
      </c>
      <c r="I214" s="189"/>
      <c r="J214" s="189"/>
      <c r="K214" s="5">
        <f t="shared" si="163"/>
        <v>139489.58671369508</v>
      </c>
      <c r="M214" s="5">
        <f t="shared" si="121"/>
        <v>678.97261666771465</v>
      </c>
      <c r="N214" s="5">
        <f t="shared" si="122"/>
        <v>-230.81222366849468</v>
      </c>
      <c r="O214" s="5">
        <f t="shared" si="123"/>
        <v>0</v>
      </c>
      <c r="P214" s="5">
        <f t="shared" si="124"/>
        <v>0</v>
      </c>
      <c r="Q214" s="5">
        <f t="shared" si="158"/>
        <v>0</v>
      </c>
      <c r="R214" s="5">
        <f t="shared" si="150"/>
        <v>0</v>
      </c>
      <c r="S214" s="5">
        <f t="shared" si="125"/>
        <v>0</v>
      </c>
      <c r="T214" s="5">
        <f t="shared" si="126"/>
        <v>0</v>
      </c>
      <c r="U214" s="74">
        <f t="shared" si="127"/>
        <v>0</v>
      </c>
      <c r="V214" s="75">
        <f t="shared" si="128"/>
        <v>0</v>
      </c>
      <c r="W214" s="5">
        <f t="shared" si="129"/>
        <v>0</v>
      </c>
      <c r="X214" s="5">
        <f t="shared" si="130"/>
        <v>139937.7471066943</v>
      </c>
      <c r="Y214" s="5">
        <f t="shared" si="151"/>
        <v>100000</v>
      </c>
      <c r="Z214" s="215">
        <f t="shared" si="131"/>
        <v>1</v>
      </c>
      <c r="AA214" s="216">
        <f t="shared" si="152"/>
        <v>0</v>
      </c>
      <c r="AB214" s="72">
        <f t="shared" si="159"/>
        <v>13188.158705474159</v>
      </c>
      <c r="AC214" s="72">
        <f t="shared" si="132"/>
        <v>0</v>
      </c>
      <c r="AD214" s="72">
        <f t="shared" si="133"/>
        <v>0</v>
      </c>
      <c r="AE214" s="72">
        <f t="shared" si="153"/>
        <v>-29.140419093949493</v>
      </c>
      <c r="AF214" s="70">
        <f t="shared" si="134"/>
        <v>0</v>
      </c>
      <c r="AG214" s="70">
        <f t="shared" si="135"/>
        <v>6999.6855031498581</v>
      </c>
      <c r="AH214" s="1">
        <f t="shared" si="160"/>
        <v>0</v>
      </c>
      <c r="AI214" s="1">
        <f t="shared" si="160"/>
        <v>0</v>
      </c>
      <c r="AJ214" s="1">
        <f t="shared" si="160"/>
        <v>0</v>
      </c>
      <c r="AK214" s="1">
        <f t="shared" si="160"/>
        <v>0</v>
      </c>
      <c r="AL214" s="1">
        <f t="shared" si="160"/>
        <v>0</v>
      </c>
      <c r="AM214" s="1">
        <f t="shared" si="160"/>
        <v>0</v>
      </c>
      <c r="AN214" s="1">
        <f t="shared" si="160"/>
        <v>1</v>
      </c>
      <c r="AO214" s="1">
        <f t="shared" si="160"/>
        <v>1</v>
      </c>
      <c r="AP214" s="1">
        <f t="shared" si="160"/>
        <v>1</v>
      </c>
      <c r="AQ214" s="1">
        <f t="shared" si="160"/>
        <v>1</v>
      </c>
      <c r="AR214" s="1">
        <f t="shared" si="160"/>
        <v>1</v>
      </c>
      <c r="AS214" s="1">
        <f t="shared" si="160"/>
        <v>1</v>
      </c>
      <c r="AT214" s="39">
        <f t="shared" si="136"/>
        <v>139937.7471066943</v>
      </c>
      <c r="AU214" s="39">
        <f t="shared" si="154"/>
        <v>139937.7471066943</v>
      </c>
      <c r="AV214" s="39">
        <f t="shared" si="111"/>
        <v>0</v>
      </c>
      <c r="AW214" s="3">
        <f t="shared" si="137"/>
        <v>140</v>
      </c>
      <c r="AX214" s="69">
        <f t="shared" si="155"/>
        <v>0</v>
      </c>
      <c r="AY214" s="75">
        <f t="shared" si="138"/>
        <v>0</v>
      </c>
      <c r="AZ214" s="75">
        <f t="shared" si="139"/>
        <v>0</v>
      </c>
      <c r="BA214" s="75">
        <f t="shared" si="140"/>
        <v>0</v>
      </c>
      <c r="BB214" s="75">
        <f t="shared" si="141"/>
        <v>0</v>
      </c>
      <c r="BD214" s="214">
        <f t="shared" si="156"/>
        <v>154628.23318684715</v>
      </c>
      <c r="BE214" s="214">
        <f t="shared" si="142"/>
        <v>752.66074386663456</v>
      </c>
      <c r="BF214" s="214">
        <f t="shared" si="143"/>
        <v>-255.86201224498043</v>
      </c>
      <c r="BG214" s="224">
        <f t="shared" si="161"/>
        <v>0</v>
      </c>
      <c r="BH214" s="19">
        <f t="shared" si="157"/>
        <v>194438.7033894897</v>
      </c>
      <c r="BI214" s="214">
        <f t="shared" si="144"/>
        <v>946.44022060807993</v>
      </c>
      <c r="BJ214" s="214">
        <f t="shared" si="145"/>
        <v>0</v>
      </c>
      <c r="BK214" s="19">
        <f t="shared" si="162"/>
        <v>0</v>
      </c>
    </row>
    <row r="215" spans="1:63">
      <c r="A215" s="165">
        <f t="shared" si="146"/>
        <v>73.722792607802873</v>
      </c>
      <c r="B215" s="69">
        <f t="shared" si="147"/>
        <v>12</v>
      </c>
      <c r="C215" s="70">
        <f t="shared" si="148"/>
        <v>141</v>
      </c>
      <c r="D215" s="13">
        <f t="shared" si="117"/>
        <v>4.8675505653430484E-3</v>
      </c>
      <c r="E215" s="15">
        <f t="shared" si="118"/>
        <v>1</v>
      </c>
      <c r="F215" s="15">
        <f t="shared" si="149"/>
        <v>0</v>
      </c>
      <c r="G215" s="15">
        <f t="shared" si="119"/>
        <v>0</v>
      </c>
      <c r="H215" s="73">
        <f t="shared" si="120"/>
        <v>0</v>
      </c>
      <c r="I215" s="189"/>
      <c r="J215" s="189"/>
      <c r="K215" s="5">
        <f t="shared" si="163"/>
        <v>139937.7471066943</v>
      </c>
      <c r="M215" s="5">
        <f t="shared" si="121"/>
        <v>681.15406004202237</v>
      </c>
      <c r="N215" s="5">
        <f t="shared" si="122"/>
        <v>-231.55379082992445</v>
      </c>
      <c r="O215" s="5">
        <f t="shared" si="123"/>
        <v>0</v>
      </c>
      <c r="P215" s="5">
        <f t="shared" si="124"/>
        <v>0</v>
      </c>
      <c r="Q215" s="5">
        <f t="shared" si="158"/>
        <v>0</v>
      </c>
      <c r="R215" s="5">
        <f t="shared" si="150"/>
        <v>0</v>
      </c>
      <c r="S215" s="5">
        <f t="shared" si="125"/>
        <v>0</v>
      </c>
      <c r="T215" s="5">
        <f t="shared" si="126"/>
        <v>0</v>
      </c>
      <c r="U215" s="74">
        <f t="shared" si="127"/>
        <v>0</v>
      </c>
      <c r="V215" s="75">
        <f t="shared" si="128"/>
        <v>0</v>
      </c>
      <c r="W215" s="5">
        <f t="shared" si="129"/>
        <v>0</v>
      </c>
      <c r="X215" s="5">
        <f t="shared" si="130"/>
        <v>140387.34737590639</v>
      </c>
      <c r="Y215" s="5">
        <f t="shared" si="151"/>
        <v>100000</v>
      </c>
      <c r="Z215" s="215">
        <f t="shared" si="131"/>
        <v>1</v>
      </c>
      <c r="AA215" s="216">
        <f t="shared" si="152"/>
        <v>0</v>
      </c>
      <c r="AB215" s="72">
        <f t="shared" si="159"/>
        <v>13188.158705474159</v>
      </c>
      <c r="AC215" s="72">
        <f t="shared" si="132"/>
        <v>0</v>
      </c>
      <c r="AD215" s="72">
        <f t="shared" si="133"/>
        <v>0</v>
      </c>
      <c r="AE215" s="72">
        <f t="shared" si="153"/>
        <v>-29.234043155651754</v>
      </c>
      <c r="AF215" s="70">
        <f t="shared" si="134"/>
        <v>0</v>
      </c>
      <c r="AG215" s="70">
        <f t="shared" si="135"/>
        <v>7170.5336054504533</v>
      </c>
      <c r="AH215" s="1">
        <f t="shared" ref="AH215:AS224" si="164">IF($B215&lt;=AH$74,1,0)</f>
        <v>0</v>
      </c>
      <c r="AI215" s="1">
        <f t="shared" si="164"/>
        <v>0</v>
      </c>
      <c r="AJ215" s="1">
        <f t="shared" si="164"/>
        <v>0</v>
      </c>
      <c r="AK215" s="1">
        <f t="shared" si="164"/>
        <v>0</v>
      </c>
      <c r="AL215" s="1">
        <f t="shared" si="164"/>
        <v>0</v>
      </c>
      <c r="AM215" s="1">
        <f t="shared" si="164"/>
        <v>0</v>
      </c>
      <c r="AN215" s="1">
        <f t="shared" si="164"/>
        <v>1</v>
      </c>
      <c r="AO215" s="1">
        <f t="shared" si="164"/>
        <v>1</v>
      </c>
      <c r="AP215" s="1">
        <f t="shared" si="164"/>
        <v>1</v>
      </c>
      <c r="AQ215" s="1">
        <f t="shared" si="164"/>
        <v>1</v>
      </c>
      <c r="AR215" s="1">
        <f t="shared" si="164"/>
        <v>1</v>
      </c>
      <c r="AS215" s="1">
        <f t="shared" si="164"/>
        <v>1</v>
      </c>
      <c r="AT215" s="39">
        <f t="shared" si="136"/>
        <v>140387.34737590639</v>
      </c>
      <c r="AU215" s="39">
        <f t="shared" si="154"/>
        <v>140387.34737590639</v>
      </c>
      <c r="AV215" s="39">
        <f t="shared" ref="AV215:AV278" si="165">IF(W215=0,0,IF(W215&gt;W203,"Y","N"))</f>
        <v>0</v>
      </c>
      <c r="AW215" s="3">
        <f t="shared" si="137"/>
        <v>141</v>
      </c>
      <c r="AX215" s="69">
        <f t="shared" si="155"/>
        <v>0</v>
      </c>
      <c r="AY215" s="75">
        <f t="shared" si="138"/>
        <v>0</v>
      </c>
      <c r="AZ215" s="75">
        <f t="shared" si="139"/>
        <v>0</v>
      </c>
      <c r="BA215" s="75">
        <f t="shared" si="140"/>
        <v>0</v>
      </c>
      <c r="BB215" s="75">
        <f t="shared" si="141"/>
        <v>0</v>
      </c>
      <c r="BD215" s="214">
        <f t="shared" si="156"/>
        <v>155125.0319184688</v>
      </c>
      <c r="BE215" s="214">
        <f t="shared" si="142"/>
        <v>755.07893681360122</v>
      </c>
      <c r="BF215" s="214">
        <f t="shared" si="143"/>
        <v>-256.68406084848397</v>
      </c>
      <c r="BG215" s="224">
        <f t="shared" si="161"/>
        <v>0</v>
      </c>
      <c r="BH215" s="19">
        <f t="shared" si="157"/>
        <v>195385.14361009779</v>
      </c>
      <c r="BI215" s="214">
        <f t="shared" si="144"/>
        <v>951.04706623896425</v>
      </c>
      <c r="BJ215" s="214">
        <f t="shared" si="145"/>
        <v>0</v>
      </c>
      <c r="BK215" s="19">
        <f t="shared" si="162"/>
        <v>0</v>
      </c>
    </row>
    <row r="216" spans="1:63">
      <c r="A216" s="165">
        <f t="shared" si="146"/>
        <v>73.806125941136202</v>
      </c>
      <c r="B216" s="69">
        <f t="shared" si="147"/>
        <v>12</v>
      </c>
      <c r="C216" s="70">
        <f t="shared" si="148"/>
        <v>142</v>
      </c>
      <c r="D216" s="13">
        <f t="shared" si="117"/>
        <v>4.8675505653430484E-3</v>
      </c>
      <c r="E216" s="15">
        <f t="shared" si="118"/>
        <v>1</v>
      </c>
      <c r="F216" s="15">
        <f t="shared" si="149"/>
        <v>0</v>
      </c>
      <c r="G216" s="15">
        <f t="shared" si="119"/>
        <v>0</v>
      </c>
      <c r="H216" s="73">
        <f t="shared" si="120"/>
        <v>0</v>
      </c>
      <c r="I216" s="189"/>
      <c r="J216" s="189"/>
      <c r="K216" s="5">
        <f t="shared" si="163"/>
        <v>140387.34737590639</v>
      </c>
      <c r="M216" s="5">
        <f t="shared" si="121"/>
        <v>683.34251208660407</v>
      </c>
      <c r="N216" s="5">
        <f t="shared" si="122"/>
        <v>-232.29774054218362</v>
      </c>
      <c r="O216" s="5">
        <f t="shared" si="123"/>
        <v>0</v>
      </c>
      <c r="P216" s="5">
        <f t="shared" si="124"/>
        <v>0</v>
      </c>
      <c r="Q216" s="5">
        <f t="shared" si="158"/>
        <v>0</v>
      </c>
      <c r="R216" s="5">
        <f t="shared" si="150"/>
        <v>0</v>
      </c>
      <c r="S216" s="5">
        <f t="shared" si="125"/>
        <v>0</v>
      </c>
      <c r="T216" s="5">
        <f t="shared" si="126"/>
        <v>0</v>
      </c>
      <c r="U216" s="74">
        <f t="shared" si="127"/>
        <v>0</v>
      </c>
      <c r="V216" s="75">
        <f t="shared" si="128"/>
        <v>0</v>
      </c>
      <c r="W216" s="5">
        <f t="shared" si="129"/>
        <v>0</v>
      </c>
      <c r="X216" s="5">
        <f t="shared" si="130"/>
        <v>140838.39214745082</v>
      </c>
      <c r="Y216" s="5">
        <f t="shared" si="151"/>
        <v>100000</v>
      </c>
      <c r="Z216" s="215">
        <f t="shared" si="131"/>
        <v>1</v>
      </c>
      <c r="AA216" s="216">
        <f t="shared" si="152"/>
        <v>0</v>
      </c>
      <c r="AB216" s="72">
        <f t="shared" si="159"/>
        <v>13188.158705474159</v>
      </c>
      <c r="AC216" s="72">
        <f t="shared" si="132"/>
        <v>0</v>
      </c>
      <c r="AD216" s="72">
        <f t="shared" si="133"/>
        <v>0</v>
      </c>
      <c r="AE216" s="72">
        <f t="shared" si="153"/>
        <v>-29.327968018275978</v>
      </c>
      <c r="AF216" s="70">
        <f t="shared" si="134"/>
        <v>0</v>
      </c>
      <c r="AG216" s="70">
        <f t="shared" si="135"/>
        <v>7341.9306186373378</v>
      </c>
      <c r="AH216" s="1">
        <f t="shared" si="164"/>
        <v>0</v>
      </c>
      <c r="AI216" s="1">
        <f t="shared" si="164"/>
        <v>0</v>
      </c>
      <c r="AJ216" s="1">
        <f t="shared" si="164"/>
        <v>0</v>
      </c>
      <c r="AK216" s="1">
        <f t="shared" si="164"/>
        <v>0</v>
      </c>
      <c r="AL216" s="1">
        <f t="shared" si="164"/>
        <v>0</v>
      </c>
      <c r="AM216" s="1">
        <f t="shared" si="164"/>
        <v>0</v>
      </c>
      <c r="AN216" s="1">
        <f t="shared" si="164"/>
        <v>1</v>
      </c>
      <c r="AO216" s="1">
        <f t="shared" si="164"/>
        <v>1</v>
      </c>
      <c r="AP216" s="1">
        <f t="shared" si="164"/>
        <v>1</v>
      </c>
      <c r="AQ216" s="1">
        <f t="shared" si="164"/>
        <v>1</v>
      </c>
      <c r="AR216" s="1">
        <f t="shared" si="164"/>
        <v>1</v>
      </c>
      <c r="AS216" s="1">
        <f t="shared" si="164"/>
        <v>1</v>
      </c>
      <c r="AT216" s="39">
        <f t="shared" si="136"/>
        <v>140838.39214745082</v>
      </c>
      <c r="AU216" s="39">
        <f t="shared" si="154"/>
        <v>140838.39214745082</v>
      </c>
      <c r="AV216" s="39">
        <f t="shared" si="165"/>
        <v>0</v>
      </c>
      <c r="AW216" s="3">
        <f t="shared" si="137"/>
        <v>142</v>
      </c>
      <c r="AX216" s="69">
        <f t="shared" si="155"/>
        <v>0</v>
      </c>
      <c r="AY216" s="75">
        <f t="shared" si="138"/>
        <v>0</v>
      </c>
      <c r="AZ216" s="75">
        <f t="shared" si="139"/>
        <v>0</v>
      </c>
      <c r="BA216" s="75">
        <f t="shared" si="140"/>
        <v>0</v>
      </c>
      <c r="BB216" s="75">
        <f t="shared" si="141"/>
        <v>0</v>
      </c>
      <c r="BD216" s="214">
        <f t="shared" si="156"/>
        <v>155623.42679443391</v>
      </c>
      <c r="BE216" s="214">
        <f t="shared" si="142"/>
        <v>757.5048990738693</v>
      </c>
      <c r="BF216" s="214">
        <f t="shared" si="143"/>
        <v>-257.50875057835322</v>
      </c>
      <c r="BG216" s="224">
        <f t="shared" si="161"/>
        <v>0</v>
      </c>
      <c r="BH216" s="19">
        <f t="shared" si="157"/>
        <v>196336.19067633676</v>
      </c>
      <c r="BI216" s="214">
        <f t="shared" si="144"/>
        <v>955.67633592390359</v>
      </c>
      <c r="BJ216" s="214">
        <f t="shared" si="145"/>
        <v>0</v>
      </c>
      <c r="BK216" s="19">
        <f t="shared" si="162"/>
        <v>0</v>
      </c>
    </row>
    <row r="217" spans="1:63">
      <c r="A217" s="165">
        <f t="shared" si="146"/>
        <v>73.889459274469544</v>
      </c>
      <c r="B217" s="69">
        <f t="shared" si="147"/>
        <v>12</v>
      </c>
      <c r="C217" s="70">
        <f t="shared" si="148"/>
        <v>143</v>
      </c>
      <c r="D217" s="13">
        <f t="shared" si="117"/>
        <v>4.8675505653430484E-3</v>
      </c>
      <c r="E217" s="15">
        <f t="shared" si="118"/>
        <v>1</v>
      </c>
      <c r="F217" s="15">
        <f t="shared" si="149"/>
        <v>0</v>
      </c>
      <c r="G217" s="15">
        <f t="shared" si="119"/>
        <v>0</v>
      </c>
      <c r="H217" s="73">
        <f t="shared" si="120"/>
        <v>0</v>
      </c>
      <c r="I217" s="189"/>
      <c r="J217" s="189"/>
      <c r="K217" s="5">
        <f t="shared" si="163"/>
        <v>140838.39214745082</v>
      </c>
      <c r="M217" s="5">
        <f t="shared" si="121"/>
        <v>685.53799531933021</v>
      </c>
      <c r="N217" s="5">
        <f t="shared" si="122"/>
        <v>-233.04408046007225</v>
      </c>
      <c r="O217" s="5">
        <f t="shared" si="123"/>
        <v>0</v>
      </c>
      <c r="P217" s="5">
        <f t="shared" si="124"/>
        <v>0</v>
      </c>
      <c r="Q217" s="5">
        <f t="shared" si="158"/>
        <v>0</v>
      </c>
      <c r="R217" s="5">
        <f t="shared" si="150"/>
        <v>0</v>
      </c>
      <c r="S217" s="5">
        <f t="shared" si="125"/>
        <v>0</v>
      </c>
      <c r="T217" s="5">
        <f t="shared" si="126"/>
        <v>0</v>
      </c>
      <c r="U217" s="74">
        <f t="shared" si="127"/>
        <v>0</v>
      </c>
      <c r="V217" s="75">
        <f t="shared" si="128"/>
        <v>0</v>
      </c>
      <c r="W217" s="5">
        <f t="shared" si="129"/>
        <v>0</v>
      </c>
      <c r="X217" s="5">
        <f t="shared" si="130"/>
        <v>141290.88606231008</v>
      </c>
      <c r="Y217" s="5">
        <f t="shared" si="151"/>
        <v>100000</v>
      </c>
      <c r="Z217" s="215">
        <f t="shared" si="131"/>
        <v>1</v>
      </c>
      <c r="AA217" s="216">
        <f t="shared" si="152"/>
        <v>0</v>
      </c>
      <c r="AB217" s="72">
        <f t="shared" si="159"/>
        <v>13188.158705474159</v>
      </c>
      <c r="AC217" s="72">
        <f t="shared" si="132"/>
        <v>0</v>
      </c>
      <c r="AD217" s="72">
        <f t="shared" si="133"/>
        <v>0</v>
      </c>
      <c r="AE217" s="72">
        <f t="shared" si="153"/>
        <v>-29.422194648253139</v>
      </c>
      <c r="AF217" s="70">
        <f t="shared" si="134"/>
        <v>0</v>
      </c>
      <c r="AG217" s="70">
        <f t="shared" si="135"/>
        <v>7513.8783062838538</v>
      </c>
      <c r="AH217" s="1">
        <f t="shared" si="164"/>
        <v>0</v>
      </c>
      <c r="AI217" s="1">
        <f t="shared" si="164"/>
        <v>0</v>
      </c>
      <c r="AJ217" s="1">
        <f t="shared" si="164"/>
        <v>0</v>
      </c>
      <c r="AK217" s="1">
        <f t="shared" si="164"/>
        <v>0</v>
      </c>
      <c r="AL217" s="1">
        <f t="shared" si="164"/>
        <v>0</v>
      </c>
      <c r="AM217" s="1">
        <f t="shared" si="164"/>
        <v>0</v>
      </c>
      <c r="AN217" s="1">
        <f t="shared" si="164"/>
        <v>1</v>
      </c>
      <c r="AO217" s="1">
        <f t="shared" si="164"/>
        <v>1</v>
      </c>
      <c r="AP217" s="1">
        <f t="shared" si="164"/>
        <v>1</v>
      </c>
      <c r="AQ217" s="1">
        <f t="shared" si="164"/>
        <v>1</v>
      </c>
      <c r="AR217" s="1">
        <f t="shared" si="164"/>
        <v>1</v>
      </c>
      <c r="AS217" s="1">
        <f t="shared" si="164"/>
        <v>1</v>
      </c>
      <c r="AT217" s="39">
        <f t="shared" si="136"/>
        <v>141290.88606231008</v>
      </c>
      <c r="AU217" s="39">
        <f t="shared" si="154"/>
        <v>141290.88606231008</v>
      </c>
      <c r="AV217" s="39">
        <f t="shared" si="165"/>
        <v>0</v>
      </c>
      <c r="AW217" s="3">
        <f t="shared" si="137"/>
        <v>143</v>
      </c>
      <c r="AX217" s="69">
        <f t="shared" si="155"/>
        <v>0</v>
      </c>
      <c r="AY217" s="75">
        <f t="shared" si="138"/>
        <v>0</v>
      </c>
      <c r="AZ217" s="75">
        <f t="shared" si="139"/>
        <v>0</v>
      </c>
      <c r="BA217" s="75">
        <f t="shared" si="140"/>
        <v>0</v>
      </c>
      <c r="BB217" s="75">
        <f t="shared" si="141"/>
        <v>0</v>
      </c>
      <c r="BD217" s="214">
        <f t="shared" si="156"/>
        <v>156123.42294292941</v>
      </c>
      <c r="BE217" s="214">
        <f t="shared" si="142"/>
        <v>759.93865560914787</v>
      </c>
      <c r="BF217" s="214">
        <f t="shared" si="143"/>
        <v>-258.33608992015513</v>
      </c>
      <c r="BG217" s="224">
        <f t="shared" si="161"/>
        <v>0</v>
      </c>
      <c r="BH217" s="19">
        <f t="shared" si="157"/>
        <v>197291.86701226066</v>
      </c>
      <c r="BI217" s="214">
        <f t="shared" si="144"/>
        <v>960.32813881311483</v>
      </c>
      <c r="BJ217" s="214">
        <f t="shared" si="145"/>
        <v>0</v>
      </c>
      <c r="BK217" s="19">
        <f t="shared" si="162"/>
        <v>0</v>
      </c>
    </row>
    <row r="218" spans="1:63">
      <c r="A218" s="165">
        <f t="shared" si="146"/>
        <v>73.972792607802873</v>
      </c>
      <c r="B218" s="69">
        <f t="shared" si="147"/>
        <v>12</v>
      </c>
      <c r="C218" s="70">
        <f t="shared" si="148"/>
        <v>144</v>
      </c>
      <c r="D218" s="13">
        <f t="shared" si="117"/>
        <v>4.8675505653430484E-3</v>
      </c>
      <c r="E218" s="15">
        <f t="shared" si="118"/>
        <v>1</v>
      </c>
      <c r="F218" s="15">
        <f t="shared" si="149"/>
        <v>0</v>
      </c>
      <c r="G218" s="15">
        <f t="shared" si="119"/>
        <v>0</v>
      </c>
      <c r="H218" s="73">
        <f t="shared" si="120"/>
        <v>0</v>
      </c>
      <c r="I218" s="189"/>
      <c r="J218" s="189"/>
      <c r="K218" s="5">
        <f t="shared" si="163"/>
        <v>141290.88606231008</v>
      </c>
      <c r="M218" s="5">
        <f t="shared" si="121"/>
        <v>687.74053233041764</v>
      </c>
      <c r="N218" s="5">
        <f t="shared" si="122"/>
        <v>-233.79281826298433</v>
      </c>
      <c r="O218" s="5">
        <f t="shared" si="123"/>
        <v>0</v>
      </c>
      <c r="P218" s="5">
        <f t="shared" si="124"/>
        <v>0</v>
      </c>
      <c r="Q218" s="5">
        <f t="shared" si="158"/>
        <v>0</v>
      </c>
      <c r="R218" s="5">
        <f t="shared" si="150"/>
        <v>0</v>
      </c>
      <c r="S218" s="5">
        <f t="shared" si="125"/>
        <v>0</v>
      </c>
      <c r="T218" s="5">
        <f t="shared" si="126"/>
        <v>0</v>
      </c>
      <c r="U218" s="74">
        <f t="shared" si="127"/>
        <v>0</v>
      </c>
      <c r="V218" s="75">
        <f t="shared" si="128"/>
        <v>0</v>
      </c>
      <c r="W218" s="5">
        <f t="shared" si="129"/>
        <v>0</v>
      </c>
      <c r="X218" s="5">
        <f t="shared" si="130"/>
        <v>141744.83377637749</v>
      </c>
      <c r="Y218" s="5">
        <f t="shared" si="151"/>
        <v>100000</v>
      </c>
      <c r="Z218" s="215">
        <f t="shared" si="131"/>
        <v>1</v>
      </c>
      <c r="AA218" s="216">
        <f t="shared" si="152"/>
        <v>0</v>
      </c>
      <c r="AB218" s="72">
        <f t="shared" si="159"/>
        <v>13188.158705474159</v>
      </c>
      <c r="AC218" s="72">
        <f t="shared" si="132"/>
        <v>0</v>
      </c>
      <c r="AD218" s="72">
        <f t="shared" si="133"/>
        <v>0</v>
      </c>
      <c r="AE218" s="72">
        <f t="shared" si="153"/>
        <v>-29.516724015119244</v>
      </c>
      <c r="AF218" s="70">
        <f t="shared" si="134"/>
        <v>0</v>
      </c>
      <c r="AG218" s="70">
        <f t="shared" si="135"/>
        <v>7686.3784376294698</v>
      </c>
      <c r="AH218" s="1">
        <f t="shared" si="164"/>
        <v>0</v>
      </c>
      <c r="AI218" s="1">
        <f t="shared" si="164"/>
        <v>0</v>
      </c>
      <c r="AJ218" s="1">
        <f t="shared" si="164"/>
        <v>0</v>
      </c>
      <c r="AK218" s="1">
        <f t="shared" si="164"/>
        <v>0</v>
      </c>
      <c r="AL218" s="1">
        <f t="shared" si="164"/>
        <v>0</v>
      </c>
      <c r="AM218" s="1">
        <f t="shared" si="164"/>
        <v>0</v>
      </c>
      <c r="AN218" s="1">
        <f t="shared" si="164"/>
        <v>1</v>
      </c>
      <c r="AO218" s="1">
        <f t="shared" si="164"/>
        <v>1</v>
      </c>
      <c r="AP218" s="1">
        <f t="shared" si="164"/>
        <v>1</v>
      </c>
      <c r="AQ218" s="1">
        <f t="shared" si="164"/>
        <v>1</v>
      </c>
      <c r="AR218" s="1">
        <f t="shared" si="164"/>
        <v>1</v>
      </c>
      <c r="AS218" s="1">
        <f t="shared" si="164"/>
        <v>1</v>
      </c>
      <c r="AT218" s="39">
        <f t="shared" si="136"/>
        <v>141744.83377637749</v>
      </c>
      <c r="AU218" s="39">
        <f t="shared" si="154"/>
        <v>141744.83377637749</v>
      </c>
      <c r="AV218" s="39">
        <f t="shared" si="165"/>
        <v>0</v>
      </c>
      <c r="AW218" s="3">
        <f t="shared" si="137"/>
        <v>144</v>
      </c>
      <c r="AX218" s="69">
        <f t="shared" si="155"/>
        <v>0</v>
      </c>
      <c r="AY218" s="75">
        <f t="shared" si="138"/>
        <v>0</v>
      </c>
      <c r="AZ218" s="75">
        <f t="shared" si="139"/>
        <v>0</v>
      </c>
      <c r="BA218" s="75">
        <f t="shared" si="140"/>
        <v>0</v>
      </c>
      <c r="BB218" s="75">
        <f t="shared" si="141"/>
        <v>0</v>
      </c>
      <c r="BD218" s="214">
        <f t="shared" si="156"/>
        <v>156625.02550861839</v>
      </c>
      <c r="BE218" s="214">
        <f t="shared" si="142"/>
        <v>762.38023146134481</v>
      </c>
      <c r="BF218" s="214">
        <f t="shared" si="143"/>
        <v>-259.16608738671965</v>
      </c>
      <c r="BG218" s="224">
        <f t="shared" si="161"/>
        <v>0</v>
      </c>
      <c r="BH218" s="19">
        <f t="shared" si="157"/>
        <v>198252.19515107377</v>
      </c>
      <c r="BI218" s="214">
        <f t="shared" si="144"/>
        <v>965.00258458810947</v>
      </c>
      <c r="BJ218" s="214">
        <f t="shared" si="145"/>
        <v>0</v>
      </c>
      <c r="BK218" s="19">
        <f t="shared" si="162"/>
        <v>0</v>
      </c>
    </row>
    <row r="219" spans="1:63">
      <c r="A219" s="165">
        <f t="shared" si="146"/>
        <v>74.056125941136202</v>
      </c>
      <c r="B219" s="69">
        <f t="shared" si="147"/>
        <v>13</v>
      </c>
      <c r="C219" s="70">
        <f t="shared" si="148"/>
        <v>145</v>
      </c>
      <c r="D219" s="13">
        <f t="shared" si="117"/>
        <v>4.8675505653430484E-3</v>
      </c>
      <c r="E219" s="15">
        <f t="shared" si="118"/>
        <v>1</v>
      </c>
      <c r="F219" s="15">
        <f t="shared" si="149"/>
        <v>0</v>
      </c>
      <c r="G219" s="15">
        <f t="shared" si="119"/>
        <v>0</v>
      </c>
      <c r="H219" s="73">
        <f t="shared" si="120"/>
        <v>0</v>
      </c>
      <c r="I219" s="189"/>
      <c r="J219" s="189"/>
      <c r="K219" s="5">
        <f t="shared" si="163"/>
        <v>141744.83377637749</v>
      </c>
      <c r="M219" s="5">
        <f t="shared" si="121"/>
        <v>689.95014578266273</v>
      </c>
      <c r="N219" s="5">
        <f t="shared" si="122"/>
        <v>-234.54396165498667</v>
      </c>
      <c r="O219" s="5">
        <f t="shared" si="123"/>
        <v>0</v>
      </c>
      <c r="P219" s="5">
        <f t="shared" si="124"/>
        <v>0</v>
      </c>
      <c r="Q219" s="5">
        <f t="shared" si="158"/>
        <v>0</v>
      </c>
      <c r="R219" s="5">
        <f t="shared" si="150"/>
        <v>0</v>
      </c>
      <c r="S219" s="5">
        <f t="shared" si="125"/>
        <v>0</v>
      </c>
      <c r="T219" s="5">
        <f t="shared" si="126"/>
        <v>0</v>
      </c>
      <c r="U219" s="74">
        <f t="shared" si="127"/>
        <v>0</v>
      </c>
      <c r="V219" s="75">
        <f t="shared" si="128"/>
        <v>0</v>
      </c>
      <c r="W219" s="5">
        <f t="shared" si="129"/>
        <v>0</v>
      </c>
      <c r="X219" s="5">
        <f t="shared" si="130"/>
        <v>142200.23996050516</v>
      </c>
      <c r="Y219" s="5">
        <f t="shared" si="151"/>
        <v>100000</v>
      </c>
      <c r="Z219" s="215">
        <f t="shared" si="131"/>
        <v>1</v>
      </c>
      <c r="AA219" s="216">
        <f t="shared" si="152"/>
        <v>0</v>
      </c>
      <c r="AB219" s="72">
        <f t="shared" si="159"/>
        <v>13188.158705474159</v>
      </c>
      <c r="AC219" s="72">
        <f t="shared" si="132"/>
        <v>0</v>
      </c>
      <c r="AD219" s="72">
        <f t="shared" si="133"/>
        <v>0</v>
      </c>
      <c r="AE219" s="72">
        <f t="shared" si="153"/>
        <v>-29.611557091525274</v>
      </c>
      <c r="AF219" s="70">
        <f t="shared" si="134"/>
        <v>0</v>
      </c>
      <c r="AG219" s="70">
        <f t="shared" si="135"/>
        <v>7859.4327875979852</v>
      </c>
      <c r="AH219" s="1">
        <f t="shared" si="164"/>
        <v>0</v>
      </c>
      <c r="AI219" s="1">
        <f t="shared" si="164"/>
        <v>0</v>
      </c>
      <c r="AJ219" s="1">
        <f t="shared" si="164"/>
        <v>0</v>
      </c>
      <c r="AK219" s="1">
        <f t="shared" si="164"/>
        <v>0</v>
      </c>
      <c r="AL219" s="1">
        <f t="shared" si="164"/>
        <v>0</v>
      </c>
      <c r="AM219" s="1">
        <f t="shared" si="164"/>
        <v>0</v>
      </c>
      <c r="AN219" s="1">
        <f t="shared" si="164"/>
        <v>1</v>
      </c>
      <c r="AO219" s="1">
        <f t="shared" si="164"/>
        <v>1</v>
      </c>
      <c r="AP219" s="1">
        <f t="shared" si="164"/>
        <v>1</v>
      </c>
      <c r="AQ219" s="1">
        <f t="shared" si="164"/>
        <v>1</v>
      </c>
      <c r="AR219" s="1">
        <f t="shared" si="164"/>
        <v>1</v>
      </c>
      <c r="AS219" s="1">
        <f t="shared" si="164"/>
        <v>1</v>
      </c>
      <c r="AT219" s="39">
        <f t="shared" si="136"/>
        <v>142200.23996050516</v>
      </c>
      <c r="AU219" s="39">
        <f t="shared" si="154"/>
        <v>142200.23996050516</v>
      </c>
      <c r="AV219" s="39">
        <f t="shared" si="165"/>
        <v>0</v>
      </c>
      <c r="AW219" s="3">
        <f t="shared" si="137"/>
        <v>145</v>
      </c>
      <c r="AX219" s="69">
        <f t="shared" si="155"/>
        <v>0</v>
      </c>
      <c r="AY219" s="75">
        <f t="shared" si="138"/>
        <v>0</v>
      </c>
      <c r="AZ219" s="75">
        <f t="shared" si="139"/>
        <v>0</v>
      </c>
      <c r="BA219" s="75">
        <f t="shared" si="140"/>
        <v>0</v>
      </c>
      <c r="BB219" s="75">
        <f t="shared" si="141"/>
        <v>0</v>
      </c>
      <c r="BD219" s="214">
        <f t="shared" si="156"/>
        <v>157128.23965269301</v>
      </c>
      <c r="BE219" s="214">
        <f t="shared" si="142"/>
        <v>764.82965175282391</v>
      </c>
      <c r="BF219" s="214">
        <f t="shared" si="143"/>
        <v>-259.99875151822715</v>
      </c>
      <c r="BG219" s="224">
        <f t="shared" si="161"/>
        <v>0</v>
      </c>
      <c r="BH219" s="19">
        <f t="shared" si="157"/>
        <v>199217.19773566187</v>
      </c>
      <c r="BI219" s="214">
        <f t="shared" si="144"/>
        <v>969.69978346427877</v>
      </c>
      <c r="BJ219" s="214">
        <f t="shared" si="145"/>
        <v>0</v>
      </c>
      <c r="BK219" s="19">
        <f t="shared" si="162"/>
        <v>0</v>
      </c>
    </row>
    <row r="220" spans="1:63">
      <c r="A220" s="165">
        <f t="shared" si="146"/>
        <v>74.139459274469544</v>
      </c>
      <c r="B220" s="69">
        <f t="shared" si="147"/>
        <v>13</v>
      </c>
      <c r="C220" s="70">
        <f t="shared" si="148"/>
        <v>146</v>
      </c>
      <c r="D220" s="13">
        <f t="shared" si="117"/>
        <v>4.8675505653430484E-3</v>
      </c>
      <c r="E220" s="15">
        <f t="shared" si="118"/>
        <v>1</v>
      </c>
      <c r="F220" s="15">
        <f t="shared" si="149"/>
        <v>0</v>
      </c>
      <c r="G220" s="15">
        <f t="shared" si="119"/>
        <v>0</v>
      </c>
      <c r="H220" s="73">
        <f t="shared" si="120"/>
        <v>0</v>
      </c>
      <c r="I220" s="189"/>
      <c r="J220" s="189"/>
      <c r="K220" s="5">
        <f t="shared" si="163"/>
        <v>142200.23996050516</v>
      </c>
      <c r="M220" s="5">
        <f t="shared" si="121"/>
        <v>692.16685841167407</v>
      </c>
      <c r="N220" s="5">
        <f t="shared" si="122"/>
        <v>-235.2975183648982</v>
      </c>
      <c r="O220" s="5">
        <f t="shared" si="123"/>
        <v>0</v>
      </c>
      <c r="P220" s="5">
        <f t="shared" si="124"/>
        <v>0</v>
      </c>
      <c r="Q220" s="5">
        <f t="shared" si="158"/>
        <v>0</v>
      </c>
      <c r="R220" s="5">
        <f t="shared" si="150"/>
        <v>0</v>
      </c>
      <c r="S220" s="5">
        <f t="shared" si="125"/>
        <v>0</v>
      </c>
      <c r="T220" s="5">
        <f t="shared" si="126"/>
        <v>0</v>
      </c>
      <c r="U220" s="74">
        <f t="shared" si="127"/>
        <v>0</v>
      </c>
      <c r="V220" s="75">
        <f t="shared" si="128"/>
        <v>0</v>
      </c>
      <c r="W220" s="5">
        <f t="shared" si="129"/>
        <v>0</v>
      </c>
      <c r="X220" s="5">
        <f t="shared" si="130"/>
        <v>142657.10930055194</v>
      </c>
      <c r="Y220" s="5">
        <f t="shared" si="151"/>
        <v>100000</v>
      </c>
      <c r="Z220" s="215">
        <f t="shared" si="131"/>
        <v>1</v>
      </c>
      <c r="AA220" s="216">
        <f t="shared" si="152"/>
        <v>0</v>
      </c>
      <c r="AB220" s="72">
        <f t="shared" si="159"/>
        <v>13188.158705474159</v>
      </c>
      <c r="AC220" s="72">
        <f t="shared" si="132"/>
        <v>0</v>
      </c>
      <c r="AD220" s="72">
        <f t="shared" si="133"/>
        <v>0</v>
      </c>
      <c r="AE220" s="72">
        <f t="shared" si="153"/>
        <v>-29.706694853247193</v>
      </c>
      <c r="AF220" s="70">
        <f t="shared" si="134"/>
        <v>0</v>
      </c>
      <c r="AG220" s="70">
        <f t="shared" si="135"/>
        <v>8033.0431368157606</v>
      </c>
      <c r="AH220" s="1">
        <f t="shared" si="164"/>
        <v>0</v>
      </c>
      <c r="AI220" s="1">
        <f t="shared" si="164"/>
        <v>0</v>
      </c>
      <c r="AJ220" s="1">
        <f t="shared" si="164"/>
        <v>0</v>
      </c>
      <c r="AK220" s="1">
        <f t="shared" si="164"/>
        <v>0</v>
      </c>
      <c r="AL220" s="1">
        <f t="shared" si="164"/>
        <v>0</v>
      </c>
      <c r="AM220" s="1">
        <f t="shared" si="164"/>
        <v>0</v>
      </c>
      <c r="AN220" s="1">
        <f t="shared" si="164"/>
        <v>1</v>
      </c>
      <c r="AO220" s="1">
        <f t="shared" si="164"/>
        <v>1</v>
      </c>
      <c r="AP220" s="1">
        <f t="shared" si="164"/>
        <v>1</v>
      </c>
      <c r="AQ220" s="1">
        <f t="shared" si="164"/>
        <v>1</v>
      </c>
      <c r="AR220" s="1">
        <f t="shared" si="164"/>
        <v>1</v>
      </c>
      <c r="AS220" s="1">
        <f t="shared" si="164"/>
        <v>1</v>
      </c>
      <c r="AT220" s="39">
        <f t="shared" si="136"/>
        <v>142657.10930055194</v>
      </c>
      <c r="AU220" s="39">
        <f t="shared" si="154"/>
        <v>142657.10930055194</v>
      </c>
      <c r="AV220" s="39">
        <f t="shared" si="165"/>
        <v>0</v>
      </c>
      <c r="AW220" s="3">
        <f t="shared" si="137"/>
        <v>146</v>
      </c>
      <c r="AX220" s="69">
        <f t="shared" si="155"/>
        <v>0</v>
      </c>
      <c r="AY220" s="75">
        <f t="shared" si="138"/>
        <v>0</v>
      </c>
      <c r="AZ220" s="75">
        <f t="shared" si="139"/>
        <v>0</v>
      </c>
      <c r="BA220" s="75">
        <f t="shared" si="140"/>
        <v>0</v>
      </c>
      <c r="BB220" s="75">
        <f t="shared" si="141"/>
        <v>0</v>
      </c>
      <c r="BD220" s="214">
        <f t="shared" si="156"/>
        <v>157633.07055292762</v>
      </c>
      <c r="BE220" s="214">
        <f t="shared" si="142"/>
        <v>767.28694168666345</v>
      </c>
      <c r="BF220" s="214">
        <f t="shared" si="143"/>
        <v>-260.83409088229649</v>
      </c>
      <c r="BG220" s="224">
        <f t="shared" si="161"/>
        <v>0</v>
      </c>
      <c r="BH220" s="19">
        <f t="shared" si="157"/>
        <v>200186.89751912616</v>
      </c>
      <c r="BI220" s="214">
        <f t="shared" si="144"/>
        <v>974.41984619349341</v>
      </c>
      <c r="BJ220" s="214">
        <f t="shared" si="145"/>
        <v>0</v>
      </c>
      <c r="BK220" s="19">
        <f t="shared" si="162"/>
        <v>0</v>
      </c>
    </row>
    <row r="221" spans="1:63">
      <c r="A221" s="165">
        <f t="shared" si="146"/>
        <v>74.222792607802873</v>
      </c>
      <c r="B221" s="69">
        <f t="shared" si="147"/>
        <v>13</v>
      </c>
      <c r="C221" s="70">
        <f t="shared" si="148"/>
        <v>147</v>
      </c>
      <c r="D221" s="13">
        <f t="shared" si="117"/>
        <v>4.8675505653430484E-3</v>
      </c>
      <c r="E221" s="15">
        <f t="shared" si="118"/>
        <v>1</v>
      </c>
      <c r="F221" s="15">
        <f t="shared" si="149"/>
        <v>0</v>
      </c>
      <c r="G221" s="15">
        <f t="shared" si="119"/>
        <v>0</v>
      </c>
      <c r="H221" s="73">
        <f t="shared" si="120"/>
        <v>0</v>
      </c>
      <c r="I221" s="189"/>
      <c r="J221" s="189"/>
      <c r="K221" s="5">
        <f t="shared" si="163"/>
        <v>142657.10930055194</v>
      </c>
      <c r="M221" s="5">
        <f t="shared" si="121"/>
        <v>694.39069302610665</v>
      </c>
      <c r="N221" s="5">
        <f t="shared" si="122"/>
        <v>-236.05349614636941</v>
      </c>
      <c r="O221" s="5">
        <f t="shared" si="123"/>
        <v>0</v>
      </c>
      <c r="P221" s="5">
        <f t="shared" si="124"/>
        <v>0</v>
      </c>
      <c r="Q221" s="5">
        <f t="shared" si="158"/>
        <v>0</v>
      </c>
      <c r="R221" s="5">
        <f t="shared" si="150"/>
        <v>0</v>
      </c>
      <c r="S221" s="5">
        <f t="shared" si="125"/>
        <v>0</v>
      </c>
      <c r="T221" s="5">
        <f t="shared" si="126"/>
        <v>0</v>
      </c>
      <c r="U221" s="74">
        <f t="shared" si="127"/>
        <v>0</v>
      </c>
      <c r="V221" s="75">
        <f t="shared" si="128"/>
        <v>0</v>
      </c>
      <c r="W221" s="5">
        <f t="shared" si="129"/>
        <v>0</v>
      </c>
      <c r="X221" s="5">
        <f t="shared" si="130"/>
        <v>143115.44649743167</v>
      </c>
      <c r="Y221" s="5">
        <f t="shared" si="151"/>
        <v>100000</v>
      </c>
      <c r="Z221" s="215">
        <f t="shared" si="131"/>
        <v>1</v>
      </c>
      <c r="AA221" s="216">
        <f t="shared" si="152"/>
        <v>0</v>
      </c>
      <c r="AB221" s="72">
        <f t="shared" si="159"/>
        <v>13188.158705474159</v>
      </c>
      <c r="AC221" s="72">
        <f t="shared" si="132"/>
        <v>0</v>
      </c>
      <c r="AD221" s="72">
        <f t="shared" si="133"/>
        <v>0</v>
      </c>
      <c r="AE221" s="72">
        <f t="shared" si="153"/>
        <v>-29.802138279196011</v>
      </c>
      <c r="AF221" s="70">
        <f t="shared" si="134"/>
        <v>0</v>
      </c>
      <c r="AG221" s="70">
        <f t="shared" si="135"/>
        <v>8207.2112716300562</v>
      </c>
      <c r="AH221" s="1">
        <f t="shared" si="164"/>
        <v>0</v>
      </c>
      <c r="AI221" s="1">
        <f t="shared" si="164"/>
        <v>0</v>
      </c>
      <c r="AJ221" s="1">
        <f t="shared" si="164"/>
        <v>0</v>
      </c>
      <c r="AK221" s="1">
        <f t="shared" si="164"/>
        <v>0</v>
      </c>
      <c r="AL221" s="1">
        <f t="shared" si="164"/>
        <v>0</v>
      </c>
      <c r="AM221" s="1">
        <f t="shared" si="164"/>
        <v>0</v>
      </c>
      <c r="AN221" s="1">
        <f t="shared" si="164"/>
        <v>1</v>
      </c>
      <c r="AO221" s="1">
        <f t="shared" si="164"/>
        <v>1</v>
      </c>
      <c r="AP221" s="1">
        <f t="shared" si="164"/>
        <v>1</v>
      </c>
      <c r="AQ221" s="1">
        <f t="shared" si="164"/>
        <v>1</v>
      </c>
      <c r="AR221" s="1">
        <f t="shared" si="164"/>
        <v>1</v>
      </c>
      <c r="AS221" s="1">
        <f t="shared" si="164"/>
        <v>1</v>
      </c>
      <c r="AT221" s="39">
        <f t="shared" si="136"/>
        <v>143115.44649743167</v>
      </c>
      <c r="AU221" s="39">
        <f t="shared" si="154"/>
        <v>143115.44649743167</v>
      </c>
      <c r="AV221" s="39">
        <f t="shared" si="165"/>
        <v>0</v>
      </c>
      <c r="AW221" s="3">
        <f t="shared" si="137"/>
        <v>147</v>
      </c>
      <c r="AX221" s="69">
        <f t="shared" si="155"/>
        <v>0</v>
      </c>
      <c r="AY221" s="75">
        <f t="shared" si="138"/>
        <v>0</v>
      </c>
      <c r="AZ221" s="75">
        <f t="shared" si="139"/>
        <v>0</v>
      </c>
      <c r="BA221" s="75">
        <f t="shared" si="140"/>
        <v>0</v>
      </c>
      <c r="BB221" s="75">
        <f t="shared" si="141"/>
        <v>0</v>
      </c>
      <c r="BD221" s="214">
        <f t="shared" si="156"/>
        <v>158139.52340373199</v>
      </c>
      <c r="BE221" s="214">
        <f t="shared" si="142"/>
        <v>769.75212654691586</v>
      </c>
      <c r="BF221" s="214">
        <f t="shared" si="143"/>
        <v>-261.67211407407314</v>
      </c>
      <c r="BG221" s="224">
        <f t="shared" si="161"/>
        <v>0</v>
      </c>
      <c r="BH221" s="19">
        <f t="shared" si="157"/>
        <v>201161.31736531964</v>
      </c>
      <c r="BI221" s="214">
        <f t="shared" si="144"/>
        <v>979.16288406671401</v>
      </c>
      <c r="BJ221" s="214">
        <f t="shared" si="145"/>
        <v>0</v>
      </c>
      <c r="BK221" s="19">
        <f t="shared" si="162"/>
        <v>0</v>
      </c>
    </row>
    <row r="222" spans="1:63">
      <c r="A222" s="165">
        <f t="shared" si="146"/>
        <v>74.306125941136202</v>
      </c>
      <c r="B222" s="69">
        <f t="shared" si="147"/>
        <v>13</v>
      </c>
      <c r="C222" s="70">
        <f t="shared" si="148"/>
        <v>148</v>
      </c>
      <c r="D222" s="13">
        <f t="shared" si="117"/>
        <v>4.8675505653430484E-3</v>
      </c>
      <c r="E222" s="15">
        <f t="shared" si="118"/>
        <v>1</v>
      </c>
      <c r="F222" s="15">
        <f t="shared" si="149"/>
        <v>0</v>
      </c>
      <c r="G222" s="15">
        <f t="shared" si="119"/>
        <v>0</v>
      </c>
      <c r="H222" s="73">
        <f t="shared" si="120"/>
        <v>0</v>
      </c>
      <c r="I222" s="189"/>
      <c r="J222" s="189"/>
      <c r="K222" s="5">
        <f t="shared" si="163"/>
        <v>143115.44649743167</v>
      </c>
      <c r="M222" s="5">
        <f t="shared" si="121"/>
        <v>696.62167250789628</v>
      </c>
      <c r="N222" s="5">
        <f t="shared" si="122"/>
        <v>-236.81190277796213</v>
      </c>
      <c r="O222" s="5">
        <f t="shared" si="123"/>
        <v>0</v>
      </c>
      <c r="P222" s="5">
        <f t="shared" si="124"/>
        <v>0</v>
      </c>
      <c r="Q222" s="5">
        <f t="shared" si="158"/>
        <v>0</v>
      </c>
      <c r="R222" s="5">
        <f t="shared" si="150"/>
        <v>0</v>
      </c>
      <c r="S222" s="5">
        <f t="shared" si="125"/>
        <v>0</v>
      </c>
      <c r="T222" s="5">
        <f t="shared" si="126"/>
        <v>0</v>
      </c>
      <c r="U222" s="74">
        <f t="shared" si="127"/>
        <v>0</v>
      </c>
      <c r="V222" s="75">
        <f t="shared" si="128"/>
        <v>0</v>
      </c>
      <c r="W222" s="5">
        <f t="shared" si="129"/>
        <v>0</v>
      </c>
      <c r="X222" s="5">
        <f t="shared" si="130"/>
        <v>143575.2562671616</v>
      </c>
      <c r="Y222" s="5">
        <f t="shared" si="151"/>
        <v>100000</v>
      </c>
      <c r="Z222" s="215">
        <f t="shared" si="131"/>
        <v>1</v>
      </c>
      <c r="AA222" s="216">
        <f t="shared" si="152"/>
        <v>0</v>
      </c>
      <c r="AB222" s="72">
        <f t="shared" si="159"/>
        <v>13188.158705474159</v>
      </c>
      <c r="AC222" s="72">
        <f t="shared" si="132"/>
        <v>0</v>
      </c>
      <c r="AD222" s="72">
        <f t="shared" si="133"/>
        <v>0</v>
      </c>
      <c r="AE222" s="72">
        <f t="shared" si="153"/>
        <v>-29.897888351427813</v>
      </c>
      <c r="AF222" s="70">
        <f t="shared" si="134"/>
        <v>0</v>
      </c>
      <c r="AG222" s="70">
        <f t="shared" si="135"/>
        <v>8381.9389841274333</v>
      </c>
      <c r="AH222" s="1">
        <f t="shared" si="164"/>
        <v>0</v>
      </c>
      <c r="AI222" s="1">
        <f t="shared" si="164"/>
        <v>0</v>
      </c>
      <c r="AJ222" s="1">
        <f t="shared" si="164"/>
        <v>0</v>
      </c>
      <c r="AK222" s="1">
        <f t="shared" si="164"/>
        <v>0</v>
      </c>
      <c r="AL222" s="1">
        <f t="shared" si="164"/>
        <v>0</v>
      </c>
      <c r="AM222" s="1">
        <f t="shared" si="164"/>
        <v>0</v>
      </c>
      <c r="AN222" s="1">
        <f t="shared" si="164"/>
        <v>1</v>
      </c>
      <c r="AO222" s="1">
        <f t="shared" si="164"/>
        <v>1</v>
      </c>
      <c r="AP222" s="1">
        <f t="shared" si="164"/>
        <v>1</v>
      </c>
      <c r="AQ222" s="1">
        <f t="shared" si="164"/>
        <v>1</v>
      </c>
      <c r="AR222" s="1">
        <f t="shared" si="164"/>
        <v>1</v>
      </c>
      <c r="AS222" s="1">
        <f t="shared" si="164"/>
        <v>1</v>
      </c>
      <c r="AT222" s="39">
        <f t="shared" si="136"/>
        <v>143575.2562671616</v>
      </c>
      <c r="AU222" s="39">
        <f t="shared" si="154"/>
        <v>143575.2562671616</v>
      </c>
      <c r="AV222" s="39">
        <f t="shared" si="165"/>
        <v>0</v>
      </c>
      <c r="AW222" s="3">
        <f t="shared" si="137"/>
        <v>148</v>
      </c>
      <c r="AX222" s="69">
        <f t="shared" si="155"/>
        <v>0</v>
      </c>
      <c r="AY222" s="75">
        <f t="shared" si="138"/>
        <v>0</v>
      </c>
      <c r="AZ222" s="75">
        <f t="shared" si="139"/>
        <v>0</v>
      </c>
      <c r="BA222" s="75">
        <f t="shared" si="140"/>
        <v>0</v>
      </c>
      <c r="BB222" s="75">
        <f t="shared" si="141"/>
        <v>0</v>
      </c>
      <c r="BD222" s="214">
        <f t="shared" si="156"/>
        <v>158647.60341620483</v>
      </c>
      <c r="BE222" s="214">
        <f t="shared" si="142"/>
        <v>772.22523169886756</v>
      </c>
      <c r="BF222" s="214">
        <f t="shared" si="143"/>
        <v>-262.51282971631724</v>
      </c>
      <c r="BG222" s="224">
        <f t="shared" si="161"/>
        <v>0</v>
      </c>
      <c r="BH222" s="19">
        <f t="shared" si="157"/>
        <v>202140.48024938637</v>
      </c>
      <c r="BI222" s="214">
        <f t="shared" si="144"/>
        <v>983.92900891661589</v>
      </c>
      <c r="BJ222" s="214">
        <f t="shared" si="145"/>
        <v>0</v>
      </c>
      <c r="BK222" s="19">
        <f t="shared" si="162"/>
        <v>0</v>
      </c>
    </row>
    <row r="223" spans="1:63">
      <c r="A223" s="165">
        <f t="shared" si="146"/>
        <v>74.389459274469544</v>
      </c>
      <c r="B223" s="69">
        <f t="shared" si="147"/>
        <v>13</v>
      </c>
      <c r="C223" s="70">
        <f t="shared" si="148"/>
        <v>149</v>
      </c>
      <c r="D223" s="13">
        <f t="shared" si="117"/>
        <v>4.8675505653430484E-3</v>
      </c>
      <c r="E223" s="15">
        <f t="shared" si="118"/>
        <v>1</v>
      </c>
      <c r="F223" s="15">
        <f t="shared" si="149"/>
        <v>0</v>
      </c>
      <c r="G223" s="15">
        <f t="shared" si="119"/>
        <v>0</v>
      </c>
      <c r="H223" s="73">
        <f t="shared" si="120"/>
        <v>0</v>
      </c>
      <c r="I223" s="189"/>
      <c r="J223" s="189"/>
      <c r="K223" s="5">
        <f t="shared" si="163"/>
        <v>143575.2562671616</v>
      </c>
      <c r="M223" s="5">
        <f t="shared" si="121"/>
        <v>698.85981981249552</v>
      </c>
      <c r="N223" s="5">
        <f t="shared" si="122"/>
        <v>-237.57274606322969</v>
      </c>
      <c r="O223" s="5">
        <f t="shared" si="123"/>
        <v>0</v>
      </c>
      <c r="P223" s="5">
        <f t="shared" si="124"/>
        <v>0</v>
      </c>
      <c r="Q223" s="5">
        <f t="shared" si="158"/>
        <v>0</v>
      </c>
      <c r="R223" s="5">
        <f t="shared" si="150"/>
        <v>0</v>
      </c>
      <c r="S223" s="5">
        <f t="shared" si="125"/>
        <v>0</v>
      </c>
      <c r="T223" s="5">
        <f t="shared" si="126"/>
        <v>0</v>
      </c>
      <c r="U223" s="74">
        <f t="shared" si="127"/>
        <v>0</v>
      </c>
      <c r="V223" s="75">
        <f t="shared" si="128"/>
        <v>0</v>
      </c>
      <c r="W223" s="5">
        <f t="shared" si="129"/>
        <v>0</v>
      </c>
      <c r="X223" s="5">
        <f t="shared" si="130"/>
        <v>144036.54334091087</v>
      </c>
      <c r="Y223" s="5">
        <f t="shared" si="151"/>
        <v>100000</v>
      </c>
      <c r="Z223" s="215">
        <f t="shared" si="131"/>
        <v>1</v>
      </c>
      <c r="AA223" s="216">
        <f t="shared" si="152"/>
        <v>0</v>
      </c>
      <c r="AB223" s="72">
        <f t="shared" si="159"/>
        <v>13188.158705474159</v>
      </c>
      <c r="AC223" s="72">
        <f t="shared" si="132"/>
        <v>0</v>
      </c>
      <c r="AD223" s="72">
        <f t="shared" si="133"/>
        <v>0</v>
      </c>
      <c r="AE223" s="72">
        <f t="shared" si="153"/>
        <v>-29.993946055153931</v>
      </c>
      <c r="AF223" s="70">
        <f t="shared" si="134"/>
        <v>0</v>
      </c>
      <c r="AG223" s="70">
        <f t="shared" si="135"/>
        <v>8557.2280721521547</v>
      </c>
      <c r="AH223" s="1">
        <f t="shared" si="164"/>
        <v>0</v>
      </c>
      <c r="AI223" s="1">
        <f t="shared" si="164"/>
        <v>0</v>
      </c>
      <c r="AJ223" s="1">
        <f t="shared" si="164"/>
        <v>0</v>
      </c>
      <c r="AK223" s="1">
        <f t="shared" si="164"/>
        <v>0</v>
      </c>
      <c r="AL223" s="1">
        <f t="shared" si="164"/>
        <v>0</v>
      </c>
      <c r="AM223" s="1">
        <f t="shared" si="164"/>
        <v>0</v>
      </c>
      <c r="AN223" s="1">
        <f t="shared" si="164"/>
        <v>1</v>
      </c>
      <c r="AO223" s="1">
        <f t="shared" si="164"/>
        <v>1</v>
      </c>
      <c r="AP223" s="1">
        <f t="shared" si="164"/>
        <v>1</v>
      </c>
      <c r="AQ223" s="1">
        <f t="shared" si="164"/>
        <v>1</v>
      </c>
      <c r="AR223" s="1">
        <f t="shared" si="164"/>
        <v>1</v>
      </c>
      <c r="AS223" s="1">
        <f t="shared" si="164"/>
        <v>1</v>
      </c>
      <c r="AT223" s="39">
        <f t="shared" si="136"/>
        <v>144036.54334091087</v>
      </c>
      <c r="AU223" s="39">
        <f t="shared" si="154"/>
        <v>144036.54334091087</v>
      </c>
      <c r="AV223" s="39">
        <f t="shared" si="165"/>
        <v>0</v>
      </c>
      <c r="AW223" s="3">
        <f t="shared" si="137"/>
        <v>149</v>
      </c>
      <c r="AX223" s="69">
        <f t="shared" si="155"/>
        <v>0</v>
      </c>
      <c r="AY223" s="75">
        <f t="shared" si="138"/>
        <v>0</v>
      </c>
      <c r="AZ223" s="75">
        <f t="shared" si="139"/>
        <v>0</v>
      </c>
      <c r="BA223" s="75">
        <f t="shared" si="140"/>
        <v>0</v>
      </c>
      <c r="BB223" s="75">
        <f t="shared" si="141"/>
        <v>0</v>
      </c>
      <c r="BD223" s="214">
        <f t="shared" si="156"/>
        <v>159157.31581818737</v>
      </c>
      <c r="BE223" s="214">
        <f t="shared" si="142"/>
        <v>774.70628258930003</v>
      </c>
      <c r="BF223" s="214">
        <f t="shared" si="143"/>
        <v>-263.35624645949304</v>
      </c>
      <c r="BG223" s="224">
        <f t="shared" si="161"/>
        <v>0</v>
      </c>
      <c r="BH223" s="19">
        <f t="shared" si="157"/>
        <v>203124.40925830297</v>
      </c>
      <c r="BI223" s="214">
        <f t="shared" si="144"/>
        <v>988.71833312022534</v>
      </c>
      <c r="BJ223" s="214">
        <f t="shared" si="145"/>
        <v>0</v>
      </c>
      <c r="BK223" s="19">
        <f t="shared" si="162"/>
        <v>0</v>
      </c>
    </row>
    <row r="224" spans="1:63">
      <c r="A224" s="165">
        <f t="shared" si="146"/>
        <v>74.472792607802873</v>
      </c>
      <c r="B224" s="69">
        <f t="shared" si="147"/>
        <v>13</v>
      </c>
      <c r="C224" s="70">
        <f t="shared" si="148"/>
        <v>150</v>
      </c>
      <c r="D224" s="13">
        <f t="shared" si="117"/>
        <v>4.8675505653430484E-3</v>
      </c>
      <c r="E224" s="15">
        <f t="shared" si="118"/>
        <v>1</v>
      </c>
      <c r="F224" s="15">
        <f t="shared" si="149"/>
        <v>0</v>
      </c>
      <c r="G224" s="15">
        <f t="shared" si="119"/>
        <v>0</v>
      </c>
      <c r="H224" s="73">
        <f t="shared" si="120"/>
        <v>0</v>
      </c>
      <c r="I224" s="189"/>
      <c r="J224" s="189"/>
      <c r="K224" s="5">
        <f t="shared" si="163"/>
        <v>144036.54334091087</v>
      </c>
      <c r="M224" s="5">
        <f t="shared" si="121"/>
        <v>701.1051579691092</v>
      </c>
      <c r="N224" s="5">
        <f t="shared" si="122"/>
        <v>-238.33603383079713</v>
      </c>
      <c r="O224" s="5">
        <f t="shared" si="123"/>
        <v>0</v>
      </c>
      <c r="P224" s="5">
        <f t="shared" si="124"/>
        <v>0</v>
      </c>
      <c r="Q224" s="5">
        <f t="shared" si="158"/>
        <v>0</v>
      </c>
      <c r="R224" s="5">
        <f t="shared" si="150"/>
        <v>0</v>
      </c>
      <c r="S224" s="5">
        <f t="shared" si="125"/>
        <v>0</v>
      </c>
      <c r="T224" s="5">
        <f t="shared" si="126"/>
        <v>0</v>
      </c>
      <c r="U224" s="74">
        <f t="shared" si="127"/>
        <v>0</v>
      </c>
      <c r="V224" s="75">
        <f t="shared" si="128"/>
        <v>0</v>
      </c>
      <c r="W224" s="5">
        <f t="shared" si="129"/>
        <v>0</v>
      </c>
      <c r="X224" s="5">
        <f t="shared" si="130"/>
        <v>144499.31246504918</v>
      </c>
      <c r="Y224" s="5">
        <f t="shared" si="151"/>
        <v>100000</v>
      </c>
      <c r="Z224" s="215">
        <f t="shared" si="131"/>
        <v>1</v>
      </c>
      <c r="AA224" s="216">
        <f t="shared" si="152"/>
        <v>0</v>
      </c>
      <c r="AB224" s="72">
        <f t="shared" si="159"/>
        <v>13188.158705474159</v>
      </c>
      <c r="AC224" s="72">
        <f t="shared" si="132"/>
        <v>0</v>
      </c>
      <c r="AD224" s="72">
        <f t="shared" si="133"/>
        <v>0</v>
      </c>
      <c r="AE224" s="72">
        <f t="shared" si="153"/>
        <v>-30.090312378751019</v>
      </c>
      <c r="AF224" s="70">
        <f t="shared" si="134"/>
        <v>0</v>
      </c>
      <c r="AG224" s="70">
        <f t="shared" si="135"/>
        <v>8733.0803393247133</v>
      </c>
      <c r="AH224" s="1">
        <f t="shared" si="164"/>
        <v>0</v>
      </c>
      <c r="AI224" s="1">
        <f t="shared" si="164"/>
        <v>0</v>
      </c>
      <c r="AJ224" s="1">
        <f t="shared" si="164"/>
        <v>0</v>
      </c>
      <c r="AK224" s="1">
        <f t="shared" si="164"/>
        <v>0</v>
      </c>
      <c r="AL224" s="1">
        <f t="shared" si="164"/>
        <v>0</v>
      </c>
      <c r="AM224" s="1">
        <f t="shared" si="164"/>
        <v>0</v>
      </c>
      <c r="AN224" s="1">
        <f t="shared" si="164"/>
        <v>1</v>
      </c>
      <c r="AO224" s="1">
        <f t="shared" si="164"/>
        <v>1</v>
      </c>
      <c r="AP224" s="1">
        <f t="shared" si="164"/>
        <v>1</v>
      </c>
      <c r="AQ224" s="1">
        <f t="shared" si="164"/>
        <v>1</v>
      </c>
      <c r="AR224" s="1">
        <f t="shared" si="164"/>
        <v>1</v>
      </c>
      <c r="AS224" s="1">
        <f t="shared" si="164"/>
        <v>1</v>
      </c>
      <c r="AT224" s="39">
        <f t="shared" si="136"/>
        <v>144499.31246504918</v>
      </c>
      <c r="AU224" s="39">
        <f t="shared" si="154"/>
        <v>144499.31246504918</v>
      </c>
      <c r="AV224" s="39">
        <f t="shared" si="165"/>
        <v>0</v>
      </c>
      <c r="AW224" s="3">
        <f t="shared" si="137"/>
        <v>150</v>
      </c>
      <c r="AX224" s="69">
        <f t="shared" si="155"/>
        <v>0</v>
      </c>
      <c r="AY224" s="75">
        <f t="shared" si="138"/>
        <v>0</v>
      </c>
      <c r="AZ224" s="75">
        <f t="shared" si="139"/>
        <v>0</v>
      </c>
      <c r="BA224" s="75">
        <f t="shared" si="140"/>
        <v>0</v>
      </c>
      <c r="BB224" s="75">
        <f t="shared" si="141"/>
        <v>0</v>
      </c>
      <c r="BD224" s="214">
        <f t="shared" si="156"/>
        <v>159668.66585431717</v>
      </c>
      <c r="BE224" s="214">
        <f t="shared" si="142"/>
        <v>777.19530474675184</v>
      </c>
      <c r="BF224" s="214">
        <f t="shared" si="143"/>
        <v>-264.20237298185725</v>
      </c>
      <c r="BG224" s="224">
        <f t="shared" si="161"/>
        <v>0</v>
      </c>
      <c r="BH224" s="19">
        <f t="shared" si="157"/>
        <v>204113.1275914232</v>
      </c>
      <c r="BI224" s="214">
        <f t="shared" si="144"/>
        <v>993.53096960156972</v>
      </c>
      <c r="BJ224" s="214">
        <f t="shared" si="145"/>
        <v>0</v>
      </c>
      <c r="BK224" s="19">
        <f t="shared" si="162"/>
        <v>0</v>
      </c>
    </row>
    <row r="225" spans="1:63">
      <c r="A225" s="165">
        <f t="shared" si="146"/>
        <v>74.556125941136202</v>
      </c>
      <c r="B225" s="69">
        <f t="shared" si="147"/>
        <v>13</v>
      </c>
      <c r="C225" s="70">
        <f t="shared" si="148"/>
        <v>151</v>
      </c>
      <c r="D225" s="13">
        <f t="shared" si="117"/>
        <v>4.8675505653430484E-3</v>
      </c>
      <c r="E225" s="15">
        <f t="shared" si="118"/>
        <v>1</v>
      </c>
      <c r="F225" s="15">
        <f t="shared" si="149"/>
        <v>0</v>
      </c>
      <c r="G225" s="15">
        <f t="shared" si="119"/>
        <v>0</v>
      </c>
      <c r="H225" s="73">
        <f t="shared" si="120"/>
        <v>0</v>
      </c>
      <c r="I225" s="189"/>
      <c r="J225" s="189"/>
      <c r="K225" s="5">
        <f t="shared" si="163"/>
        <v>144499.31246504918</v>
      </c>
      <c r="M225" s="5">
        <f t="shared" si="121"/>
        <v>703.35771008093195</v>
      </c>
      <c r="N225" s="5">
        <f t="shared" si="122"/>
        <v>-239.10177393444172</v>
      </c>
      <c r="O225" s="5">
        <f t="shared" si="123"/>
        <v>0</v>
      </c>
      <c r="P225" s="5">
        <f t="shared" si="124"/>
        <v>0</v>
      </c>
      <c r="Q225" s="5">
        <f t="shared" si="158"/>
        <v>0</v>
      </c>
      <c r="R225" s="5">
        <f t="shared" si="150"/>
        <v>0</v>
      </c>
      <c r="S225" s="5">
        <f t="shared" si="125"/>
        <v>0</v>
      </c>
      <c r="T225" s="5">
        <f t="shared" si="126"/>
        <v>0</v>
      </c>
      <c r="U225" s="74">
        <f t="shared" si="127"/>
        <v>0</v>
      </c>
      <c r="V225" s="75">
        <f t="shared" si="128"/>
        <v>0</v>
      </c>
      <c r="W225" s="5">
        <f t="shared" si="129"/>
        <v>0</v>
      </c>
      <c r="X225" s="5">
        <f t="shared" si="130"/>
        <v>144963.56840119566</v>
      </c>
      <c r="Y225" s="5">
        <f t="shared" si="151"/>
        <v>100000</v>
      </c>
      <c r="Z225" s="215">
        <f t="shared" si="131"/>
        <v>1</v>
      </c>
      <c r="AA225" s="216">
        <f t="shared" si="152"/>
        <v>0</v>
      </c>
      <c r="AB225" s="72">
        <f t="shared" si="159"/>
        <v>13188.158705474159</v>
      </c>
      <c r="AC225" s="72">
        <f t="shared" si="132"/>
        <v>0</v>
      </c>
      <c r="AD225" s="72">
        <f t="shared" si="133"/>
        <v>0</v>
      </c>
      <c r="AE225" s="72">
        <f t="shared" si="153"/>
        <v>-30.186988313771234</v>
      </c>
      <c r="AF225" s="70">
        <f t="shared" si="134"/>
        <v>0</v>
      </c>
      <c r="AG225" s="70">
        <f t="shared" si="135"/>
        <v>8909.4975950603748</v>
      </c>
      <c r="AH225" s="1">
        <f t="shared" ref="AH225:AS234" si="166">IF($B225&lt;=AH$74,1,0)</f>
        <v>0</v>
      </c>
      <c r="AI225" s="1">
        <f t="shared" si="166"/>
        <v>0</v>
      </c>
      <c r="AJ225" s="1">
        <f t="shared" si="166"/>
        <v>0</v>
      </c>
      <c r="AK225" s="1">
        <f t="shared" si="166"/>
        <v>0</v>
      </c>
      <c r="AL225" s="1">
        <f t="shared" si="166"/>
        <v>0</v>
      </c>
      <c r="AM225" s="1">
        <f t="shared" si="166"/>
        <v>0</v>
      </c>
      <c r="AN225" s="1">
        <f t="shared" si="166"/>
        <v>1</v>
      </c>
      <c r="AO225" s="1">
        <f t="shared" si="166"/>
        <v>1</v>
      </c>
      <c r="AP225" s="1">
        <f t="shared" si="166"/>
        <v>1</v>
      </c>
      <c r="AQ225" s="1">
        <f t="shared" si="166"/>
        <v>1</v>
      </c>
      <c r="AR225" s="1">
        <f t="shared" si="166"/>
        <v>1</v>
      </c>
      <c r="AS225" s="1">
        <f t="shared" si="166"/>
        <v>1</v>
      </c>
      <c r="AT225" s="39">
        <f t="shared" si="136"/>
        <v>144963.56840119566</v>
      </c>
      <c r="AU225" s="39">
        <f t="shared" si="154"/>
        <v>144963.56840119566</v>
      </c>
      <c r="AV225" s="39">
        <f t="shared" si="165"/>
        <v>0</v>
      </c>
      <c r="AW225" s="3">
        <f t="shared" si="137"/>
        <v>151</v>
      </c>
      <c r="AX225" s="69">
        <f t="shared" si="155"/>
        <v>0</v>
      </c>
      <c r="AY225" s="75">
        <f t="shared" si="138"/>
        <v>0</v>
      </c>
      <c r="AZ225" s="75">
        <f t="shared" si="139"/>
        <v>0</v>
      </c>
      <c r="BA225" s="75">
        <f t="shared" si="140"/>
        <v>0</v>
      </c>
      <c r="BB225" s="75">
        <f t="shared" si="141"/>
        <v>0</v>
      </c>
      <c r="BD225" s="214">
        <f t="shared" si="156"/>
        <v>160181.65878608206</v>
      </c>
      <c r="BE225" s="214">
        <f t="shared" si="142"/>
        <v>779.69232378178106</v>
      </c>
      <c r="BF225" s="214">
        <f t="shared" si="143"/>
        <v>-265.05121798954877</v>
      </c>
      <c r="BG225" s="224">
        <f t="shared" si="161"/>
        <v>0</v>
      </c>
      <c r="BH225" s="19">
        <f t="shared" si="157"/>
        <v>205106.65856102476</v>
      </c>
      <c r="BI225" s="214">
        <f t="shared" si="144"/>
        <v>998.36703183433963</v>
      </c>
      <c r="BJ225" s="214">
        <f t="shared" si="145"/>
        <v>0</v>
      </c>
      <c r="BK225" s="19">
        <f t="shared" si="162"/>
        <v>0</v>
      </c>
    </row>
    <row r="226" spans="1:63">
      <c r="A226" s="165">
        <f t="shared" si="146"/>
        <v>74.639459274469544</v>
      </c>
      <c r="B226" s="69">
        <f t="shared" si="147"/>
        <v>13</v>
      </c>
      <c r="C226" s="70">
        <f t="shared" si="148"/>
        <v>152</v>
      </c>
      <c r="D226" s="13">
        <f t="shared" si="117"/>
        <v>4.8675505653430484E-3</v>
      </c>
      <c r="E226" s="15">
        <f t="shared" si="118"/>
        <v>1</v>
      </c>
      <c r="F226" s="15">
        <f t="shared" si="149"/>
        <v>0</v>
      </c>
      <c r="G226" s="15">
        <f t="shared" si="119"/>
        <v>0</v>
      </c>
      <c r="H226" s="73">
        <f t="shared" si="120"/>
        <v>0</v>
      </c>
      <c r="I226" s="189"/>
      <c r="J226" s="189"/>
      <c r="K226" s="5">
        <f t="shared" si="163"/>
        <v>144963.56840119566</v>
      </c>
      <c r="M226" s="5">
        <f t="shared" si="121"/>
        <v>705.61749932538567</v>
      </c>
      <c r="N226" s="5">
        <f t="shared" si="122"/>
        <v>-239.86997425317381</v>
      </c>
      <c r="O226" s="5">
        <f t="shared" si="123"/>
        <v>0</v>
      </c>
      <c r="P226" s="5">
        <f t="shared" si="124"/>
        <v>0</v>
      </c>
      <c r="Q226" s="5">
        <f t="shared" si="158"/>
        <v>0</v>
      </c>
      <c r="R226" s="5">
        <f t="shared" si="150"/>
        <v>0</v>
      </c>
      <c r="S226" s="5">
        <f t="shared" si="125"/>
        <v>0</v>
      </c>
      <c r="T226" s="5">
        <f t="shared" si="126"/>
        <v>0</v>
      </c>
      <c r="U226" s="74">
        <f t="shared" si="127"/>
        <v>0</v>
      </c>
      <c r="V226" s="75">
        <f t="shared" si="128"/>
        <v>0</v>
      </c>
      <c r="W226" s="5">
        <f t="shared" si="129"/>
        <v>0</v>
      </c>
      <c r="X226" s="5">
        <f t="shared" si="130"/>
        <v>145429.31592626788</v>
      </c>
      <c r="Y226" s="5">
        <f t="shared" si="151"/>
        <v>100000</v>
      </c>
      <c r="Z226" s="215">
        <f t="shared" si="131"/>
        <v>1</v>
      </c>
      <c r="AA226" s="216">
        <f t="shared" si="152"/>
        <v>0</v>
      </c>
      <c r="AB226" s="72">
        <f t="shared" si="159"/>
        <v>13188.158705474159</v>
      </c>
      <c r="AC226" s="72">
        <f t="shared" si="132"/>
        <v>0</v>
      </c>
      <c r="AD226" s="72">
        <f t="shared" si="133"/>
        <v>0</v>
      </c>
      <c r="AE226" s="72">
        <f t="shared" si="153"/>
        <v>-30.283974854952476</v>
      </c>
      <c r="AF226" s="70">
        <f t="shared" si="134"/>
        <v>0</v>
      </c>
      <c r="AG226" s="70">
        <f t="shared" si="135"/>
        <v>9086.4816545878184</v>
      </c>
      <c r="AH226" s="1">
        <f t="shared" si="166"/>
        <v>0</v>
      </c>
      <c r="AI226" s="1">
        <f t="shared" si="166"/>
        <v>0</v>
      </c>
      <c r="AJ226" s="1">
        <f t="shared" si="166"/>
        <v>0</v>
      </c>
      <c r="AK226" s="1">
        <f t="shared" si="166"/>
        <v>0</v>
      </c>
      <c r="AL226" s="1">
        <f t="shared" si="166"/>
        <v>0</v>
      </c>
      <c r="AM226" s="1">
        <f t="shared" si="166"/>
        <v>0</v>
      </c>
      <c r="AN226" s="1">
        <f t="shared" si="166"/>
        <v>1</v>
      </c>
      <c r="AO226" s="1">
        <f t="shared" si="166"/>
        <v>1</v>
      </c>
      <c r="AP226" s="1">
        <f t="shared" si="166"/>
        <v>1</v>
      </c>
      <c r="AQ226" s="1">
        <f t="shared" si="166"/>
        <v>1</v>
      </c>
      <c r="AR226" s="1">
        <f t="shared" si="166"/>
        <v>1</v>
      </c>
      <c r="AS226" s="1">
        <f t="shared" si="166"/>
        <v>1</v>
      </c>
      <c r="AT226" s="39">
        <f t="shared" si="136"/>
        <v>145429.31592626788</v>
      </c>
      <c r="AU226" s="39">
        <f t="shared" si="154"/>
        <v>145429.31592626788</v>
      </c>
      <c r="AV226" s="39">
        <f t="shared" si="165"/>
        <v>0</v>
      </c>
      <c r="AW226" s="3">
        <f t="shared" si="137"/>
        <v>152</v>
      </c>
      <c r="AX226" s="69">
        <f t="shared" si="155"/>
        <v>0</v>
      </c>
      <c r="AY226" s="75">
        <f t="shared" si="138"/>
        <v>0</v>
      </c>
      <c r="AZ226" s="75">
        <f t="shared" si="139"/>
        <v>0</v>
      </c>
      <c r="BA226" s="75">
        <f t="shared" si="140"/>
        <v>0</v>
      </c>
      <c r="BB226" s="75">
        <f t="shared" si="141"/>
        <v>0</v>
      </c>
      <c r="BD226" s="214">
        <f t="shared" si="156"/>
        <v>160696.29989187428</v>
      </c>
      <c r="BE226" s="214">
        <f t="shared" si="142"/>
        <v>782.19736538722873</v>
      </c>
      <c r="BF226" s="214">
        <f t="shared" si="143"/>
        <v>-265.902790216678</v>
      </c>
      <c r="BG226" s="224">
        <f t="shared" si="161"/>
        <v>0</v>
      </c>
      <c r="BH226" s="19">
        <f t="shared" si="157"/>
        <v>206105.02559285911</v>
      </c>
      <c r="BI226" s="214">
        <f t="shared" si="144"/>
        <v>1003.2266338445648</v>
      </c>
      <c r="BJ226" s="214">
        <f t="shared" si="145"/>
        <v>0</v>
      </c>
      <c r="BK226" s="19">
        <f t="shared" si="162"/>
        <v>0</v>
      </c>
    </row>
    <row r="227" spans="1:63">
      <c r="A227" s="165">
        <f t="shared" si="146"/>
        <v>74.722792607802873</v>
      </c>
      <c r="B227" s="69">
        <f t="shared" si="147"/>
        <v>13</v>
      </c>
      <c r="C227" s="70">
        <f t="shared" si="148"/>
        <v>153</v>
      </c>
      <c r="D227" s="13">
        <f t="shared" si="117"/>
        <v>4.8675505653430484E-3</v>
      </c>
      <c r="E227" s="15">
        <f t="shared" si="118"/>
        <v>1</v>
      </c>
      <c r="F227" s="15">
        <f t="shared" si="149"/>
        <v>0</v>
      </c>
      <c r="G227" s="15">
        <f t="shared" si="119"/>
        <v>0</v>
      </c>
      <c r="H227" s="73">
        <f t="shared" si="120"/>
        <v>0</v>
      </c>
      <c r="I227" s="189"/>
      <c r="J227" s="189"/>
      <c r="K227" s="5">
        <f t="shared" si="163"/>
        <v>145429.31592626788</v>
      </c>
      <c r="M227" s="5">
        <f t="shared" si="121"/>
        <v>707.88454895435802</v>
      </c>
      <c r="N227" s="5">
        <f t="shared" si="122"/>
        <v>-240.64064269131799</v>
      </c>
      <c r="O227" s="5">
        <f t="shared" si="123"/>
        <v>0</v>
      </c>
      <c r="P227" s="5">
        <f t="shared" si="124"/>
        <v>0</v>
      </c>
      <c r="Q227" s="5">
        <f t="shared" si="158"/>
        <v>0</v>
      </c>
      <c r="R227" s="5">
        <f t="shared" si="150"/>
        <v>0</v>
      </c>
      <c r="S227" s="5">
        <f t="shared" si="125"/>
        <v>0</v>
      </c>
      <c r="T227" s="5">
        <f t="shared" si="126"/>
        <v>0</v>
      </c>
      <c r="U227" s="74">
        <f t="shared" si="127"/>
        <v>0</v>
      </c>
      <c r="V227" s="75">
        <f t="shared" si="128"/>
        <v>0</v>
      </c>
      <c r="W227" s="5">
        <f t="shared" si="129"/>
        <v>0</v>
      </c>
      <c r="X227" s="5">
        <f t="shared" si="130"/>
        <v>145896.55983253091</v>
      </c>
      <c r="Y227" s="5">
        <f t="shared" si="151"/>
        <v>100000</v>
      </c>
      <c r="Z227" s="215">
        <f t="shared" si="131"/>
        <v>1</v>
      </c>
      <c r="AA227" s="216">
        <f t="shared" si="152"/>
        <v>0</v>
      </c>
      <c r="AB227" s="72">
        <f t="shared" si="159"/>
        <v>13188.158705474159</v>
      </c>
      <c r="AC227" s="72">
        <f t="shared" si="132"/>
        <v>0</v>
      </c>
      <c r="AD227" s="72">
        <f t="shared" si="133"/>
        <v>0</v>
      </c>
      <c r="AE227" s="72">
        <f t="shared" si="153"/>
        <v>-30.381273000228589</v>
      </c>
      <c r="AF227" s="70">
        <f t="shared" si="134"/>
        <v>0</v>
      </c>
      <c r="AG227" s="70">
        <f t="shared" si="135"/>
        <v>9264.034338967771</v>
      </c>
      <c r="AH227" s="1">
        <f t="shared" si="166"/>
        <v>0</v>
      </c>
      <c r="AI227" s="1">
        <f t="shared" si="166"/>
        <v>0</v>
      </c>
      <c r="AJ227" s="1">
        <f t="shared" si="166"/>
        <v>0</v>
      </c>
      <c r="AK227" s="1">
        <f t="shared" si="166"/>
        <v>0</v>
      </c>
      <c r="AL227" s="1">
        <f t="shared" si="166"/>
        <v>0</v>
      </c>
      <c r="AM227" s="1">
        <f t="shared" si="166"/>
        <v>0</v>
      </c>
      <c r="AN227" s="1">
        <f t="shared" si="166"/>
        <v>1</v>
      </c>
      <c r="AO227" s="1">
        <f t="shared" si="166"/>
        <v>1</v>
      </c>
      <c r="AP227" s="1">
        <f t="shared" si="166"/>
        <v>1</v>
      </c>
      <c r="AQ227" s="1">
        <f t="shared" si="166"/>
        <v>1</v>
      </c>
      <c r="AR227" s="1">
        <f t="shared" si="166"/>
        <v>1</v>
      </c>
      <c r="AS227" s="1">
        <f t="shared" si="166"/>
        <v>1</v>
      </c>
      <c r="AT227" s="39">
        <f t="shared" si="136"/>
        <v>145896.55983253091</v>
      </c>
      <c r="AU227" s="39">
        <f t="shared" si="154"/>
        <v>145896.55983253091</v>
      </c>
      <c r="AV227" s="39">
        <f t="shared" si="165"/>
        <v>0</v>
      </c>
      <c r="AW227" s="3">
        <f t="shared" si="137"/>
        <v>153</v>
      </c>
      <c r="AX227" s="69">
        <f t="shared" si="155"/>
        <v>0</v>
      </c>
      <c r="AY227" s="75">
        <f t="shared" si="138"/>
        <v>0</v>
      </c>
      <c r="AZ227" s="75">
        <f t="shared" si="139"/>
        <v>0</v>
      </c>
      <c r="BA227" s="75">
        <f t="shared" si="140"/>
        <v>0</v>
      </c>
      <c r="BB227" s="75">
        <f t="shared" si="141"/>
        <v>0</v>
      </c>
      <c r="BD227" s="214">
        <f t="shared" si="156"/>
        <v>161212.59446704484</v>
      </c>
      <c r="BE227" s="214">
        <f t="shared" si="142"/>
        <v>784.71045533848371</v>
      </c>
      <c r="BF227" s="214">
        <f t="shared" si="143"/>
        <v>-266.75709842541681</v>
      </c>
      <c r="BG227" s="224">
        <f t="shared" si="161"/>
        <v>0</v>
      </c>
      <c r="BH227" s="19">
        <f t="shared" si="157"/>
        <v>207108.25222670368</v>
      </c>
      <c r="BI227" s="214">
        <f t="shared" si="144"/>
        <v>1008.1098902133022</v>
      </c>
      <c r="BJ227" s="214">
        <f t="shared" si="145"/>
        <v>0</v>
      </c>
      <c r="BK227" s="19">
        <f t="shared" si="162"/>
        <v>0</v>
      </c>
    </row>
    <row r="228" spans="1:63">
      <c r="A228" s="165">
        <f t="shared" si="146"/>
        <v>74.806125941136202</v>
      </c>
      <c r="B228" s="69">
        <f t="shared" si="147"/>
        <v>13</v>
      </c>
      <c r="C228" s="70">
        <f t="shared" si="148"/>
        <v>154</v>
      </c>
      <c r="D228" s="13">
        <f t="shared" si="117"/>
        <v>4.8675505653430484E-3</v>
      </c>
      <c r="E228" s="15">
        <f t="shared" si="118"/>
        <v>1</v>
      </c>
      <c r="F228" s="15">
        <f t="shared" si="149"/>
        <v>0</v>
      </c>
      <c r="G228" s="15">
        <f t="shared" si="119"/>
        <v>0</v>
      </c>
      <c r="H228" s="73">
        <f t="shared" si="120"/>
        <v>0</v>
      </c>
      <c r="I228" s="189"/>
      <c r="J228" s="189"/>
      <c r="K228" s="5">
        <f t="shared" si="163"/>
        <v>145896.55983253091</v>
      </c>
      <c r="M228" s="5">
        <f t="shared" si="121"/>
        <v>710.1588822944417</v>
      </c>
      <c r="N228" s="5">
        <f t="shared" si="122"/>
        <v>-241.41378717859413</v>
      </c>
      <c r="O228" s="5">
        <f t="shared" si="123"/>
        <v>0</v>
      </c>
      <c r="P228" s="5">
        <f t="shared" si="124"/>
        <v>0</v>
      </c>
      <c r="Q228" s="5">
        <f t="shared" si="158"/>
        <v>0</v>
      </c>
      <c r="R228" s="5">
        <f t="shared" si="150"/>
        <v>0</v>
      </c>
      <c r="S228" s="5">
        <f t="shared" si="125"/>
        <v>0</v>
      </c>
      <c r="T228" s="5">
        <f t="shared" si="126"/>
        <v>0</v>
      </c>
      <c r="U228" s="74">
        <f t="shared" si="127"/>
        <v>0</v>
      </c>
      <c r="V228" s="75">
        <f t="shared" si="128"/>
        <v>0</v>
      </c>
      <c r="W228" s="5">
        <f t="shared" si="129"/>
        <v>0</v>
      </c>
      <c r="X228" s="5">
        <f t="shared" si="130"/>
        <v>146365.30492764674</v>
      </c>
      <c r="Y228" s="5">
        <f t="shared" si="151"/>
        <v>100000</v>
      </c>
      <c r="Z228" s="215">
        <f t="shared" si="131"/>
        <v>1</v>
      </c>
      <c r="AA228" s="216">
        <f t="shared" si="152"/>
        <v>0</v>
      </c>
      <c r="AB228" s="72">
        <f t="shared" si="159"/>
        <v>13188.158705474159</v>
      </c>
      <c r="AC228" s="72">
        <f t="shared" si="132"/>
        <v>0</v>
      </c>
      <c r="AD228" s="72">
        <f t="shared" si="133"/>
        <v>0</v>
      </c>
      <c r="AE228" s="72">
        <f t="shared" si="153"/>
        <v>-30.478883750739634</v>
      </c>
      <c r="AF228" s="70">
        <f t="shared" si="134"/>
        <v>0</v>
      </c>
      <c r="AG228" s="70">
        <f t="shared" si="135"/>
        <v>9442.157475111786</v>
      </c>
      <c r="AH228" s="1">
        <f t="shared" si="166"/>
        <v>0</v>
      </c>
      <c r="AI228" s="1">
        <f t="shared" si="166"/>
        <v>0</v>
      </c>
      <c r="AJ228" s="1">
        <f t="shared" si="166"/>
        <v>0</v>
      </c>
      <c r="AK228" s="1">
        <f t="shared" si="166"/>
        <v>0</v>
      </c>
      <c r="AL228" s="1">
        <f t="shared" si="166"/>
        <v>0</v>
      </c>
      <c r="AM228" s="1">
        <f t="shared" si="166"/>
        <v>0</v>
      </c>
      <c r="AN228" s="1">
        <f t="shared" si="166"/>
        <v>1</v>
      </c>
      <c r="AO228" s="1">
        <f t="shared" si="166"/>
        <v>1</v>
      </c>
      <c r="AP228" s="1">
        <f t="shared" si="166"/>
        <v>1</v>
      </c>
      <c r="AQ228" s="1">
        <f t="shared" si="166"/>
        <v>1</v>
      </c>
      <c r="AR228" s="1">
        <f t="shared" si="166"/>
        <v>1</v>
      </c>
      <c r="AS228" s="1">
        <f t="shared" si="166"/>
        <v>1</v>
      </c>
      <c r="AT228" s="39">
        <f t="shared" si="136"/>
        <v>146365.30492764674</v>
      </c>
      <c r="AU228" s="39">
        <f t="shared" si="154"/>
        <v>146365.30492764674</v>
      </c>
      <c r="AV228" s="39">
        <f t="shared" si="165"/>
        <v>0</v>
      </c>
      <c r="AW228" s="3">
        <f t="shared" si="137"/>
        <v>154</v>
      </c>
      <c r="AX228" s="69">
        <f t="shared" si="155"/>
        <v>0</v>
      </c>
      <c r="AY228" s="75">
        <f t="shared" si="138"/>
        <v>0</v>
      </c>
      <c r="AZ228" s="75">
        <f t="shared" si="139"/>
        <v>0</v>
      </c>
      <c r="BA228" s="75">
        <f t="shared" si="140"/>
        <v>0</v>
      </c>
      <c r="BB228" s="75">
        <f t="shared" si="141"/>
        <v>0</v>
      </c>
      <c r="BD228" s="214">
        <f t="shared" si="156"/>
        <v>161730.5478239579</v>
      </c>
      <c r="BE228" s="214">
        <f t="shared" si="142"/>
        <v>787.23161949374719</v>
      </c>
      <c r="BF228" s="214">
        <f t="shared" si="143"/>
        <v>-267.61415140608875</v>
      </c>
      <c r="BG228" s="224">
        <f t="shared" si="161"/>
        <v>0</v>
      </c>
      <c r="BH228" s="19">
        <f t="shared" si="157"/>
        <v>208116.36211691698</v>
      </c>
      <c r="BI228" s="214">
        <f t="shared" si="144"/>
        <v>1013.0169160793379</v>
      </c>
      <c r="BJ228" s="214">
        <f t="shared" si="145"/>
        <v>0</v>
      </c>
      <c r="BK228" s="19">
        <f t="shared" si="162"/>
        <v>0</v>
      </c>
    </row>
    <row r="229" spans="1:63">
      <c r="A229" s="165">
        <f t="shared" si="146"/>
        <v>74.889459274469544</v>
      </c>
      <c r="B229" s="69">
        <f t="shared" si="147"/>
        <v>13</v>
      </c>
      <c r="C229" s="70">
        <f t="shared" si="148"/>
        <v>155</v>
      </c>
      <c r="D229" s="13">
        <f t="shared" si="117"/>
        <v>4.8675505653430484E-3</v>
      </c>
      <c r="E229" s="15">
        <f t="shared" si="118"/>
        <v>1</v>
      </c>
      <c r="F229" s="15">
        <f t="shared" si="149"/>
        <v>0</v>
      </c>
      <c r="G229" s="15">
        <f t="shared" si="119"/>
        <v>0</v>
      </c>
      <c r="H229" s="73">
        <f t="shared" si="120"/>
        <v>0</v>
      </c>
      <c r="I229" s="189"/>
      <c r="J229" s="189"/>
      <c r="K229" s="5">
        <f t="shared" si="163"/>
        <v>146365.30492764674</v>
      </c>
      <c r="M229" s="5">
        <f t="shared" si="121"/>
        <v>712.44052274717455</v>
      </c>
      <c r="N229" s="5">
        <f t="shared" si="122"/>
        <v>-242.18941567019939</v>
      </c>
      <c r="O229" s="5">
        <f t="shared" si="123"/>
        <v>0</v>
      </c>
      <c r="P229" s="5">
        <f t="shared" si="124"/>
        <v>0</v>
      </c>
      <c r="Q229" s="5">
        <f t="shared" si="158"/>
        <v>0</v>
      </c>
      <c r="R229" s="5">
        <f t="shared" si="150"/>
        <v>0</v>
      </c>
      <c r="S229" s="5">
        <f t="shared" si="125"/>
        <v>0</v>
      </c>
      <c r="T229" s="5">
        <f t="shared" si="126"/>
        <v>0</v>
      </c>
      <c r="U229" s="74">
        <f t="shared" si="127"/>
        <v>0</v>
      </c>
      <c r="V229" s="75">
        <f t="shared" si="128"/>
        <v>0</v>
      </c>
      <c r="W229" s="5">
        <f t="shared" si="129"/>
        <v>0</v>
      </c>
      <c r="X229" s="5">
        <f t="shared" si="130"/>
        <v>146835.5560347237</v>
      </c>
      <c r="Y229" s="5">
        <f t="shared" si="151"/>
        <v>100000</v>
      </c>
      <c r="Z229" s="215">
        <f t="shared" si="131"/>
        <v>1</v>
      </c>
      <c r="AA229" s="216">
        <f t="shared" si="152"/>
        <v>0</v>
      </c>
      <c r="AB229" s="72">
        <f t="shared" si="159"/>
        <v>13188.158705474159</v>
      </c>
      <c r="AC229" s="72">
        <f t="shared" si="132"/>
        <v>0</v>
      </c>
      <c r="AD229" s="72">
        <f t="shared" si="133"/>
        <v>0</v>
      </c>
      <c r="AE229" s="72">
        <f t="shared" si="153"/>
        <v>-30.57680811084219</v>
      </c>
      <c r="AF229" s="70">
        <f t="shared" si="134"/>
        <v>0</v>
      </c>
      <c r="AG229" s="70">
        <f t="shared" si="135"/>
        <v>9620.8528958010338</v>
      </c>
      <c r="AH229" s="1">
        <f t="shared" si="166"/>
        <v>0</v>
      </c>
      <c r="AI229" s="1">
        <f t="shared" si="166"/>
        <v>0</v>
      </c>
      <c r="AJ229" s="1">
        <f t="shared" si="166"/>
        <v>0</v>
      </c>
      <c r="AK229" s="1">
        <f t="shared" si="166"/>
        <v>0</v>
      </c>
      <c r="AL229" s="1">
        <f t="shared" si="166"/>
        <v>0</v>
      </c>
      <c r="AM229" s="1">
        <f t="shared" si="166"/>
        <v>0</v>
      </c>
      <c r="AN229" s="1">
        <f t="shared" si="166"/>
        <v>1</v>
      </c>
      <c r="AO229" s="1">
        <f t="shared" si="166"/>
        <v>1</v>
      </c>
      <c r="AP229" s="1">
        <f t="shared" si="166"/>
        <v>1</v>
      </c>
      <c r="AQ229" s="1">
        <f t="shared" si="166"/>
        <v>1</v>
      </c>
      <c r="AR229" s="1">
        <f t="shared" si="166"/>
        <v>1</v>
      </c>
      <c r="AS229" s="1">
        <f t="shared" si="166"/>
        <v>1</v>
      </c>
      <c r="AT229" s="39">
        <f t="shared" si="136"/>
        <v>146835.5560347237</v>
      </c>
      <c r="AU229" s="39">
        <f t="shared" si="154"/>
        <v>146835.5560347237</v>
      </c>
      <c r="AV229" s="39">
        <f t="shared" si="165"/>
        <v>0</v>
      </c>
      <c r="AW229" s="3">
        <f t="shared" si="137"/>
        <v>155</v>
      </c>
      <c r="AX229" s="69">
        <f t="shared" si="155"/>
        <v>0</v>
      </c>
      <c r="AY229" s="75">
        <f t="shared" si="138"/>
        <v>0</v>
      </c>
      <c r="AZ229" s="75">
        <f t="shared" si="139"/>
        <v>0</v>
      </c>
      <c r="BA229" s="75">
        <f t="shared" si="140"/>
        <v>0</v>
      </c>
      <c r="BB229" s="75">
        <f t="shared" si="141"/>
        <v>0</v>
      </c>
      <c r="BD229" s="214">
        <f t="shared" si="156"/>
        <v>162250.16529204554</v>
      </c>
      <c r="BE229" s="214">
        <f t="shared" si="142"/>
        <v>789.76088379429927</v>
      </c>
      <c r="BF229" s="214">
        <f t="shared" si="143"/>
        <v>-268.47395797725932</v>
      </c>
      <c r="BG229" s="224">
        <f t="shared" si="161"/>
        <v>0</v>
      </c>
      <c r="BH229" s="19">
        <f t="shared" si="157"/>
        <v>209129.37903299631</v>
      </c>
      <c r="BI229" s="214">
        <f t="shared" si="144"/>
        <v>1017.9478271419018</v>
      </c>
      <c r="BJ229" s="214">
        <f t="shared" si="145"/>
        <v>0</v>
      </c>
      <c r="BK229" s="19">
        <f t="shared" si="162"/>
        <v>0</v>
      </c>
    </row>
    <row r="230" spans="1:63">
      <c r="A230" s="165">
        <f t="shared" si="146"/>
        <v>74.972792607802873</v>
      </c>
      <c r="B230" s="69">
        <f t="shared" si="147"/>
        <v>13</v>
      </c>
      <c r="C230" s="70">
        <f t="shared" si="148"/>
        <v>156</v>
      </c>
      <c r="D230" s="13">
        <f t="shared" si="117"/>
        <v>4.8675505653430484E-3</v>
      </c>
      <c r="E230" s="15">
        <f t="shared" si="118"/>
        <v>1</v>
      </c>
      <c r="F230" s="15">
        <f t="shared" si="149"/>
        <v>0</v>
      </c>
      <c r="G230" s="15">
        <f t="shared" si="119"/>
        <v>0</v>
      </c>
      <c r="H230" s="73">
        <f t="shared" si="120"/>
        <v>0</v>
      </c>
      <c r="I230" s="189"/>
      <c r="J230" s="189"/>
      <c r="K230" s="5">
        <f t="shared" si="163"/>
        <v>146835.5560347237</v>
      </c>
      <c r="M230" s="5">
        <f t="shared" si="121"/>
        <v>714.72949378928024</v>
      </c>
      <c r="N230" s="5">
        <f t="shared" si="122"/>
        <v>-242.96753614688976</v>
      </c>
      <c r="O230" s="5">
        <f t="shared" si="123"/>
        <v>0</v>
      </c>
      <c r="P230" s="5">
        <f t="shared" si="124"/>
        <v>0</v>
      </c>
      <c r="Q230" s="5">
        <f t="shared" si="158"/>
        <v>0</v>
      </c>
      <c r="R230" s="5">
        <f t="shared" si="150"/>
        <v>0</v>
      </c>
      <c r="S230" s="5">
        <f t="shared" si="125"/>
        <v>0</v>
      </c>
      <c r="T230" s="5">
        <f t="shared" si="126"/>
        <v>0</v>
      </c>
      <c r="U230" s="74">
        <f t="shared" si="127"/>
        <v>0</v>
      </c>
      <c r="V230" s="75">
        <f t="shared" si="128"/>
        <v>0</v>
      </c>
      <c r="W230" s="5">
        <f t="shared" si="129"/>
        <v>0</v>
      </c>
      <c r="X230" s="5">
        <f t="shared" si="130"/>
        <v>147307.31799236609</v>
      </c>
      <c r="Y230" s="5">
        <f t="shared" si="151"/>
        <v>100000</v>
      </c>
      <c r="Z230" s="215">
        <f t="shared" si="131"/>
        <v>1</v>
      </c>
      <c r="AA230" s="216">
        <f t="shared" si="152"/>
        <v>0</v>
      </c>
      <c r="AB230" s="72">
        <f t="shared" si="159"/>
        <v>13188.158705474159</v>
      </c>
      <c r="AC230" s="72">
        <f t="shared" si="132"/>
        <v>0</v>
      </c>
      <c r="AD230" s="72">
        <f t="shared" si="133"/>
        <v>0</v>
      </c>
      <c r="AE230" s="72">
        <f t="shared" si="153"/>
        <v>-30.675047088119701</v>
      </c>
      <c r="AF230" s="70">
        <f t="shared" si="134"/>
        <v>0</v>
      </c>
      <c r="AG230" s="70">
        <f t="shared" si="135"/>
        <v>9800.1224397051392</v>
      </c>
      <c r="AH230" s="1">
        <f t="shared" si="166"/>
        <v>0</v>
      </c>
      <c r="AI230" s="1">
        <f t="shared" si="166"/>
        <v>0</v>
      </c>
      <c r="AJ230" s="1">
        <f t="shared" si="166"/>
        <v>0</v>
      </c>
      <c r="AK230" s="1">
        <f t="shared" si="166"/>
        <v>0</v>
      </c>
      <c r="AL230" s="1">
        <f t="shared" si="166"/>
        <v>0</v>
      </c>
      <c r="AM230" s="1">
        <f t="shared" si="166"/>
        <v>0</v>
      </c>
      <c r="AN230" s="1">
        <f t="shared" si="166"/>
        <v>1</v>
      </c>
      <c r="AO230" s="1">
        <f t="shared" si="166"/>
        <v>1</v>
      </c>
      <c r="AP230" s="1">
        <f t="shared" si="166"/>
        <v>1</v>
      </c>
      <c r="AQ230" s="1">
        <f t="shared" si="166"/>
        <v>1</v>
      </c>
      <c r="AR230" s="1">
        <f t="shared" si="166"/>
        <v>1</v>
      </c>
      <c r="AS230" s="1">
        <f t="shared" si="166"/>
        <v>1</v>
      </c>
      <c r="AT230" s="39">
        <f t="shared" si="136"/>
        <v>147307.31799236609</v>
      </c>
      <c r="AU230" s="39">
        <f t="shared" si="154"/>
        <v>147307.31799236609</v>
      </c>
      <c r="AV230" s="39">
        <f t="shared" si="165"/>
        <v>0</v>
      </c>
      <c r="AW230" s="3">
        <f t="shared" si="137"/>
        <v>156</v>
      </c>
      <c r="AX230" s="69">
        <f t="shared" si="155"/>
        <v>0</v>
      </c>
      <c r="AY230" s="75">
        <f t="shared" si="138"/>
        <v>0</v>
      </c>
      <c r="AZ230" s="75">
        <f t="shared" si="139"/>
        <v>0</v>
      </c>
      <c r="BA230" s="75">
        <f t="shared" si="140"/>
        <v>0</v>
      </c>
      <c r="BB230" s="75">
        <f t="shared" si="141"/>
        <v>0</v>
      </c>
      <c r="BD230" s="214">
        <f t="shared" si="156"/>
        <v>162771.45221786259</v>
      </c>
      <c r="BE230" s="214">
        <f t="shared" si="142"/>
        <v>792.29827426476606</v>
      </c>
      <c r="BF230" s="214">
        <f t="shared" si="143"/>
        <v>-269.33652698582699</v>
      </c>
      <c r="BG230" s="224">
        <f t="shared" si="161"/>
        <v>0</v>
      </c>
      <c r="BH230" s="19">
        <f t="shared" si="157"/>
        <v>210147.32686013822</v>
      </c>
      <c r="BI230" s="214">
        <f t="shared" si="144"/>
        <v>1022.9027396633961</v>
      </c>
      <c r="BJ230" s="214">
        <f t="shared" si="145"/>
        <v>0</v>
      </c>
      <c r="BK230" s="19">
        <f t="shared" si="162"/>
        <v>0</v>
      </c>
    </row>
    <row r="231" spans="1:63">
      <c r="A231" s="165">
        <f t="shared" si="146"/>
        <v>75.056125941136202</v>
      </c>
      <c r="B231" s="69">
        <f t="shared" si="147"/>
        <v>14</v>
      </c>
      <c r="C231" s="70">
        <f t="shared" si="148"/>
        <v>157</v>
      </c>
      <c r="D231" s="13">
        <f t="shared" si="117"/>
        <v>4.8675505653430484E-3</v>
      </c>
      <c r="E231" s="15">
        <f t="shared" si="118"/>
        <v>1</v>
      </c>
      <c r="F231" s="15">
        <f t="shared" si="149"/>
        <v>0</v>
      </c>
      <c r="G231" s="15">
        <f t="shared" si="119"/>
        <v>0</v>
      </c>
      <c r="H231" s="73">
        <f t="shared" si="120"/>
        <v>0</v>
      </c>
      <c r="I231" s="189"/>
      <c r="J231" s="189"/>
      <c r="K231" s="5">
        <f t="shared" si="163"/>
        <v>147307.31799236609</v>
      </c>
      <c r="M231" s="5">
        <f t="shared" si="121"/>
        <v>717.02581897290975</v>
      </c>
      <c r="N231" s="5">
        <f t="shared" si="122"/>
        <v>-243.74815661506233</v>
      </c>
      <c r="O231" s="5">
        <f t="shared" si="123"/>
        <v>0</v>
      </c>
      <c r="P231" s="5">
        <f t="shared" si="124"/>
        <v>0</v>
      </c>
      <c r="Q231" s="5">
        <f t="shared" si="158"/>
        <v>0</v>
      </c>
      <c r="R231" s="5">
        <f t="shared" si="150"/>
        <v>0</v>
      </c>
      <c r="S231" s="5">
        <f t="shared" si="125"/>
        <v>0</v>
      </c>
      <c r="T231" s="5">
        <f t="shared" si="126"/>
        <v>0</v>
      </c>
      <c r="U231" s="74">
        <f t="shared" si="127"/>
        <v>0</v>
      </c>
      <c r="V231" s="75">
        <f t="shared" si="128"/>
        <v>0</v>
      </c>
      <c r="W231" s="5">
        <f t="shared" si="129"/>
        <v>0</v>
      </c>
      <c r="X231" s="5">
        <f t="shared" si="130"/>
        <v>147780.59565472393</v>
      </c>
      <c r="Y231" s="5">
        <f t="shared" si="151"/>
        <v>100000</v>
      </c>
      <c r="Z231" s="215">
        <f t="shared" si="131"/>
        <v>1</v>
      </c>
      <c r="AA231" s="216">
        <f t="shared" si="152"/>
        <v>0</v>
      </c>
      <c r="AB231" s="72">
        <f t="shared" si="159"/>
        <v>13188.158705474159</v>
      </c>
      <c r="AC231" s="72">
        <f t="shared" si="132"/>
        <v>0</v>
      </c>
      <c r="AD231" s="72">
        <f t="shared" si="133"/>
        <v>0</v>
      </c>
      <c r="AE231" s="72">
        <f t="shared" si="153"/>
        <v>-30.773601693392838</v>
      </c>
      <c r="AF231" s="70">
        <f t="shared" si="134"/>
        <v>0</v>
      </c>
      <c r="AG231" s="70">
        <f t="shared" si="135"/>
        <v>9979.9679514011204</v>
      </c>
      <c r="AH231" s="1">
        <f t="shared" si="166"/>
        <v>0</v>
      </c>
      <c r="AI231" s="1">
        <f t="shared" si="166"/>
        <v>0</v>
      </c>
      <c r="AJ231" s="1">
        <f t="shared" si="166"/>
        <v>0</v>
      </c>
      <c r="AK231" s="1">
        <f t="shared" si="166"/>
        <v>0</v>
      </c>
      <c r="AL231" s="1">
        <f t="shared" si="166"/>
        <v>0</v>
      </c>
      <c r="AM231" s="1">
        <f t="shared" si="166"/>
        <v>0</v>
      </c>
      <c r="AN231" s="1">
        <f t="shared" si="166"/>
        <v>1</v>
      </c>
      <c r="AO231" s="1">
        <f t="shared" si="166"/>
        <v>1</v>
      </c>
      <c r="AP231" s="1">
        <f t="shared" si="166"/>
        <v>1</v>
      </c>
      <c r="AQ231" s="1">
        <f t="shared" si="166"/>
        <v>1</v>
      </c>
      <c r="AR231" s="1">
        <f t="shared" si="166"/>
        <v>1</v>
      </c>
      <c r="AS231" s="1">
        <f t="shared" si="166"/>
        <v>1</v>
      </c>
      <c r="AT231" s="39">
        <f t="shared" si="136"/>
        <v>147780.59565472393</v>
      </c>
      <c r="AU231" s="39">
        <f t="shared" si="154"/>
        <v>147780.59565472393</v>
      </c>
      <c r="AV231" s="39">
        <f t="shared" si="165"/>
        <v>0</v>
      </c>
      <c r="AW231" s="3">
        <f t="shared" si="137"/>
        <v>157</v>
      </c>
      <c r="AX231" s="69">
        <f t="shared" si="155"/>
        <v>0</v>
      </c>
      <c r="AY231" s="75">
        <f t="shared" si="138"/>
        <v>0</v>
      </c>
      <c r="AZ231" s="75">
        <f t="shared" si="139"/>
        <v>0</v>
      </c>
      <c r="BA231" s="75">
        <f t="shared" si="140"/>
        <v>0</v>
      </c>
      <c r="BB231" s="75">
        <f t="shared" si="141"/>
        <v>0</v>
      </c>
      <c r="BD231" s="214">
        <f t="shared" si="156"/>
        <v>163294.41396514152</v>
      </c>
      <c r="BE231" s="214">
        <f t="shared" si="142"/>
        <v>794.84381701338634</v>
      </c>
      <c r="BF231" s="214">
        <f t="shared" si="143"/>
        <v>-270.2018673071139</v>
      </c>
      <c r="BG231" s="224">
        <f t="shared" si="161"/>
        <v>0</v>
      </c>
      <c r="BH231" s="19">
        <f t="shared" si="157"/>
        <v>211170.22959980162</v>
      </c>
      <c r="BI231" s="214">
        <f t="shared" si="144"/>
        <v>1027.8817704721357</v>
      </c>
      <c r="BJ231" s="214">
        <f t="shared" si="145"/>
        <v>0</v>
      </c>
      <c r="BK231" s="19">
        <f t="shared" si="162"/>
        <v>0</v>
      </c>
    </row>
    <row r="232" spans="1:63">
      <c r="A232" s="165">
        <f t="shared" si="146"/>
        <v>75.139459274469544</v>
      </c>
      <c r="B232" s="69">
        <f t="shared" si="147"/>
        <v>14</v>
      </c>
      <c r="C232" s="70">
        <f t="shared" si="148"/>
        <v>158</v>
      </c>
      <c r="D232" s="13">
        <f t="shared" si="117"/>
        <v>4.8675505653430484E-3</v>
      </c>
      <c r="E232" s="15">
        <f t="shared" si="118"/>
        <v>1</v>
      </c>
      <c r="F232" s="15">
        <f t="shared" si="149"/>
        <v>0</v>
      </c>
      <c r="G232" s="15">
        <f t="shared" si="119"/>
        <v>0</v>
      </c>
      <c r="H232" s="73">
        <f t="shared" si="120"/>
        <v>0</v>
      </c>
      <c r="I232" s="189"/>
      <c r="J232" s="189"/>
      <c r="K232" s="5">
        <f t="shared" si="163"/>
        <v>147780.59565472393</v>
      </c>
      <c r="M232" s="5">
        <f t="shared" si="121"/>
        <v>719.32952192588391</v>
      </c>
      <c r="N232" s="5">
        <f t="shared" si="122"/>
        <v>-244.53128510683754</v>
      </c>
      <c r="O232" s="5">
        <f t="shared" si="123"/>
        <v>0</v>
      </c>
      <c r="P232" s="5">
        <f t="shared" si="124"/>
        <v>0</v>
      </c>
      <c r="Q232" s="5">
        <f t="shared" si="158"/>
        <v>0</v>
      </c>
      <c r="R232" s="5">
        <f t="shared" si="150"/>
        <v>0</v>
      </c>
      <c r="S232" s="5">
        <f t="shared" si="125"/>
        <v>0</v>
      </c>
      <c r="T232" s="5">
        <f t="shared" si="126"/>
        <v>0</v>
      </c>
      <c r="U232" s="74">
        <f t="shared" si="127"/>
        <v>0</v>
      </c>
      <c r="V232" s="75">
        <f t="shared" si="128"/>
        <v>0</v>
      </c>
      <c r="W232" s="5">
        <f t="shared" si="129"/>
        <v>0</v>
      </c>
      <c r="X232" s="5">
        <f t="shared" si="130"/>
        <v>148255.39389154298</v>
      </c>
      <c r="Y232" s="5">
        <f t="shared" si="151"/>
        <v>100000</v>
      </c>
      <c r="Z232" s="215">
        <f t="shared" si="131"/>
        <v>1</v>
      </c>
      <c r="AA232" s="216">
        <f t="shared" si="152"/>
        <v>0</v>
      </c>
      <c r="AB232" s="72">
        <f t="shared" si="159"/>
        <v>13188.158705474159</v>
      </c>
      <c r="AC232" s="72">
        <f t="shared" si="132"/>
        <v>0</v>
      </c>
      <c r="AD232" s="72">
        <f t="shared" si="133"/>
        <v>0</v>
      </c>
      <c r="AE232" s="72">
        <f t="shared" si="153"/>
        <v>-30.872472940729885</v>
      </c>
      <c r="AF232" s="70">
        <f t="shared" si="134"/>
        <v>0</v>
      </c>
      <c r="AG232" s="70">
        <f t="shared" si="135"/>
        <v>10160.391281392354</v>
      </c>
      <c r="AH232" s="1">
        <f t="shared" si="166"/>
        <v>0</v>
      </c>
      <c r="AI232" s="1">
        <f t="shared" si="166"/>
        <v>0</v>
      </c>
      <c r="AJ232" s="1">
        <f t="shared" si="166"/>
        <v>0</v>
      </c>
      <c r="AK232" s="1">
        <f t="shared" si="166"/>
        <v>0</v>
      </c>
      <c r="AL232" s="1">
        <f t="shared" si="166"/>
        <v>0</v>
      </c>
      <c r="AM232" s="1">
        <f t="shared" si="166"/>
        <v>0</v>
      </c>
      <c r="AN232" s="1">
        <f t="shared" si="166"/>
        <v>1</v>
      </c>
      <c r="AO232" s="1">
        <f t="shared" si="166"/>
        <v>1</v>
      </c>
      <c r="AP232" s="1">
        <f t="shared" si="166"/>
        <v>1</v>
      </c>
      <c r="AQ232" s="1">
        <f t="shared" si="166"/>
        <v>1</v>
      </c>
      <c r="AR232" s="1">
        <f t="shared" si="166"/>
        <v>1</v>
      </c>
      <c r="AS232" s="1">
        <f t="shared" si="166"/>
        <v>1</v>
      </c>
      <c r="AT232" s="39">
        <f t="shared" si="136"/>
        <v>148255.39389154298</v>
      </c>
      <c r="AU232" s="39">
        <f t="shared" si="154"/>
        <v>148255.39389154298</v>
      </c>
      <c r="AV232" s="39">
        <f t="shared" si="165"/>
        <v>0</v>
      </c>
      <c r="AW232" s="3">
        <f t="shared" si="137"/>
        <v>158</v>
      </c>
      <c r="AX232" s="69">
        <f t="shared" si="155"/>
        <v>0</v>
      </c>
      <c r="AY232" s="75">
        <f t="shared" si="138"/>
        <v>0</v>
      </c>
      <c r="AZ232" s="75">
        <f t="shared" si="139"/>
        <v>0</v>
      </c>
      <c r="BA232" s="75">
        <f t="shared" si="140"/>
        <v>0</v>
      </c>
      <c r="BB232" s="75">
        <f t="shared" si="141"/>
        <v>0</v>
      </c>
      <c r="BD232" s="214">
        <f t="shared" si="156"/>
        <v>163819.05591484779</v>
      </c>
      <c r="BE232" s="214">
        <f t="shared" si="142"/>
        <v>797.39753823228182</v>
      </c>
      <c r="BF232" s="214">
        <f t="shared" si="143"/>
        <v>-271.06998784495755</v>
      </c>
      <c r="BG232" s="224">
        <f t="shared" si="161"/>
        <v>0</v>
      </c>
      <c r="BH232" s="19">
        <f t="shared" si="157"/>
        <v>212198.11137027375</v>
      </c>
      <c r="BI232" s="214">
        <f t="shared" si="144"/>
        <v>1032.8850369651032</v>
      </c>
      <c r="BJ232" s="214">
        <f t="shared" si="145"/>
        <v>0</v>
      </c>
      <c r="BK232" s="19">
        <f t="shared" si="162"/>
        <v>0</v>
      </c>
    </row>
    <row r="233" spans="1:63">
      <c r="A233" s="165">
        <f t="shared" si="146"/>
        <v>75.222792607802873</v>
      </c>
      <c r="B233" s="69">
        <f t="shared" si="147"/>
        <v>14</v>
      </c>
      <c r="C233" s="70">
        <f t="shared" si="148"/>
        <v>159</v>
      </c>
      <c r="D233" s="13">
        <f t="shared" si="117"/>
        <v>4.8675505653430484E-3</v>
      </c>
      <c r="E233" s="15">
        <f t="shared" si="118"/>
        <v>1</v>
      </c>
      <c r="F233" s="15">
        <f t="shared" si="149"/>
        <v>0</v>
      </c>
      <c r="G233" s="15">
        <f t="shared" si="119"/>
        <v>0</v>
      </c>
      <c r="H233" s="73">
        <f t="shared" si="120"/>
        <v>0</v>
      </c>
      <c r="I233" s="189"/>
      <c r="J233" s="189"/>
      <c r="K233" s="5">
        <f t="shared" si="163"/>
        <v>148255.39389154298</v>
      </c>
      <c r="M233" s="5">
        <f t="shared" si="121"/>
        <v>721.64062635193636</v>
      </c>
      <c r="N233" s="5">
        <f t="shared" si="122"/>
        <v>-245.3169296801419</v>
      </c>
      <c r="O233" s="5">
        <f t="shared" si="123"/>
        <v>0</v>
      </c>
      <c r="P233" s="5">
        <f t="shared" si="124"/>
        <v>0</v>
      </c>
      <c r="Q233" s="5">
        <f t="shared" si="158"/>
        <v>0</v>
      </c>
      <c r="R233" s="5">
        <f t="shared" si="150"/>
        <v>0</v>
      </c>
      <c r="S233" s="5">
        <f t="shared" si="125"/>
        <v>0</v>
      </c>
      <c r="T233" s="5">
        <f t="shared" si="126"/>
        <v>0</v>
      </c>
      <c r="U233" s="74">
        <f t="shared" si="127"/>
        <v>0</v>
      </c>
      <c r="V233" s="75">
        <f t="shared" si="128"/>
        <v>0</v>
      </c>
      <c r="W233" s="5">
        <f t="shared" si="129"/>
        <v>0</v>
      </c>
      <c r="X233" s="5">
        <f t="shared" si="130"/>
        <v>148731.71758821476</v>
      </c>
      <c r="Y233" s="5">
        <f t="shared" si="151"/>
        <v>100000</v>
      </c>
      <c r="Z233" s="215">
        <f t="shared" si="131"/>
        <v>1</v>
      </c>
      <c r="AA233" s="216">
        <f t="shared" si="152"/>
        <v>0</v>
      </c>
      <c r="AB233" s="72">
        <f t="shared" si="159"/>
        <v>13188.158705474159</v>
      </c>
      <c r="AC233" s="72">
        <f t="shared" si="132"/>
        <v>0</v>
      </c>
      <c r="AD233" s="72">
        <f t="shared" si="133"/>
        <v>0</v>
      </c>
      <c r="AE233" s="72">
        <f t="shared" si="153"/>
        <v>-30.971661847457192</v>
      </c>
      <c r="AF233" s="70">
        <f t="shared" si="134"/>
        <v>0</v>
      </c>
      <c r="AG233" s="70">
        <f t="shared" si="135"/>
        <v>10341.394286127632</v>
      </c>
      <c r="AH233" s="1">
        <f t="shared" si="166"/>
        <v>0</v>
      </c>
      <c r="AI233" s="1">
        <f t="shared" si="166"/>
        <v>0</v>
      </c>
      <c r="AJ233" s="1">
        <f t="shared" si="166"/>
        <v>0</v>
      </c>
      <c r="AK233" s="1">
        <f t="shared" si="166"/>
        <v>0</v>
      </c>
      <c r="AL233" s="1">
        <f t="shared" si="166"/>
        <v>0</v>
      </c>
      <c r="AM233" s="1">
        <f t="shared" si="166"/>
        <v>0</v>
      </c>
      <c r="AN233" s="1">
        <f t="shared" si="166"/>
        <v>1</v>
      </c>
      <c r="AO233" s="1">
        <f t="shared" si="166"/>
        <v>1</v>
      </c>
      <c r="AP233" s="1">
        <f t="shared" si="166"/>
        <v>1</v>
      </c>
      <c r="AQ233" s="1">
        <f t="shared" si="166"/>
        <v>1</v>
      </c>
      <c r="AR233" s="1">
        <f t="shared" si="166"/>
        <v>1</v>
      </c>
      <c r="AS233" s="1">
        <f t="shared" si="166"/>
        <v>1</v>
      </c>
      <c r="AT233" s="39">
        <f t="shared" si="136"/>
        <v>148731.71758821476</v>
      </c>
      <c r="AU233" s="39">
        <f t="shared" si="154"/>
        <v>148731.71758821476</v>
      </c>
      <c r="AV233" s="39">
        <f t="shared" si="165"/>
        <v>0</v>
      </c>
      <c r="AW233" s="3">
        <f t="shared" si="137"/>
        <v>159</v>
      </c>
      <c r="AX233" s="69">
        <f t="shared" si="155"/>
        <v>0</v>
      </c>
      <c r="AY233" s="75">
        <f t="shared" si="138"/>
        <v>0</v>
      </c>
      <c r="AZ233" s="75">
        <f t="shared" si="139"/>
        <v>0</v>
      </c>
      <c r="BA233" s="75">
        <f t="shared" si="140"/>
        <v>0</v>
      </c>
      <c r="BB233" s="75">
        <f t="shared" si="141"/>
        <v>0</v>
      </c>
      <c r="BD233" s="214">
        <f t="shared" si="156"/>
        <v>164345.38346523509</v>
      </c>
      <c r="BE233" s="214">
        <f t="shared" si="142"/>
        <v>799.9594641977252</v>
      </c>
      <c r="BF233" s="214">
        <f t="shared" si="143"/>
        <v>-271.94089753180202</v>
      </c>
      <c r="BG233" s="224">
        <f t="shared" si="161"/>
        <v>0</v>
      </c>
      <c r="BH233" s="19">
        <f t="shared" si="157"/>
        <v>213230.99640723885</v>
      </c>
      <c r="BI233" s="214">
        <f t="shared" si="144"/>
        <v>1037.912657110717</v>
      </c>
      <c r="BJ233" s="214">
        <f t="shared" si="145"/>
        <v>0</v>
      </c>
      <c r="BK233" s="19">
        <f t="shared" si="162"/>
        <v>0</v>
      </c>
    </row>
    <row r="234" spans="1:63">
      <c r="A234" s="165">
        <f t="shared" si="146"/>
        <v>75.306125941136202</v>
      </c>
      <c r="B234" s="69">
        <f t="shared" si="147"/>
        <v>14</v>
      </c>
      <c r="C234" s="70">
        <f t="shared" si="148"/>
        <v>160</v>
      </c>
      <c r="D234" s="13">
        <f t="shared" si="117"/>
        <v>4.8675505653430484E-3</v>
      </c>
      <c r="E234" s="15">
        <f t="shared" si="118"/>
        <v>1</v>
      </c>
      <c r="F234" s="15">
        <f t="shared" si="149"/>
        <v>0</v>
      </c>
      <c r="G234" s="15">
        <f t="shared" si="119"/>
        <v>0</v>
      </c>
      <c r="H234" s="73">
        <f t="shared" si="120"/>
        <v>0</v>
      </c>
      <c r="I234" s="189"/>
      <c r="J234" s="189"/>
      <c r="K234" s="5">
        <f t="shared" si="163"/>
        <v>148731.71758821476</v>
      </c>
      <c r="M234" s="5">
        <f t="shared" si="121"/>
        <v>723.95915603095739</v>
      </c>
      <c r="N234" s="5">
        <f t="shared" si="122"/>
        <v>-246.10509841879096</v>
      </c>
      <c r="O234" s="5">
        <f t="shared" si="123"/>
        <v>0</v>
      </c>
      <c r="P234" s="5">
        <f t="shared" si="124"/>
        <v>0</v>
      </c>
      <c r="Q234" s="5">
        <f t="shared" si="158"/>
        <v>0</v>
      </c>
      <c r="R234" s="5">
        <f t="shared" si="150"/>
        <v>0</v>
      </c>
      <c r="S234" s="5">
        <f t="shared" si="125"/>
        <v>0</v>
      </c>
      <c r="T234" s="5">
        <f t="shared" si="126"/>
        <v>0</v>
      </c>
      <c r="U234" s="74">
        <f t="shared" si="127"/>
        <v>0</v>
      </c>
      <c r="V234" s="75">
        <f t="shared" si="128"/>
        <v>0</v>
      </c>
      <c r="W234" s="5">
        <f t="shared" si="129"/>
        <v>0</v>
      </c>
      <c r="X234" s="5">
        <f t="shared" si="130"/>
        <v>149209.57164582692</v>
      </c>
      <c r="Y234" s="5">
        <f t="shared" si="151"/>
        <v>100000</v>
      </c>
      <c r="Z234" s="215">
        <f t="shared" si="131"/>
        <v>1</v>
      </c>
      <c r="AA234" s="216">
        <f t="shared" si="152"/>
        <v>0</v>
      </c>
      <c r="AB234" s="72">
        <f t="shared" si="159"/>
        <v>13188.158705474159</v>
      </c>
      <c r="AC234" s="72">
        <f t="shared" si="132"/>
        <v>0</v>
      </c>
      <c r="AD234" s="72">
        <f t="shared" si="133"/>
        <v>0</v>
      </c>
      <c r="AE234" s="72">
        <f t="shared" si="153"/>
        <v>-31.071169434169629</v>
      </c>
      <c r="AF234" s="70">
        <f t="shared" si="134"/>
        <v>0</v>
      </c>
      <c r="AG234" s="70">
        <f t="shared" si="135"/>
        <v>10522.978828020254</v>
      </c>
      <c r="AH234" s="1">
        <f t="shared" si="166"/>
        <v>0</v>
      </c>
      <c r="AI234" s="1">
        <f t="shared" si="166"/>
        <v>0</v>
      </c>
      <c r="AJ234" s="1">
        <f t="shared" si="166"/>
        <v>0</v>
      </c>
      <c r="AK234" s="1">
        <f t="shared" si="166"/>
        <v>0</v>
      </c>
      <c r="AL234" s="1">
        <f t="shared" si="166"/>
        <v>0</v>
      </c>
      <c r="AM234" s="1">
        <f t="shared" si="166"/>
        <v>0</v>
      </c>
      <c r="AN234" s="1">
        <f t="shared" si="166"/>
        <v>1</v>
      </c>
      <c r="AO234" s="1">
        <f t="shared" si="166"/>
        <v>1</v>
      </c>
      <c r="AP234" s="1">
        <f t="shared" si="166"/>
        <v>1</v>
      </c>
      <c r="AQ234" s="1">
        <f t="shared" si="166"/>
        <v>1</v>
      </c>
      <c r="AR234" s="1">
        <f t="shared" si="166"/>
        <v>1</v>
      </c>
      <c r="AS234" s="1">
        <f t="shared" si="166"/>
        <v>1</v>
      </c>
      <c r="AT234" s="39">
        <f t="shared" si="136"/>
        <v>149209.57164582692</v>
      </c>
      <c r="AU234" s="39">
        <f t="shared" si="154"/>
        <v>149209.57164582692</v>
      </c>
      <c r="AV234" s="39">
        <f t="shared" si="165"/>
        <v>0</v>
      </c>
      <c r="AW234" s="3">
        <f t="shared" si="137"/>
        <v>160</v>
      </c>
      <c r="AX234" s="69">
        <f t="shared" si="155"/>
        <v>0</v>
      </c>
      <c r="AY234" s="75">
        <f t="shared" si="138"/>
        <v>0</v>
      </c>
      <c r="AZ234" s="75">
        <f t="shared" si="139"/>
        <v>0</v>
      </c>
      <c r="BA234" s="75">
        <f t="shared" si="140"/>
        <v>0</v>
      </c>
      <c r="BB234" s="75">
        <f t="shared" si="141"/>
        <v>0</v>
      </c>
      <c r="BD234" s="214">
        <f t="shared" si="156"/>
        <v>164873.402031901</v>
      </c>
      <c r="BE234" s="214">
        <f t="shared" si="142"/>
        <v>802.52962127041144</v>
      </c>
      <c r="BF234" s="214">
        <f t="shared" si="143"/>
        <v>-272.81460532879015</v>
      </c>
      <c r="BG234" s="224">
        <f t="shared" si="161"/>
        <v>0</v>
      </c>
      <c r="BH234" s="19">
        <f t="shared" si="157"/>
        <v>214268.90906434957</v>
      </c>
      <c r="BI234" s="214">
        <f t="shared" si="144"/>
        <v>1042.964749451613</v>
      </c>
      <c r="BJ234" s="214">
        <f t="shared" si="145"/>
        <v>0</v>
      </c>
      <c r="BK234" s="19">
        <f t="shared" si="162"/>
        <v>0</v>
      </c>
    </row>
    <row r="235" spans="1:63">
      <c r="A235" s="165">
        <f t="shared" si="146"/>
        <v>75.389459274469544</v>
      </c>
      <c r="B235" s="69">
        <f t="shared" si="147"/>
        <v>14</v>
      </c>
      <c r="C235" s="70">
        <f t="shared" si="148"/>
        <v>161</v>
      </c>
      <c r="D235" s="13">
        <f t="shared" si="117"/>
        <v>4.8675505653430484E-3</v>
      </c>
      <c r="E235" s="15">
        <f t="shared" si="118"/>
        <v>1</v>
      </c>
      <c r="F235" s="15">
        <f t="shared" si="149"/>
        <v>0</v>
      </c>
      <c r="G235" s="15">
        <f t="shared" si="119"/>
        <v>0</v>
      </c>
      <c r="H235" s="73">
        <f t="shared" si="120"/>
        <v>0</v>
      </c>
      <c r="I235" s="189"/>
      <c r="J235" s="189"/>
      <c r="K235" s="5">
        <f t="shared" si="163"/>
        <v>149209.57164582692</v>
      </c>
      <c r="M235" s="5">
        <f t="shared" si="121"/>
        <v>726.28513481923892</v>
      </c>
      <c r="N235" s="5">
        <f t="shared" si="122"/>
        <v>-246.8957994325724</v>
      </c>
      <c r="O235" s="5">
        <f t="shared" si="123"/>
        <v>0</v>
      </c>
      <c r="P235" s="5">
        <f t="shared" si="124"/>
        <v>0</v>
      </c>
      <c r="Q235" s="5">
        <f t="shared" si="158"/>
        <v>0</v>
      </c>
      <c r="R235" s="5">
        <f t="shared" si="150"/>
        <v>0</v>
      </c>
      <c r="S235" s="5">
        <f t="shared" si="125"/>
        <v>0</v>
      </c>
      <c r="T235" s="5">
        <f t="shared" si="126"/>
        <v>0</v>
      </c>
      <c r="U235" s="74">
        <f t="shared" si="127"/>
        <v>0</v>
      </c>
      <c r="V235" s="75">
        <f t="shared" si="128"/>
        <v>0</v>
      </c>
      <c r="W235" s="5">
        <f t="shared" si="129"/>
        <v>0</v>
      </c>
      <c r="X235" s="5">
        <f t="shared" si="130"/>
        <v>149688.9609812136</v>
      </c>
      <c r="Y235" s="5">
        <f t="shared" si="151"/>
        <v>100000</v>
      </c>
      <c r="Z235" s="215">
        <f t="shared" si="131"/>
        <v>1</v>
      </c>
      <c r="AA235" s="216">
        <f t="shared" si="152"/>
        <v>0</v>
      </c>
      <c r="AB235" s="72">
        <f t="shared" si="159"/>
        <v>13188.158705474159</v>
      </c>
      <c r="AC235" s="72">
        <f t="shared" si="132"/>
        <v>0</v>
      </c>
      <c r="AD235" s="72">
        <f t="shared" si="133"/>
        <v>0</v>
      </c>
      <c r="AE235" s="72">
        <f t="shared" si="153"/>
        <v>-31.170996724741094</v>
      </c>
      <c r="AF235" s="70">
        <f t="shared" si="134"/>
        <v>0</v>
      </c>
      <c r="AG235" s="70">
        <f t="shared" si="135"/>
        <v>10705.146775467196</v>
      </c>
      <c r="AH235" s="1">
        <f t="shared" ref="AH235:AS244" si="167">IF($B235&lt;=AH$74,1,0)</f>
        <v>0</v>
      </c>
      <c r="AI235" s="1">
        <f t="shared" si="167"/>
        <v>0</v>
      </c>
      <c r="AJ235" s="1">
        <f t="shared" si="167"/>
        <v>0</v>
      </c>
      <c r="AK235" s="1">
        <f t="shared" si="167"/>
        <v>0</v>
      </c>
      <c r="AL235" s="1">
        <f t="shared" si="167"/>
        <v>0</v>
      </c>
      <c r="AM235" s="1">
        <f t="shared" si="167"/>
        <v>0</v>
      </c>
      <c r="AN235" s="1">
        <f t="shared" si="167"/>
        <v>1</v>
      </c>
      <c r="AO235" s="1">
        <f t="shared" si="167"/>
        <v>1</v>
      </c>
      <c r="AP235" s="1">
        <f t="shared" si="167"/>
        <v>1</v>
      </c>
      <c r="AQ235" s="1">
        <f t="shared" si="167"/>
        <v>1</v>
      </c>
      <c r="AR235" s="1">
        <f t="shared" si="167"/>
        <v>1</v>
      </c>
      <c r="AS235" s="1">
        <f t="shared" si="167"/>
        <v>1</v>
      </c>
      <c r="AT235" s="39">
        <f t="shared" si="136"/>
        <v>149688.9609812136</v>
      </c>
      <c r="AU235" s="39">
        <f t="shared" si="154"/>
        <v>149688.9609812136</v>
      </c>
      <c r="AV235" s="39">
        <f t="shared" si="165"/>
        <v>0</v>
      </c>
      <c r="AW235" s="3">
        <f t="shared" si="137"/>
        <v>161</v>
      </c>
      <c r="AX235" s="69">
        <f t="shared" si="155"/>
        <v>0</v>
      </c>
      <c r="AY235" s="75">
        <f t="shared" si="138"/>
        <v>0</v>
      </c>
      <c r="AZ235" s="75">
        <f t="shared" si="139"/>
        <v>0</v>
      </c>
      <c r="BA235" s="75">
        <f t="shared" si="140"/>
        <v>0</v>
      </c>
      <c r="BB235" s="75">
        <f t="shared" si="141"/>
        <v>0</v>
      </c>
      <c r="BD235" s="214">
        <f t="shared" si="156"/>
        <v>165403.11704784262</v>
      </c>
      <c r="BE235" s="214">
        <f t="shared" si="142"/>
        <v>805.10803589572879</v>
      </c>
      <c r="BF235" s="214">
        <f t="shared" si="143"/>
        <v>-273.69112022585574</v>
      </c>
      <c r="BG235" s="224">
        <f t="shared" si="161"/>
        <v>0</v>
      </c>
      <c r="BH235" s="19">
        <f t="shared" si="157"/>
        <v>215311.87381380118</v>
      </c>
      <c r="BI235" s="214">
        <f t="shared" si="144"/>
        <v>1048.0414331074392</v>
      </c>
      <c r="BJ235" s="214">
        <f t="shared" si="145"/>
        <v>0</v>
      </c>
      <c r="BK235" s="19">
        <f t="shared" si="162"/>
        <v>0</v>
      </c>
    </row>
    <row r="236" spans="1:63">
      <c r="A236" s="165">
        <f t="shared" si="146"/>
        <v>75.472792607802873</v>
      </c>
      <c r="B236" s="69">
        <f t="shared" si="147"/>
        <v>14</v>
      </c>
      <c r="C236" s="70">
        <f t="shared" si="148"/>
        <v>162</v>
      </c>
      <c r="D236" s="13">
        <f t="shared" si="117"/>
        <v>4.8675505653430484E-3</v>
      </c>
      <c r="E236" s="15">
        <f t="shared" si="118"/>
        <v>1</v>
      </c>
      <c r="F236" s="15">
        <f t="shared" si="149"/>
        <v>0</v>
      </c>
      <c r="G236" s="15">
        <f t="shared" si="119"/>
        <v>0</v>
      </c>
      <c r="H236" s="73">
        <f t="shared" si="120"/>
        <v>0</v>
      </c>
      <c r="I236" s="189"/>
      <c r="J236" s="189"/>
      <c r="K236" s="5">
        <f t="shared" si="163"/>
        <v>149688.9609812136</v>
      </c>
      <c r="M236" s="5">
        <f t="shared" si="121"/>
        <v>728.61858664971976</v>
      </c>
      <c r="N236" s="5">
        <f t="shared" si="122"/>
        <v>-247.68904085732959</v>
      </c>
      <c r="O236" s="5">
        <f t="shared" si="123"/>
        <v>0</v>
      </c>
      <c r="P236" s="5">
        <f t="shared" si="124"/>
        <v>0</v>
      </c>
      <c r="Q236" s="5">
        <f t="shared" si="158"/>
        <v>0</v>
      </c>
      <c r="R236" s="5">
        <f t="shared" si="150"/>
        <v>0</v>
      </c>
      <c r="S236" s="5">
        <f t="shared" si="125"/>
        <v>0</v>
      </c>
      <c r="T236" s="5">
        <f t="shared" si="126"/>
        <v>0</v>
      </c>
      <c r="U236" s="74">
        <f t="shared" si="127"/>
        <v>0</v>
      </c>
      <c r="V236" s="75">
        <f t="shared" si="128"/>
        <v>0</v>
      </c>
      <c r="W236" s="5">
        <f t="shared" si="129"/>
        <v>0</v>
      </c>
      <c r="X236" s="5">
        <f t="shared" si="130"/>
        <v>150169.89052700598</v>
      </c>
      <c r="Y236" s="5">
        <f t="shared" si="151"/>
        <v>100000</v>
      </c>
      <c r="Z236" s="215">
        <f t="shared" si="131"/>
        <v>1</v>
      </c>
      <c r="AA236" s="216">
        <f t="shared" si="152"/>
        <v>0</v>
      </c>
      <c r="AB236" s="72">
        <f t="shared" si="159"/>
        <v>13188.158705474159</v>
      </c>
      <c r="AC236" s="72">
        <f t="shared" si="132"/>
        <v>0</v>
      </c>
      <c r="AD236" s="72">
        <f t="shared" si="133"/>
        <v>0</v>
      </c>
      <c r="AE236" s="72">
        <f t="shared" si="153"/>
        <v>-31.271144746335079</v>
      </c>
      <c r="AF236" s="70">
        <f t="shared" si="134"/>
        <v>0</v>
      </c>
      <c r="AG236" s="70">
        <f t="shared" si="135"/>
        <v>10887.900002868295</v>
      </c>
      <c r="AH236" s="1">
        <f t="shared" si="167"/>
        <v>0</v>
      </c>
      <c r="AI236" s="1">
        <f t="shared" si="167"/>
        <v>0</v>
      </c>
      <c r="AJ236" s="1">
        <f t="shared" si="167"/>
        <v>0</v>
      </c>
      <c r="AK236" s="1">
        <f t="shared" si="167"/>
        <v>0</v>
      </c>
      <c r="AL236" s="1">
        <f t="shared" si="167"/>
        <v>0</v>
      </c>
      <c r="AM236" s="1">
        <f t="shared" si="167"/>
        <v>0</v>
      </c>
      <c r="AN236" s="1">
        <f t="shared" si="167"/>
        <v>1</v>
      </c>
      <c r="AO236" s="1">
        <f t="shared" si="167"/>
        <v>1</v>
      </c>
      <c r="AP236" s="1">
        <f t="shared" si="167"/>
        <v>1</v>
      </c>
      <c r="AQ236" s="1">
        <f t="shared" si="167"/>
        <v>1</v>
      </c>
      <c r="AR236" s="1">
        <f t="shared" si="167"/>
        <v>1</v>
      </c>
      <c r="AS236" s="1">
        <f t="shared" si="167"/>
        <v>1</v>
      </c>
      <c r="AT236" s="39">
        <f t="shared" si="136"/>
        <v>150169.89052700598</v>
      </c>
      <c r="AU236" s="39">
        <f t="shared" si="154"/>
        <v>150169.89052700598</v>
      </c>
      <c r="AV236" s="39">
        <f t="shared" si="165"/>
        <v>0</v>
      </c>
      <c r="AW236" s="3">
        <f t="shared" si="137"/>
        <v>162</v>
      </c>
      <c r="AX236" s="69">
        <f t="shared" si="155"/>
        <v>0</v>
      </c>
      <c r="AY236" s="75">
        <f t="shared" si="138"/>
        <v>0</v>
      </c>
      <c r="AZ236" s="75">
        <f t="shared" si="139"/>
        <v>0</v>
      </c>
      <c r="BA236" s="75">
        <f t="shared" si="140"/>
        <v>0</v>
      </c>
      <c r="BB236" s="75">
        <f t="shared" si="141"/>
        <v>0</v>
      </c>
      <c r="BD236" s="214">
        <f t="shared" si="156"/>
        <v>165934.53396351251</v>
      </c>
      <c r="BE236" s="214">
        <f t="shared" si="142"/>
        <v>807.6947346040306</v>
      </c>
      <c r="BF236" s="214">
        <f t="shared" si="143"/>
        <v>-274.57045124181593</v>
      </c>
      <c r="BG236" s="224">
        <f t="shared" si="161"/>
        <v>0</v>
      </c>
      <c r="BH236" s="19">
        <f t="shared" si="157"/>
        <v>216359.91524690861</v>
      </c>
      <c r="BI236" s="214">
        <f t="shared" si="144"/>
        <v>1053.142827777664</v>
      </c>
      <c r="BJ236" s="214">
        <f t="shared" si="145"/>
        <v>0</v>
      </c>
      <c r="BK236" s="19">
        <f t="shared" si="162"/>
        <v>0</v>
      </c>
    </row>
    <row r="237" spans="1:63">
      <c r="A237" s="165">
        <f t="shared" si="146"/>
        <v>75.556125941136202</v>
      </c>
      <c r="B237" s="69">
        <f t="shared" si="147"/>
        <v>14</v>
      </c>
      <c r="C237" s="70">
        <f t="shared" si="148"/>
        <v>163</v>
      </c>
      <c r="D237" s="13">
        <f t="shared" si="117"/>
        <v>4.8675505653430484E-3</v>
      </c>
      <c r="E237" s="15">
        <f t="shared" si="118"/>
        <v>1</v>
      </c>
      <c r="F237" s="15">
        <f t="shared" si="149"/>
        <v>0</v>
      </c>
      <c r="G237" s="15">
        <f t="shared" si="119"/>
        <v>0</v>
      </c>
      <c r="H237" s="73">
        <f t="shared" si="120"/>
        <v>0</v>
      </c>
      <c r="I237" s="189"/>
      <c r="J237" s="189"/>
      <c r="K237" s="5">
        <f t="shared" si="163"/>
        <v>150169.89052700598</v>
      </c>
      <c r="M237" s="5">
        <f t="shared" si="121"/>
        <v>730.9595355322316</v>
      </c>
      <c r="N237" s="5">
        <f t="shared" si="122"/>
        <v>-248.48483085504503</v>
      </c>
      <c r="O237" s="5">
        <f t="shared" si="123"/>
        <v>0</v>
      </c>
      <c r="P237" s="5">
        <f t="shared" si="124"/>
        <v>0</v>
      </c>
      <c r="Q237" s="5">
        <f t="shared" si="158"/>
        <v>0</v>
      </c>
      <c r="R237" s="5">
        <f t="shared" si="150"/>
        <v>0</v>
      </c>
      <c r="S237" s="5">
        <f t="shared" si="125"/>
        <v>0</v>
      </c>
      <c r="T237" s="5">
        <f t="shared" si="126"/>
        <v>0</v>
      </c>
      <c r="U237" s="74">
        <f t="shared" si="127"/>
        <v>0</v>
      </c>
      <c r="V237" s="75">
        <f t="shared" si="128"/>
        <v>0</v>
      </c>
      <c r="W237" s="5">
        <f t="shared" si="129"/>
        <v>0</v>
      </c>
      <c r="X237" s="5">
        <f t="shared" si="130"/>
        <v>150652.36523168316</v>
      </c>
      <c r="Y237" s="5">
        <f t="shared" si="151"/>
        <v>100000</v>
      </c>
      <c r="Z237" s="215">
        <f t="shared" si="131"/>
        <v>1</v>
      </c>
      <c r="AA237" s="216">
        <f t="shared" si="152"/>
        <v>0</v>
      </c>
      <c r="AB237" s="72">
        <f t="shared" si="159"/>
        <v>13188.158705474159</v>
      </c>
      <c r="AC237" s="72">
        <f t="shared" si="132"/>
        <v>0</v>
      </c>
      <c r="AD237" s="72">
        <f t="shared" si="133"/>
        <v>0</v>
      </c>
      <c r="AE237" s="72">
        <f t="shared" si="153"/>
        <v>-31.371614529415137</v>
      </c>
      <c r="AF237" s="70">
        <f t="shared" si="134"/>
        <v>0</v>
      </c>
      <c r="AG237" s="70">
        <f t="shared" si="135"/>
        <v>11071.240390645626</v>
      </c>
      <c r="AH237" s="1">
        <f t="shared" si="167"/>
        <v>0</v>
      </c>
      <c r="AI237" s="1">
        <f t="shared" si="167"/>
        <v>0</v>
      </c>
      <c r="AJ237" s="1">
        <f t="shared" si="167"/>
        <v>0</v>
      </c>
      <c r="AK237" s="1">
        <f t="shared" si="167"/>
        <v>0</v>
      </c>
      <c r="AL237" s="1">
        <f t="shared" si="167"/>
        <v>0</v>
      </c>
      <c r="AM237" s="1">
        <f t="shared" si="167"/>
        <v>0</v>
      </c>
      <c r="AN237" s="1">
        <f t="shared" si="167"/>
        <v>1</v>
      </c>
      <c r="AO237" s="1">
        <f t="shared" si="167"/>
        <v>1</v>
      </c>
      <c r="AP237" s="1">
        <f t="shared" si="167"/>
        <v>1</v>
      </c>
      <c r="AQ237" s="1">
        <f t="shared" si="167"/>
        <v>1</v>
      </c>
      <c r="AR237" s="1">
        <f t="shared" si="167"/>
        <v>1</v>
      </c>
      <c r="AS237" s="1">
        <f t="shared" si="167"/>
        <v>1</v>
      </c>
      <c r="AT237" s="39">
        <f t="shared" si="136"/>
        <v>150652.36523168316</v>
      </c>
      <c r="AU237" s="39">
        <f t="shared" si="154"/>
        <v>150652.36523168316</v>
      </c>
      <c r="AV237" s="39">
        <f t="shared" si="165"/>
        <v>0</v>
      </c>
      <c r="AW237" s="3">
        <f t="shared" si="137"/>
        <v>163</v>
      </c>
      <c r="AX237" s="69">
        <f t="shared" si="155"/>
        <v>0</v>
      </c>
      <c r="AY237" s="75">
        <f t="shared" si="138"/>
        <v>0</v>
      </c>
      <c r="AZ237" s="75">
        <f t="shared" si="139"/>
        <v>0</v>
      </c>
      <c r="BA237" s="75">
        <f t="shared" si="140"/>
        <v>0</v>
      </c>
      <c r="BB237" s="75">
        <f t="shared" si="141"/>
        <v>0</v>
      </c>
      <c r="BD237" s="214">
        <f t="shared" si="156"/>
        <v>166467.65824687475</v>
      </c>
      <c r="BE237" s="214">
        <f t="shared" si="142"/>
        <v>810.28974401090852</v>
      </c>
      <c r="BF237" s="214">
        <f t="shared" si="143"/>
        <v>-275.45260742446402</v>
      </c>
      <c r="BG237" s="224">
        <f t="shared" si="161"/>
        <v>0</v>
      </c>
      <c r="BH237" s="19">
        <f t="shared" si="157"/>
        <v>217413.05807468627</v>
      </c>
      <c r="BI237" s="214">
        <f t="shared" si="144"/>
        <v>1058.2690537444003</v>
      </c>
      <c r="BJ237" s="214">
        <f t="shared" si="145"/>
        <v>0</v>
      </c>
      <c r="BK237" s="19">
        <f t="shared" si="162"/>
        <v>0</v>
      </c>
    </row>
    <row r="238" spans="1:63">
      <c r="A238" s="165">
        <f t="shared" si="146"/>
        <v>75.639459274469544</v>
      </c>
      <c r="B238" s="69">
        <f t="shared" si="147"/>
        <v>14</v>
      </c>
      <c r="C238" s="70">
        <f t="shared" si="148"/>
        <v>164</v>
      </c>
      <c r="D238" s="13">
        <f t="shared" si="117"/>
        <v>4.8675505653430484E-3</v>
      </c>
      <c r="E238" s="15">
        <f t="shared" si="118"/>
        <v>1</v>
      </c>
      <c r="F238" s="15">
        <f t="shared" si="149"/>
        <v>0</v>
      </c>
      <c r="G238" s="15">
        <f t="shared" si="119"/>
        <v>0</v>
      </c>
      <c r="H238" s="73">
        <f t="shared" si="120"/>
        <v>0</v>
      </c>
      <c r="I238" s="189"/>
      <c r="J238" s="189"/>
      <c r="K238" s="5">
        <f t="shared" si="163"/>
        <v>150652.36523168316</v>
      </c>
      <c r="M238" s="5">
        <f t="shared" si="121"/>
        <v>733.30800555374674</v>
      </c>
      <c r="N238" s="5">
        <f t="shared" si="122"/>
        <v>-249.28317761392466</v>
      </c>
      <c r="O238" s="5">
        <f t="shared" si="123"/>
        <v>0</v>
      </c>
      <c r="P238" s="5">
        <f t="shared" si="124"/>
        <v>0</v>
      </c>
      <c r="Q238" s="5">
        <f t="shared" si="158"/>
        <v>0</v>
      </c>
      <c r="R238" s="5">
        <f t="shared" si="150"/>
        <v>0</v>
      </c>
      <c r="S238" s="5">
        <f t="shared" si="125"/>
        <v>0</v>
      </c>
      <c r="T238" s="5">
        <f t="shared" si="126"/>
        <v>0</v>
      </c>
      <c r="U238" s="74">
        <f t="shared" si="127"/>
        <v>0</v>
      </c>
      <c r="V238" s="75">
        <f t="shared" si="128"/>
        <v>0</v>
      </c>
      <c r="W238" s="5">
        <f t="shared" si="129"/>
        <v>0</v>
      </c>
      <c r="X238" s="5">
        <f t="shared" si="130"/>
        <v>151136.39005962299</v>
      </c>
      <c r="Y238" s="5">
        <f t="shared" si="151"/>
        <v>100000</v>
      </c>
      <c r="Z238" s="215">
        <f t="shared" si="131"/>
        <v>1</v>
      </c>
      <c r="AA238" s="216">
        <f t="shared" si="152"/>
        <v>0</v>
      </c>
      <c r="AB238" s="72">
        <f t="shared" si="159"/>
        <v>13188.158705474159</v>
      </c>
      <c r="AC238" s="72">
        <f t="shared" si="132"/>
        <v>0</v>
      </c>
      <c r="AD238" s="72">
        <f t="shared" si="133"/>
        <v>0</v>
      </c>
      <c r="AE238" s="72">
        <f t="shared" si="153"/>
        <v>-31.472407107755625</v>
      </c>
      <c r="AF238" s="70">
        <f t="shared" si="134"/>
        <v>0</v>
      </c>
      <c r="AG238" s="70">
        <f t="shared" si="135"/>
        <v>11255.169825262763</v>
      </c>
      <c r="AH238" s="1">
        <f t="shared" si="167"/>
        <v>0</v>
      </c>
      <c r="AI238" s="1">
        <f t="shared" si="167"/>
        <v>0</v>
      </c>
      <c r="AJ238" s="1">
        <f t="shared" si="167"/>
        <v>0</v>
      </c>
      <c r="AK238" s="1">
        <f t="shared" si="167"/>
        <v>0</v>
      </c>
      <c r="AL238" s="1">
        <f t="shared" si="167"/>
        <v>0</v>
      </c>
      <c r="AM238" s="1">
        <f t="shared" si="167"/>
        <v>0</v>
      </c>
      <c r="AN238" s="1">
        <f t="shared" si="167"/>
        <v>1</v>
      </c>
      <c r="AO238" s="1">
        <f t="shared" si="167"/>
        <v>1</v>
      </c>
      <c r="AP238" s="1">
        <f t="shared" si="167"/>
        <v>1</v>
      </c>
      <c r="AQ238" s="1">
        <f t="shared" si="167"/>
        <v>1</v>
      </c>
      <c r="AR238" s="1">
        <f t="shared" si="167"/>
        <v>1</v>
      </c>
      <c r="AS238" s="1">
        <f t="shared" si="167"/>
        <v>1</v>
      </c>
      <c r="AT238" s="39">
        <f t="shared" si="136"/>
        <v>151136.39005962299</v>
      </c>
      <c r="AU238" s="39">
        <f t="shared" si="154"/>
        <v>151136.39005962299</v>
      </c>
      <c r="AV238" s="39">
        <f t="shared" si="165"/>
        <v>0</v>
      </c>
      <c r="AW238" s="3">
        <f t="shared" si="137"/>
        <v>164</v>
      </c>
      <c r="AX238" s="69">
        <f t="shared" si="155"/>
        <v>0</v>
      </c>
      <c r="AY238" s="75">
        <f t="shared" si="138"/>
        <v>0</v>
      </c>
      <c r="AZ238" s="75">
        <f t="shared" si="139"/>
        <v>0</v>
      </c>
      <c r="BA238" s="75">
        <f t="shared" si="140"/>
        <v>0</v>
      </c>
      <c r="BB238" s="75">
        <f t="shared" si="141"/>
        <v>0</v>
      </c>
      <c r="BD238" s="214">
        <f t="shared" si="156"/>
        <v>167002.49538346121</v>
      </c>
      <c r="BE238" s="214">
        <f t="shared" si="142"/>
        <v>812.89309081746649</v>
      </c>
      <c r="BF238" s="214">
        <f t="shared" si="143"/>
        <v>-276.33759785066258</v>
      </c>
      <c r="BG238" s="224">
        <f t="shared" si="161"/>
        <v>0</v>
      </c>
      <c r="BH238" s="19">
        <f t="shared" si="157"/>
        <v>218471.32712843068</v>
      </c>
      <c r="BI238" s="214">
        <f t="shared" si="144"/>
        <v>1063.4202318752389</v>
      </c>
      <c r="BJ238" s="214">
        <f t="shared" si="145"/>
        <v>0</v>
      </c>
      <c r="BK238" s="19">
        <f t="shared" si="162"/>
        <v>0</v>
      </c>
    </row>
    <row r="239" spans="1:63">
      <c r="A239" s="165">
        <f t="shared" si="146"/>
        <v>75.722792607802873</v>
      </c>
      <c r="B239" s="69">
        <f t="shared" si="147"/>
        <v>14</v>
      </c>
      <c r="C239" s="70">
        <f t="shared" si="148"/>
        <v>165</v>
      </c>
      <c r="D239" s="13">
        <f t="shared" si="117"/>
        <v>4.8675505653430484E-3</v>
      </c>
      <c r="E239" s="15">
        <f t="shared" si="118"/>
        <v>1</v>
      </c>
      <c r="F239" s="15">
        <f t="shared" si="149"/>
        <v>0</v>
      </c>
      <c r="G239" s="15">
        <f t="shared" si="119"/>
        <v>0</v>
      </c>
      <c r="H239" s="73">
        <f t="shared" si="120"/>
        <v>0</v>
      </c>
      <c r="I239" s="189"/>
      <c r="J239" s="189"/>
      <c r="K239" s="5">
        <f t="shared" si="163"/>
        <v>151136.39005962299</v>
      </c>
      <c r="M239" s="5">
        <f t="shared" si="121"/>
        <v>735.66402087862537</v>
      </c>
      <c r="N239" s="5">
        <f t="shared" si="122"/>
        <v>-250.08408934848202</v>
      </c>
      <c r="O239" s="5">
        <f t="shared" si="123"/>
        <v>0</v>
      </c>
      <c r="P239" s="5">
        <f t="shared" si="124"/>
        <v>0</v>
      </c>
      <c r="Q239" s="5">
        <f t="shared" si="158"/>
        <v>0</v>
      </c>
      <c r="R239" s="5">
        <f t="shared" si="150"/>
        <v>0</v>
      </c>
      <c r="S239" s="5">
        <f t="shared" si="125"/>
        <v>0</v>
      </c>
      <c r="T239" s="5">
        <f t="shared" si="126"/>
        <v>0</v>
      </c>
      <c r="U239" s="74">
        <f t="shared" si="127"/>
        <v>0</v>
      </c>
      <c r="V239" s="75">
        <f t="shared" si="128"/>
        <v>0</v>
      </c>
      <c r="W239" s="5">
        <f t="shared" si="129"/>
        <v>0</v>
      </c>
      <c r="X239" s="5">
        <f t="shared" si="130"/>
        <v>151621.96999115314</v>
      </c>
      <c r="Y239" s="5">
        <f t="shared" si="151"/>
        <v>100000</v>
      </c>
      <c r="Z239" s="215">
        <f t="shared" si="131"/>
        <v>1</v>
      </c>
      <c r="AA239" s="216">
        <f t="shared" si="152"/>
        <v>0</v>
      </c>
      <c r="AB239" s="72">
        <f t="shared" si="159"/>
        <v>13188.158705474159</v>
      </c>
      <c r="AC239" s="72">
        <f t="shared" si="132"/>
        <v>0</v>
      </c>
      <c r="AD239" s="72">
        <f t="shared" si="133"/>
        <v>0</v>
      </c>
      <c r="AE239" s="72">
        <f t="shared" si="153"/>
        <v>-31.573523518452244</v>
      </c>
      <c r="AF239" s="70">
        <f t="shared" si="134"/>
        <v>0</v>
      </c>
      <c r="AG239" s="70">
        <f t="shared" si="135"/>
        <v>11439.690199244216</v>
      </c>
      <c r="AH239" s="1">
        <f t="shared" si="167"/>
        <v>0</v>
      </c>
      <c r="AI239" s="1">
        <f t="shared" si="167"/>
        <v>0</v>
      </c>
      <c r="AJ239" s="1">
        <f t="shared" si="167"/>
        <v>0</v>
      </c>
      <c r="AK239" s="1">
        <f t="shared" si="167"/>
        <v>0</v>
      </c>
      <c r="AL239" s="1">
        <f t="shared" si="167"/>
        <v>0</v>
      </c>
      <c r="AM239" s="1">
        <f t="shared" si="167"/>
        <v>0</v>
      </c>
      <c r="AN239" s="1">
        <f t="shared" si="167"/>
        <v>1</v>
      </c>
      <c r="AO239" s="1">
        <f t="shared" si="167"/>
        <v>1</v>
      </c>
      <c r="AP239" s="1">
        <f t="shared" si="167"/>
        <v>1</v>
      </c>
      <c r="AQ239" s="1">
        <f t="shared" si="167"/>
        <v>1</v>
      </c>
      <c r="AR239" s="1">
        <f t="shared" si="167"/>
        <v>1</v>
      </c>
      <c r="AS239" s="1">
        <f t="shared" si="167"/>
        <v>1</v>
      </c>
      <c r="AT239" s="39">
        <f t="shared" si="136"/>
        <v>151621.96999115314</v>
      </c>
      <c r="AU239" s="39">
        <f t="shared" si="154"/>
        <v>151621.96999115314</v>
      </c>
      <c r="AV239" s="39">
        <f t="shared" si="165"/>
        <v>0</v>
      </c>
      <c r="AW239" s="3">
        <f t="shared" si="137"/>
        <v>165</v>
      </c>
      <c r="AX239" s="69">
        <f t="shared" si="155"/>
        <v>0</v>
      </c>
      <c r="AY239" s="75">
        <f t="shared" si="138"/>
        <v>0</v>
      </c>
      <c r="AZ239" s="75">
        <f t="shared" si="139"/>
        <v>0</v>
      </c>
      <c r="BA239" s="75">
        <f t="shared" si="140"/>
        <v>0</v>
      </c>
      <c r="BB239" s="75">
        <f t="shared" si="141"/>
        <v>0</v>
      </c>
      <c r="BD239" s="214">
        <f t="shared" si="156"/>
        <v>167539.05087642802</v>
      </c>
      <c r="BE239" s="214">
        <f t="shared" si="142"/>
        <v>815.50480181059493</v>
      </c>
      <c r="BF239" s="214">
        <f t="shared" si="143"/>
        <v>-277.22543162643683</v>
      </c>
      <c r="BG239" s="224">
        <f t="shared" si="161"/>
        <v>0</v>
      </c>
      <c r="BH239" s="19">
        <f t="shared" si="157"/>
        <v>219534.74736030592</v>
      </c>
      <c r="BI239" s="214">
        <f t="shared" si="144"/>
        <v>1068.5964836261003</v>
      </c>
      <c r="BJ239" s="214">
        <f t="shared" si="145"/>
        <v>0</v>
      </c>
      <c r="BK239" s="19">
        <f t="shared" si="162"/>
        <v>0</v>
      </c>
    </row>
    <row r="240" spans="1:63">
      <c r="A240" s="165">
        <f t="shared" si="146"/>
        <v>75.806125941136202</v>
      </c>
      <c r="B240" s="69">
        <f t="shared" si="147"/>
        <v>14</v>
      </c>
      <c r="C240" s="70">
        <f t="shared" si="148"/>
        <v>166</v>
      </c>
      <c r="D240" s="13">
        <f t="shared" si="117"/>
        <v>4.8675505653430484E-3</v>
      </c>
      <c r="E240" s="15">
        <f t="shared" si="118"/>
        <v>1</v>
      </c>
      <c r="F240" s="15">
        <f t="shared" si="149"/>
        <v>0</v>
      </c>
      <c r="G240" s="15">
        <f t="shared" si="119"/>
        <v>0</v>
      </c>
      <c r="H240" s="73">
        <f t="shared" si="120"/>
        <v>0</v>
      </c>
      <c r="I240" s="189"/>
      <c r="J240" s="189"/>
      <c r="K240" s="5">
        <f t="shared" si="163"/>
        <v>151621.96999115314</v>
      </c>
      <c r="M240" s="5">
        <f t="shared" si="121"/>
        <v>738.02760574886418</v>
      </c>
      <c r="N240" s="5">
        <f t="shared" si="122"/>
        <v>-250.88757429962257</v>
      </c>
      <c r="O240" s="5">
        <f t="shared" si="123"/>
        <v>0</v>
      </c>
      <c r="P240" s="5">
        <f t="shared" si="124"/>
        <v>0</v>
      </c>
      <c r="Q240" s="5">
        <f t="shared" si="158"/>
        <v>0</v>
      </c>
      <c r="R240" s="5">
        <f t="shared" si="150"/>
        <v>0</v>
      </c>
      <c r="S240" s="5">
        <f t="shared" si="125"/>
        <v>0</v>
      </c>
      <c r="T240" s="5">
        <f t="shared" si="126"/>
        <v>0</v>
      </c>
      <c r="U240" s="74">
        <f t="shared" si="127"/>
        <v>0</v>
      </c>
      <c r="V240" s="75">
        <f t="shared" si="128"/>
        <v>0</v>
      </c>
      <c r="W240" s="5">
        <f t="shared" si="129"/>
        <v>0</v>
      </c>
      <c r="X240" s="5">
        <f t="shared" si="130"/>
        <v>152109.11002260237</v>
      </c>
      <c r="Y240" s="5">
        <f t="shared" si="151"/>
        <v>100000</v>
      </c>
      <c r="Z240" s="215">
        <f t="shared" si="131"/>
        <v>1</v>
      </c>
      <c r="AA240" s="216">
        <f t="shared" si="152"/>
        <v>0</v>
      </c>
      <c r="AB240" s="72">
        <f t="shared" si="159"/>
        <v>13188.158705474159</v>
      </c>
      <c r="AC240" s="72">
        <f t="shared" si="132"/>
        <v>0</v>
      </c>
      <c r="AD240" s="72">
        <f t="shared" si="133"/>
        <v>0</v>
      </c>
      <c r="AE240" s="72">
        <f t="shared" si="153"/>
        <v>-31.674964801932727</v>
      </c>
      <c r="AF240" s="70">
        <f t="shared" si="134"/>
        <v>0</v>
      </c>
      <c r="AG240" s="70">
        <f t="shared" si="135"/>
        <v>11624.803411194926</v>
      </c>
      <c r="AH240" s="1">
        <f t="shared" si="167"/>
        <v>0</v>
      </c>
      <c r="AI240" s="1">
        <f t="shared" si="167"/>
        <v>0</v>
      </c>
      <c r="AJ240" s="1">
        <f t="shared" si="167"/>
        <v>0</v>
      </c>
      <c r="AK240" s="1">
        <f t="shared" si="167"/>
        <v>0</v>
      </c>
      <c r="AL240" s="1">
        <f t="shared" si="167"/>
        <v>0</v>
      </c>
      <c r="AM240" s="1">
        <f t="shared" si="167"/>
        <v>0</v>
      </c>
      <c r="AN240" s="1">
        <f t="shared" si="167"/>
        <v>1</v>
      </c>
      <c r="AO240" s="1">
        <f t="shared" si="167"/>
        <v>1</v>
      </c>
      <c r="AP240" s="1">
        <f t="shared" si="167"/>
        <v>1</v>
      </c>
      <c r="AQ240" s="1">
        <f t="shared" si="167"/>
        <v>1</v>
      </c>
      <c r="AR240" s="1">
        <f t="shared" si="167"/>
        <v>1</v>
      </c>
      <c r="AS240" s="1">
        <f t="shared" si="167"/>
        <v>1</v>
      </c>
      <c r="AT240" s="39">
        <f t="shared" si="136"/>
        <v>152109.11002260237</v>
      </c>
      <c r="AU240" s="39">
        <f t="shared" si="154"/>
        <v>152109.11002260237</v>
      </c>
      <c r="AV240" s="39">
        <f t="shared" si="165"/>
        <v>0</v>
      </c>
      <c r="AW240" s="3">
        <f t="shared" si="137"/>
        <v>166</v>
      </c>
      <c r="AX240" s="69">
        <f t="shared" si="155"/>
        <v>0</v>
      </c>
      <c r="AY240" s="75">
        <f t="shared" si="138"/>
        <v>0</v>
      </c>
      <c r="AZ240" s="75">
        <f t="shared" si="139"/>
        <v>0</v>
      </c>
      <c r="BA240" s="75">
        <f t="shared" si="140"/>
        <v>0</v>
      </c>
      <c r="BB240" s="75">
        <f t="shared" si="141"/>
        <v>0</v>
      </c>
      <c r="BD240" s="214">
        <f t="shared" si="156"/>
        <v>168077.3302466122</v>
      </c>
      <c r="BE240" s="214">
        <f t="shared" si="142"/>
        <v>818.12490386324748</v>
      </c>
      <c r="BF240" s="214">
        <f t="shared" si="143"/>
        <v>-278.11611788706858</v>
      </c>
      <c r="BG240" s="224">
        <f t="shared" si="161"/>
        <v>0</v>
      </c>
      <c r="BH240" s="19">
        <f t="shared" si="157"/>
        <v>220603.34384393203</v>
      </c>
      <c r="BI240" s="214">
        <f t="shared" si="144"/>
        <v>1073.7979310440983</v>
      </c>
      <c r="BJ240" s="214">
        <f t="shared" si="145"/>
        <v>0</v>
      </c>
      <c r="BK240" s="19">
        <f t="shared" si="162"/>
        <v>0</v>
      </c>
    </row>
    <row r="241" spans="1:63">
      <c r="A241" s="165">
        <f t="shared" si="146"/>
        <v>75.889459274469544</v>
      </c>
      <c r="B241" s="69">
        <f t="shared" si="147"/>
        <v>14</v>
      </c>
      <c r="C241" s="70">
        <f t="shared" si="148"/>
        <v>167</v>
      </c>
      <c r="D241" s="13">
        <f t="shared" si="117"/>
        <v>4.8675505653430484E-3</v>
      </c>
      <c r="E241" s="15">
        <f t="shared" si="118"/>
        <v>1</v>
      </c>
      <c r="F241" s="15">
        <f t="shared" si="149"/>
        <v>0</v>
      </c>
      <c r="G241" s="15">
        <f t="shared" si="119"/>
        <v>0</v>
      </c>
      <c r="H241" s="73">
        <f t="shared" si="120"/>
        <v>0</v>
      </c>
      <c r="I241" s="189"/>
      <c r="J241" s="189"/>
      <c r="K241" s="5">
        <f t="shared" si="163"/>
        <v>152109.11002260237</v>
      </c>
      <c r="M241" s="5">
        <f t="shared" si="121"/>
        <v>740.39878448434615</v>
      </c>
      <c r="N241" s="5">
        <f t="shared" si="122"/>
        <v>-251.69364073472875</v>
      </c>
      <c r="O241" s="5">
        <f t="shared" si="123"/>
        <v>0</v>
      </c>
      <c r="P241" s="5">
        <f t="shared" si="124"/>
        <v>0</v>
      </c>
      <c r="Q241" s="5">
        <f t="shared" si="158"/>
        <v>0</v>
      </c>
      <c r="R241" s="5">
        <f t="shared" si="150"/>
        <v>0</v>
      </c>
      <c r="S241" s="5">
        <f t="shared" si="125"/>
        <v>0</v>
      </c>
      <c r="T241" s="5">
        <f t="shared" si="126"/>
        <v>0</v>
      </c>
      <c r="U241" s="74">
        <f t="shared" si="127"/>
        <v>0</v>
      </c>
      <c r="V241" s="75">
        <f t="shared" si="128"/>
        <v>0</v>
      </c>
      <c r="W241" s="5">
        <f t="shared" si="129"/>
        <v>0</v>
      </c>
      <c r="X241" s="5">
        <f t="shared" si="130"/>
        <v>152597.81516635197</v>
      </c>
      <c r="Y241" s="5">
        <f t="shared" si="151"/>
        <v>100000</v>
      </c>
      <c r="Z241" s="215">
        <f t="shared" si="131"/>
        <v>1</v>
      </c>
      <c r="AA241" s="216">
        <f t="shared" si="152"/>
        <v>0</v>
      </c>
      <c r="AB241" s="72">
        <f t="shared" si="159"/>
        <v>13188.158705474159</v>
      </c>
      <c r="AC241" s="72">
        <f t="shared" si="132"/>
        <v>0</v>
      </c>
      <c r="AD241" s="72">
        <f t="shared" si="133"/>
        <v>0</v>
      </c>
      <c r="AE241" s="72">
        <f t="shared" si="153"/>
        <v>-31.776732001967581</v>
      </c>
      <c r="AF241" s="70">
        <f t="shared" si="134"/>
        <v>0</v>
      </c>
      <c r="AG241" s="70">
        <f t="shared" si="135"/>
        <v>11810.511365819772</v>
      </c>
      <c r="AH241" s="1">
        <f t="shared" si="167"/>
        <v>0</v>
      </c>
      <c r="AI241" s="1">
        <f t="shared" si="167"/>
        <v>0</v>
      </c>
      <c r="AJ241" s="1">
        <f t="shared" si="167"/>
        <v>0</v>
      </c>
      <c r="AK241" s="1">
        <f t="shared" si="167"/>
        <v>0</v>
      </c>
      <c r="AL241" s="1">
        <f t="shared" si="167"/>
        <v>0</v>
      </c>
      <c r="AM241" s="1">
        <f t="shared" si="167"/>
        <v>0</v>
      </c>
      <c r="AN241" s="1">
        <f t="shared" si="167"/>
        <v>1</v>
      </c>
      <c r="AO241" s="1">
        <f t="shared" si="167"/>
        <v>1</v>
      </c>
      <c r="AP241" s="1">
        <f t="shared" si="167"/>
        <v>1</v>
      </c>
      <c r="AQ241" s="1">
        <f t="shared" si="167"/>
        <v>1</v>
      </c>
      <c r="AR241" s="1">
        <f t="shared" si="167"/>
        <v>1</v>
      </c>
      <c r="AS241" s="1">
        <f t="shared" si="167"/>
        <v>1</v>
      </c>
      <c r="AT241" s="39">
        <f t="shared" si="136"/>
        <v>152597.81516635197</v>
      </c>
      <c r="AU241" s="39">
        <f t="shared" si="154"/>
        <v>152597.81516635197</v>
      </c>
      <c r="AV241" s="39">
        <f t="shared" si="165"/>
        <v>0</v>
      </c>
      <c r="AW241" s="3">
        <f t="shared" si="137"/>
        <v>167</v>
      </c>
      <c r="AX241" s="69">
        <f t="shared" si="155"/>
        <v>0</v>
      </c>
      <c r="AY241" s="75">
        <f t="shared" si="138"/>
        <v>0</v>
      </c>
      <c r="AZ241" s="75">
        <f t="shared" si="139"/>
        <v>0</v>
      </c>
      <c r="BA241" s="75">
        <f t="shared" si="140"/>
        <v>0</v>
      </c>
      <c r="BB241" s="75">
        <f t="shared" si="141"/>
        <v>0</v>
      </c>
      <c r="BD241" s="214">
        <f t="shared" si="156"/>
        <v>168617.33903258835</v>
      </c>
      <c r="BE241" s="214">
        <f t="shared" si="142"/>
        <v>820.7534239347159</v>
      </c>
      <c r="BF241" s="214">
        <f t="shared" si="143"/>
        <v>-279.00966579718971</v>
      </c>
      <c r="BG241" s="224">
        <f t="shared" si="161"/>
        <v>0</v>
      </c>
      <c r="BH241" s="19">
        <f t="shared" si="157"/>
        <v>221677.14177497613</v>
      </c>
      <c r="BI241" s="214">
        <f t="shared" si="144"/>
        <v>1079.0246967704161</v>
      </c>
      <c r="BJ241" s="214">
        <f t="shared" si="145"/>
        <v>0</v>
      </c>
      <c r="BK241" s="19">
        <f t="shared" si="162"/>
        <v>0</v>
      </c>
    </row>
    <row r="242" spans="1:63">
      <c r="A242" s="165">
        <f t="shared" si="146"/>
        <v>75.972792607802873</v>
      </c>
      <c r="B242" s="69">
        <f t="shared" si="147"/>
        <v>14</v>
      </c>
      <c r="C242" s="70">
        <f t="shared" si="148"/>
        <v>168</v>
      </c>
      <c r="D242" s="13">
        <f t="shared" si="117"/>
        <v>4.8675505653430484E-3</v>
      </c>
      <c r="E242" s="15">
        <f t="shared" si="118"/>
        <v>1</v>
      </c>
      <c r="F242" s="15">
        <f t="shared" si="149"/>
        <v>0</v>
      </c>
      <c r="G242" s="15">
        <f t="shared" si="119"/>
        <v>0</v>
      </c>
      <c r="H242" s="73">
        <f t="shared" si="120"/>
        <v>0</v>
      </c>
      <c r="I242" s="189"/>
      <c r="J242" s="189"/>
      <c r="K242" s="5">
        <f t="shared" si="163"/>
        <v>152597.81516635197</v>
      </c>
      <c r="M242" s="5">
        <f t="shared" si="121"/>
        <v>742.77758148309056</v>
      </c>
      <c r="N242" s="5">
        <f t="shared" si="122"/>
        <v>-252.50229694774478</v>
      </c>
      <c r="O242" s="5">
        <f t="shared" si="123"/>
        <v>0</v>
      </c>
      <c r="P242" s="5">
        <f t="shared" si="124"/>
        <v>0</v>
      </c>
      <c r="Q242" s="5">
        <f t="shared" si="158"/>
        <v>0</v>
      </c>
      <c r="R242" s="5">
        <f t="shared" si="150"/>
        <v>0</v>
      </c>
      <c r="S242" s="5">
        <f t="shared" si="125"/>
        <v>0</v>
      </c>
      <c r="T242" s="5">
        <f t="shared" si="126"/>
        <v>0</v>
      </c>
      <c r="U242" s="74">
        <f t="shared" si="127"/>
        <v>0</v>
      </c>
      <c r="V242" s="75">
        <f t="shared" si="128"/>
        <v>0</v>
      </c>
      <c r="W242" s="5">
        <f t="shared" si="129"/>
        <v>0</v>
      </c>
      <c r="X242" s="5">
        <f t="shared" si="130"/>
        <v>153088.09045088731</v>
      </c>
      <c r="Y242" s="5">
        <f t="shared" si="151"/>
        <v>100000</v>
      </c>
      <c r="Z242" s="215">
        <f t="shared" si="131"/>
        <v>1</v>
      </c>
      <c r="AA242" s="216">
        <f t="shared" si="152"/>
        <v>0</v>
      </c>
      <c r="AB242" s="72">
        <f t="shared" si="159"/>
        <v>13188.158705474159</v>
      </c>
      <c r="AC242" s="72">
        <f t="shared" si="132"/>
        <v>0</v>
      </c>
      <c r="AD242" s="72">
        <f t="shared" si="133"/>
        <v>0</v>
      </c>
      <c r="AE242" s="72">
        <f t="shared" si="153"/>
        <v>-31.878826165680756</v>
      </c>
      <c r="AF242" s="70">
        <f t="shared" si="134"/>
        <v>0</v>
      </c>
      <c r="AG242" s="70">
        <f t="shared" si="135"/>
        <v>11996.815973943203</v>
      </c>
      <c r="AH242" s="1">
        <f t="shared" si="167"/>
        <v>0</v>
      </c>
      <c r="AI242" s="1">
        <f t="shared" si="167"/>
        <v>0</v>
      </c>
      <c r="AJ242" s="1">
        <f t="shared" si="167"/>
        <v>0</v>
      </c>
      <c r="AK242" s="1">
        <f t="shared" si="167"/>
        <v>0</v>
      </c>
      <c r="AL242" s="1">
        <f t="shared" si="167"/>
        <v>0</v>
      </c>
      <c r="AM242" s="1">
        <f t="shared" si="167"/>
        <v>0</v>
      </c>
      <c r="AN242" s="1">
        <f t="shared" si="167"/>
        <v>1</v>
      </c>
      <c r="AO242" s="1">
        <f t="shared" si="167"/>
        <v>1</v>
      </c>
      <c r="AP242" s="1">
        <f t="shared" si="167"/>
        <v>1</v>
      </c>
      <c r="AQ242" s="1">
        <f t="shared" si="167"/>
        <v>1</v>
      </c>
      <c r="AR242" s="1">
        <f t="shared" si="167"/>
        <v>1</v>
      </c>
      <c r="AS242" s="1">
        <f t="shared" si="167"/>
        <v>1</v>
      </c>
      <c r="AT242" s="39">
        <f t="shared" si="136"/>
        <v>153088.09045088731</v>
      </c>
      <c r="AU242" s="39">
        <f t="shared" si="154"/>
        <v>153088.09045088731</v>
      </c>
      <c r="AV242" s="39">
        <f t="shared" si="165"/>
        <v>0</v>
      </c>
      <c r="AW242" s="3">
        <f t="shared" si="137"/>
        <v>168</v>
      </c>
      <c r="AX242" s="69">
        <f t="shared" si="155"/>
        <v>0</v>
      </c>
      <c r="AY242" s="75">
        <f t="shared" si="138"/>
        <v>0</v>
      </c>
      <c r="AZ242" s="75">
        <f t="shared" si="139"/>
        <v>0</v>
      </c>
      <c r="BA242" s="75">
        <f t="shared" si="140"/>
        <v>0</v>
      </c>
      <c r="BB242" s="75">
        <f t="shared" si="141"/>
        <v>0</v>
      </c>
      <c r="BD242" s="214">
        <f t="shared" si="156"/>
        <v>169159.08279072586</v>
      </c>
      <c r="BE242" s="214">
        <f t="shared" si="142"/>
        <v>823.39038907090924</v>
      </c>
      <c r="BF242" s="214">
        <f t="shared" si="143"/>
        <v>-279.90608455087698</v>
      </c>
      <c r="BG242" s="224">
        <f t="shared" si="161"/>
        <v>0</v>
      </c>
      <c r="BH242" s="19">
        <f t="shared" si="157"/>
        <v>222756.16647174655</v>
      </c>
      <c r="BI242" s="214">
        <f t="shared" si="144"/>
        <v>1084.2769040432001</v>
      </c>
      <c r="BJ242" s="214">
        <f t="shared" si="145"/>
        <v>0</v>
      </c>
      <c r="BK242" s="19">
        <f t="shared" si="162"/>
        <v>0</v>
      </c>
    </row>
    <row r="243" spans="1:63">
      <c r="A243" s="165">
        <f t="shared" si="146"/>
        <v>76.056125941136202</v>
      </c>
      <c r="B243" s="69">
        <f t="shared" si="147"/>
        <v>15</v>
      </c>
      <c r="C243" s="70">
        <f t="shared" si="148"/>
        <v>169</v>
      </c>
      <c r="D243" s="13">
        <f t="shared" si="117"/>
        <v>4.8675505653430484E-3</v>
      </c>
      <c r="E243" s="15">
        <f t="shared" si="118"/>
        <v>1</v>
      </c>
      <c r="F243" s="15">
        <f t="shared" si="149"/>
        <v>0</v>
      </c>
      <c r="G243" s="15">
        <f t="shared" si="119"/>
        <v>0</v>
      </c>
      <c r="H243" s="73">
        <f t="shared" si="120"/>
        <v>0</v>
      </c>
      <c r="I243" s="189"/>
      <c r="J243" s="189"/>
      <c r="K243" s="5">
        <f t="shared" si="163"/>
        <v>153088.09045088731</v>
      </c>
      <c r="M243" s="5">
        <f t="shared" si="121"/>
        <v>745.16402122150419</v>
      </c>
      <c r="N243" s="5">
        <f t="shared" si="122"/>
        <v>-253.31355125926251</v>
      </c>
      <c r="O243" s="5">
        <f t="shared" si="123"/>
        <v>0</v>
      </c>
      <c r="P243" s="5">
        <f t="shared" si="124"/>
        <v>0</v>
      </c>
      <c r="Q243" s="5">
        <f t="shared" si="158"/>
        <v>0</v>
      </c>
      <c r="R243" s="5">
        <f t="shared" si="150"/>
        <v>0</v>
      </c>
      <c r="S243" s="5">
        <f t="shared" si="125"/>
        <v>0</v>
      </c>
      <c r="T243" s="5">
        <f t="shared" si="126"/>
        <v>0</v>
      </c>
      <c r="U243" s="74">
        <f t="shared" si="127"/>
        <v>0</v>
      </c>
      <c r="V243" s="75">
        <f t="shared" si="128"/>
        <v>0</v>
      </c>
      <c r="W243" s="5">
        <f t="shared" si="129"/>
        <v>0</v>
      </c>
      <c r="X243" s="5">
        <f t="shared" si="130"/>
        <v>153579.94092084956</v>
      </c>
      <c r="Y243" s="5">
        <f t="shared" si="151"/>
        <v>100000</v>
      </c>
      <c r="Z243" s="215">
        <f t="shared" si="131"/>
        <v>1</v>
      </c>
      <c r="AA243" s="216">
        <f t="shared" si="152"/>
        <v>0</v>
      </c>
      <c r="AB243" s="72">
        <f t="shared" si="159"/>
        <v>13188.158705474159</v>
      </c>
      <c r="AC243" s="72">
        <f t="shared" si="132"/>
        <v>0</v>
      </c>
      <c r="AD243" s="72">
        <f t="shared" si="133"/>
        <v>0</v>
      </c>
      <c r="AE243" s="72">
        <f t="shared" si="153"/>
        <v>-31.981248343560523</v>
      </c>
      <c r="AF243" s="70">
        <f t="shared" si="134"/>
        <v>0</v>
      </c>
      <c r="AG243" s="70">
        <f t="shared" si="135"/>
        <v>12183.71915252886</v>
      </c>
      <c r="AH243" s="1">
        <f t="shared" si="167"/>
        <v>0</v>
      </c>
      <c r="AI243" s="1">
        <f t="shared" si="167"/>
        <v>0</v>
      </c>
      <c r="AJ243" s="1">
        <f t="shared" si="167"/>
        <v>0</v>
      </c>
      <c r="AK243" s="1">
        <f t="shared" si="167"/>
        <v>0</v>
      </c>
      <c r="AL243" s="1">
        <f t="shared" si="167"/>
        <v>0</v>
      </c>
      <c r="AM243" s="1">
        <f t="shared" si="167"/>
        <v>0</v>
      </c>
      <c r="AN243" s="1">
        <f t="shared" si="167"/>
        <v>1</v>
      </c>
      <c r="AO243" s="1">
        <f t="shared" si="167"/>
        <v>1</v>
      </c>
      <c r="AP243" s="1">
        <f t="shared" si="167"/>
        <v>1</v>
      </c>
      <c r="AQ243" s="1">
        <f t="shared" si="167"/>
        <v>1</v>
      </c>
      <c r="AR243" s="1">
        <f t="shared" si="167"/>
        <v>1</v>
      </c>
      <c r="AS243" s="1">
        <f t="shared" si="167"/>
        <v>1</v>
      </c>
      <c r="AT243" s="39">
        <f t="shared" si="136"/>
        <v>153579.94092084956</v>
      </c>
      <c r="AU243" s="39">
        <f t="shared" si="154"/>
        <v>153579.94092084956</v>
      </c>
      <c r="AV243" s="39">
        <f t="shared" si="165"/>
        <v>0</v>
      </c>
      <c r="AW243" s="3">
        <f t="shared" si="137"/>
        <v>169</v>
      </c>
      <c r="AX243" s="69">
        <f t="shared" si="155"/>
        <v>0</v>
      </c>
      <c r="AY243" s="75">
        <f t="shared" si="138"/>
        <v>0</v>
      </c>
      <c r="AZ243" s="75">
        <f t="shared" si="139"/>
        <v>0</v>
      </c>
      <c r="BA243" s="75">
        <f t="shared" si="140"/>
        <v>0</v>
      </c>
      <c r="BB243" s="75">
        <f t="shared" si="141"/>
        <v>0</v>
      </c>
      <c r="BD243" s="214">
        <f t="shared" si="156"/>
        <v>169702.5670952459</v>
      </c>
      <c r="BE243" s="214">
        <f t="shared" si="142"/>
        <v>826.03582640463082</v>
      </c>
      <c r="BF243" s="214">
        <f t="shared" si="143"/>
        <v>-280.80538337174647</v>
      </c>
      <c r="BG243" s="224">
        <f t="shared" si="161"/>
        <v>0</v>
      </c>
      <c r="BH243" s="19">
        <f t="shared" si="157"/>
        <v>223840.44337578974</v>
      </c>
      <c r="BI243" s="214">
        <f t="shared" si="144"/>
        <v>1089.5546767004639</v>
      </c>
      <c r="BJ243" s="214">
        <f t="shared" si="145"/>
        <v>0</v>
      </c>
      <c r="BK243" s="19">
        <f t="shared" si="162"/>
        <v>0</v>
      </c>
    </row>
    <row r="244" spans="1:63">
      <c r="A244" s="165">
        <f t="shared" si="146"/>
        <v>76.139459274469544</v>
      </c>
      <c r="B244" s="69">
        <f t="shared" si="147"/>
        <v>15</v>
      </c>
      <c r="C244" s="70">
        <f t="shared" si="148"/>
        <v>170</v>
      </c>
      <c r="D244" s="13">
        <f t="shared" si="117"/>
        <v>4.8675505653430484E-3</v>
      </c>
      <c r="E244" s="15">
        <f t="shared" si="118"/>
        <v>1</v>
      </c>
      <c r="F244" s="15">
        <f t="shared" si="149"/>
        <v>0</v>
      </c>
      <c r="G244" s="15">
        <f t="shared" si="119"/>
        <v>0</v>
      </c>
      <c r="H244" s="73">
        <f t="shared" si="120"/>
        <v>0</v>
      </c>
      <c r="I244" s="189"/>
      <c r="J244" s="189"/>
      <c r="K244" s="5">
        <f t="shared" si="163"/>
        <v>153579.94092084956</v>
      </c>
      <c r="M244" s="5">
        <f t="shared" si="121"/>
        <v>747.55812825463329</v>
      </c>
      <c r="N244" s="5">
        <f t="shared" si="122"/>
        <v>-254.12741201660629</v>
      </c>
      <c r="O244" s="5">
        <f t="shared" si="123"/>
        <v>0</v>
      </c>
      <c r="P244" s="5">
        <f t="shared" si="124"/>
        <v>0</v>
      </c>
      <c r="Q244" s="5">
        <f t="shared" si="158"/>
        <v>0</v>
      </c>
      <c r="R244" s="5">
        <f t="shared" si="150"/>
        <v>0</v>
      </c>
      <c r="S244" s="5">
        <f t="shared" si="125"/>
        <v>0</v>
      </c>
      <c r="T244" s="5">
        <f t="shared" si="126"/>
        <v>0</v>
      </c>
      <c r="U244" s="74">
        <f t="shared" si="127"/>
        <v>0</v>
      </c>
      <c r="V244" s="75">
        <f t="shared" si="128"/>
        <v>0</v>
      </c>
      <c r="W244" s="5">
        <f t="shared" si="129"/>
        <v>0</v>
      </c>
      <c r="X244" s="5">
        <f t="shared" si="130"/>
        <v>154073.37163708758</v>
      </c>
      <c r="Y244" s="5">
        <f t="shared" si="151"/>
        <v>100000</v>
      </c>
      <c r="Z244" s="215">
        <f t="shared" si="131"/>
        <v>1</v>
      </c>
      <c r="AA244" s="216">
        <f t="shared" si="152"/>
        <v>0</v>
      </c>
      <c r="AB244" s="72">
        <f t="shared" si="159"/>
        <v>13188.158705474159</v>
      </c>
      <c r="AC244" s="72">
        <f t="shared" si="132"/>
        <v>0</v>
      </c>
      <c r="AD244" s="72">
        <f t="shared" si="133"/>
        <v>0</v>
      </c>
      <c r="AE244" s="72">
        <f t="shared" si="153"/>
        <v>-32.083999589470181</v>
      </c>
      <c r="AF244" s="70">
        <f t="shared" si="134"/>
        <v>0</v>
      </c>
      <c r="AG244" s="70">
        <f t="shared" si="135"/>
        <v>12371.222824699305</v>
      </c>
      <c r="AH244" s="1">
        <f t="shared" si="167"/>
        <v>0</v>
      </c>
      <c r="AI244" s="1">
        <f t="shared" si="167"/>
        <v>0</v>
      </c>
      <c r="AJ244" s="1">
        <f t="shared" si="167"/>
        <v>0</v>
      </c>
      <c r="AK244" s="1">
        <f t="shared" si="167"/>
        <v>0</v>
      </c>
      <c r="AL244" s="1">
        <f t="shared" si="167"/>
        <v>0</v>
      </c>
      <c r="AM244" s="1">
        <f t="shared" si="167"/>
        <v>0</v>
      </c>
      <c r="AN244" s="1">
        <f t="shared" si="167"/>
        <v>1</v>
      </c>
      <c r="AO244" s="1">
        <f t="shared" si="167"/>
        <v>1</v>
      </c>
      <c r="AP244" s="1">
        <f t="shared" si="167"/>
        <v>1</v>
      </c>
      <c r="AQ244" s="1">
        <f t="shared" si="167"/>
        <v>1</v>
      </c>
      <c r="AR244" s="1">
        <f t="shared" si="167"/>
        <v>1</v>
      </c>
      <c r="AS244" s="1">
        <f t="shared" si="167"/>
        <v>1</v>
      </c>
      <c r="AT244" s="39">
        <f t="shared" si="136"/>
        <v>154073.37163708758</v>
      </c>
      <c r="AU244" s="39">
        <f t="shared" si="154"/>
        <v>154073.37163708758</v>
      </c>
      <c r="AV244" s="39">
        <f t="shared" si="165"/>
        <v>0</v>
      </c>
      <c r="AW244" s="3">
        <f t="shared" si="137"/>
        <v>170</v>
      </c>
      <c r="AX244" s="69">
        <f t="shared" si="155"/>
        <v>0</v>
      </c>
      <c r="AY244" s="75">
        <f t="shared" si="138"/>
        <v>0</v>
      </c>
      <c r="AZ244" s="75">
        <f t="shared" si="139"/>
        <v>0</v>
      </c>
      <c r="BA244" s="75">
        <f t="shared" si="140"/>
        <v>0</v>
      </c>
      <c r="BB244" s="75">
        <f t="shared" si="141"/>
        <v>0</v>
      </c>
      <c r="BD244" s="214">
        <f t="shared" si="156"/>
        <v>170247.7975382788</v>
      </c>
      <c r="BE244" s="214">
        <f t="shared" si="142"/>
        <v>828.6897631558578</v>
      </c>
      <c r="BF244" s="214">
        <f t="shared" si="143"/>
        <v>-281.70757151304826</v>
      </c>
      <c r="BG244" s="224">
        <f t="shared" si="161"/>
        <v>0</v>
      </c>
      <c r="BH244" s="19">
        <f t="shared" si="157"/>
        <v>224929.99805249021</v>
      </c>
      <c r="BI244" s="214">
        <f t="shared" si="144"/>
        <v>1094.8581391830094</v>
      </c>
      <c r="BJ244" s="214">
        <f t="shared" si="145"/>
        <v>0</v>
      </c>
      <c r="BK244" s="19">
        <f t="shared" si="162"/>
        <v>0</v>
      </c>
    </row>
    <row r="245" spans="1:63">
      <c r="A245" s="165">
        <f t="shared" si="146"/>
        <v>76.222792607802873</v>
      </c>
      <c r="B245" s="69">
        <f t="shared" si="147"/>
        <v>15</v>
      </c>
      <c r="C245" s="70">
        <f t="shared" si="148"/>
        <v>171</v>
      </c>
      <c r="D245" s="13">
        <f t="shared" si="117"/>
        <v>4.8675505653430484E-3</v>
      </c>
      <c r="E245" s="15">
        <f t="shared" si="118"/>
        <v>1</v>
      </c>
      <c r="F245" s="15">
        <f t="shared" si="149"/>
        <v>0</v>
      </c>
      <c r="G245" s="15">
        <f t="shared" si="119"/>
        <v>0</v>
      </c>
      <c r="H245" s="73">
        <f t="shared" si="120"/>
        <v>0</v>
      </c>
      <c r="I245" s="189"/>
      <c r="J245" s="189"/>
      <c r="K245" s="5">
        <f t="shared" si="163"/>
        <v>154073.37163708758</v>
      </c>
      <c r="M245" s="5">
        <f t="shared" si="121"/>
        <v>749.95992721641528</v>
      </c>
      <c r="N245" s="5">
        <f t="shared" si="122"/>
        <v>-254.94388759391941</v>
      </c>
      <c r="O245" s="5">
        <f t="shared" si="123"/>
        <v>0</v>
      </c>
      <c r="P245" s="5">
        <f t="shared" si="124"/>
        <v>0</v>
      </c>
      <c r="Q245" s="5">
        <f t="shared" si="158"/>
        <v>0</v>
      </c>
      <c r="R245" s="5">
        <f t="shared" si="150"/>
        <v>0</v>
      </c>
      <c r="S245" s="5">
        <f t="shared" si="125"/>
        <v>0</v>
      </c>
      <c r="T245" s="5">
        <f t="shared" si="126"/>
        <v>0</v>
      </c>
      <c r="U245" s="74">
        <f t="shared" si="127"/>
        <v>0</v>
      </c>
      <c r="V245" s="75">
        <f t="shared" si="128"/>
        <v>0</v>
      </c>
      <c r="W245" s="5">
        <f t="shared" si="129"/>
        <v>0</v>
      </c>
      <c r="X245" s="5">
        <f t="shared" si="130"/>
        <v>154568.38767671006</v>
      </c>
      <c r="Y245" s="5">
        <f t="shared" si="151"/>
        <v>100000</v>
      </c>
      <c r="Z245" s="215">
        <f t="shared" si="131"/>
        <v>1</v>
      </c>
      <c r="AA245" s="216">
        <f t="shared" si="152"/>
        <v>0</v>
      </c>
      <c r="AB245" s="72">
        <f t="shared" si="159"/>
        <v>13188.158705474159</v>
      </c>
      <c r="AC245" s="72">
        <f t="shared" si="132"/>
        <v>0</v>
      </c>
      <c r="AD245" s="72">
        <f t="shared" si="133"/>
        <v>0</v>
      </c>
      <c r="AE245" s="72">
        <f t="shared" si="153"/>
        <v>-32.18708096065896</v>
      </c>
      <c r="AF245" s="70">
        <f t="shared" si="134"/>
        <v>0</v>
      </c>
      <c r="AG245" s="70">
        <f t="shared" si="135"/>
        <v>12559.328919755846</v>
      </c>
      <c r="AH245" s="1">
        <f t="shared" ref="AH245:AS254" si="168">IF($B245&lt;=AH$74,1,0)</f>
        <v>0</v>
      </c>
      <c r="AI245" s="1">
        <f t="shared" si="168"/>
        <v>0</v>
      </c>
      <c r="AJ245" s="1">
        <f t="shared" si="168"/>
        <v>0</v>
      </c>
      <c r="AK245" s="1">
        <f t="shared" si="168"/>
        <v>0</v>
      </c>
      <c r="AL245" s="1">
        <f t="shared" si="168"/>
        <v>0</v>
      </c>
      <c r="AM245" s="1">
        <f t="shared" si="168"/>
        <v>0</v>
      </c>
      <c r="AN245" s="1">
        <f t="shared" si="168"/>
        <v>1</v>
      </c>
      <c r="AO245" s="1">
        <f t="shared" si="168"/>
        <v>1</v>
      </c>
      <c r="AP245" s="1">
        <f t="shared" si="168"/>
        <v>1</v>
      </c>
      <c r="AQ245" s="1">
        <f t="shared" si="168"/>
        <v>1</v>
      </c>
      <c r="AR245" s="1">
        <f t="shared" si="168"/>
        <v>1</v>
      </c>
      <c r="AS245" s="1">
        <f t="shared" si="168"/>
        <v>1</v>
      </c>
      <c r="AT245" s="39">
        <f t="shared" si="136"/>
        <v>154568.38767671006</v>
      </c>
      <c r="AU245" s="39">
        <f t="shared" si="154"/>
        <v>154568.38767671006</v>
      </c>
      <c r="AV245" s="39">
        <f t="shared" si="165"/>
        <v>0</v>
      </c>
      <c r="AW245" s="3">
        <f t="shared" si="137"/>
        <v>171</v>
      </c>
      <c r="AX245" s="69">
        <f t="shared" si="155"/>
        <v>0</v>
      </c>
      <c r="AY245" s="75">
        <f t="shared" si="138"/>
        <v>0</v>
      </c>
      <c r="AZ245" s="75">
        <f t="shared" si="139"/>
        <v>0</v>
      </c>
      <c r="BA245" s="75">
        <f t="shared" si="140"/>
        <v>0</v>
      </c>
      <c r="BB245" s="75">
        <f t="shared" si="141"/>
        <v>0</v>
      </c>
      <c r="BD245" s="214">
        <f t="shared" si="156"/>
        <v>170794.7797299216</v>
      </c>
      <c r="BE245" s="214">
        <f t="shared" si="142"/>
        <v>831.35222663202137</v>
      </c>
      <c r="BF245" s="214">
        <f t="shared" si="143"/>
        <v>-282.61265825776178</v>
      </c>
      <c r="BG245" s="224">
        <f t="shared" si="161"/>
        <v>0</v>
      </c>
      <c r="BH245" s="19">
        <f t="shared" si="157"/>
        <v>226024.85619167323</v>
      </c>
      <c r="BI245" s="214">
        <f t="shared" si="144"/>
        <v>1100.1874165373601</v>
      </c>
      <c r="BJ245" s="214">
        <f t="shared" si="145"/>
        <v>0</v>
      </c>
      <c r="BK245" s="19">
        <f t="shared" si="162"/>
        <v>0</v>
      </c>
    </row>
    <row r="246" spans="1:63">
      <c r="A246" s="165">
        <f t="shared" si="146"/>
        <v>76.306125941136202</v>
      </c>
      <c r="B246" s="69">
        <f t="shared" si="147"/>
        <v>15</v>
      </c>
      <c r="C246" s="70">
        <f t="shared" si="148"/>
        <v>172</v>
      </c>
      <c r="D246" s="13">
        <f t="shared" si="117"/>
        <v>4.8675505653430484E-3</v>
      </c>
      <c r="E246" s="15">
        <f t="shared" si="118"/>
        <v>1</v>
      </c>
      <c r="F246" s="15">
        <f t="shared" si="149"/>
        <v>0</v>
      </c>
      <c r="G246" s="15">
        <f t="shared" si="119"/>
        <v>0</v>
      </c>
      <c r="H246" s="73">
        <f t="shared" si="120"/>
        <v>0</v>
      </c>
      <c r="I246" s="189"/>
      <c r="J246" s="189"/>
      <c r="K246" s="5">
        <f t="shared" si="163"/>
        <v>154568.38767671006</v>
      </c>
      <c r="M246" s="5">
        <f t="shared" si="121"/>
        <v>752.36944281993351</v>
      </c>
      <c r="N246" s="5">
        <f t="shared" si="122"/>
        <v>-255.76298639225013</v>
      </c>
      <c r="O246" s="5">
        <f t="shared" si="123"/>
        <v>0</v>
      </c>
      <c r="P246" s="5">
        <f t="shared" si="124"/>
        <v>0</v>
      </c>
      <c r="Q246" s="5">
        <f t="shared" si="158"/>
        <v>0</v>
      </c>
      <c r="R246" s="5">
        <f t="shared" si="150"/>
        <v>0</v>
      </c>
      <c r="S246" s="5">
        <f t="shared" si="125"/>
        <v>0</v>
      </c>
      <c r="T246" s="5">
        <f t="shared" si="126"/>
        <v>0</v>
      </c>
      <c r="U246" s="74">
        <f t="shared" si="127"/>
        <v>0</v>
      </c>
      <c r="V246" s="75">
        <f t="shared" si="128"/>
        <v>0</v>
      </c>
      <c r="W246" s="5">
        <f t="shared" si="129"/>
        <v>0</v>
      </c>
      <c r="X246" s="5">
        <f t="shared" si="130"/>
        <v>155064.99413313775</v>
      </c>
      <c r="Y246" s="5">
        <f t="shared" si="151"/>
        <v>100000</v>
      </c>
      <c r="Z246" s="215">
        <f t="shared" si="131"/>
        <v>1</v>
      </c>
      <c r="AA246" s="216">
        <f t="shared" si="152"/>
        <v>0</v>
      </c>
      <c r="AB246" s="72">
        <f t="shared" si="159"/>
        <v>13188.158705474159</v>
      </c>
      <c r="AC246" s="72">
        <f t="shared" si="132"/>
        <v>0</v>
      </c>
      <c r="AD246" s="72">
        <f t="shared" si="133"/>
        <v>0</v>
      </c>
      <c r="AE246" s="72">
        <f t="shared" si="153"/>
        <v>-32.290493517772873</v>
      </c>
      <c r="AF246" s="70">
        <f t="shared" si="134"/>
        <v>0</v>
      </c>
      <c r="AG246" s="70">
        <f t="shared" si="135"/>
        <v>12748.03937319837</v>
      </c>
      <c r="AH246" s="1">
        <f t="shared" si="168"/>
        <v>0</v>
      </c>
      <c r="AI246" s="1">
        <f t="shared" si="168"/>
        <v>0</v>
      </c>
      <c r="AJ246" s="1">
        <f t="shared" si="168"/>
        <v>0</v>
      </c>
      <c r="AK246" s="1">
        <f t="shared" si="168"/>
        <v>0</v>
      </c>
      <c r="AL246" s="1">
        <f t="shared" si="168"/>
        <v>0</v>
      </c>
      <c r="AM246" s="1">
        <f t="shared" si="168"/>
        <v>0</v>
      </c>
      <c r="AN246" s="1">
        <f t="shared" si="168"/>
        <v>1</v>
      </c>
      <c r="AO246" s="1">
        <f t="shared" si="168"/>
        <v>1</v>
      </c>
      <c r="AP246" s="1">
        <f t="shared" si="168"/>
        <v>1</v>
      </c>
      <c r="AQ246" s="1">
        <f t="shared" si="168"/>
        <v>1</v>
      </c>
      <c r="AR246" s="1">
        <f t="shared" si="168"/>
        <v>1</v>
      </c>
      <c r="AS246" s="1">
        <f t="shared" si="168"/>
        <v>1</v>
      </c>
      <c r="AT246" s="39">
        <f t="shared" si="136"/>
        <v>155064.99413313775</v>
      </c>
      <c r="AU246" s="39">
        <f t="shared" si="154"/>
        <v>155064.99413313775</v>
      </c>
      <c r="AV246" s="39">
        <f t="shared" si="165"/>
        <v>0</v>
      </c>
      <c r="AW246" s="3">
        <f t="shared" si="137"/>
        <v>172</v>
      </c>
      <c r="AX246" s="69">
        <f t="shared" si="155"/>
        <v>0</v>
      </c>
      <c r="AY246" s="75">
        <f t="shared" si="138"/>
        <v>0</v>
      </c>
      <c r="AZ246" s="75">
        <f t="shared" si="139"/>
        <v>0</v>
      </c>
      <c r="BA246" s="75">
        <f t="shared" si="140"/>
        <v>0</v>
      </c>
      <c r="BB246" s="75">
        <f t="shared" si="141"/>
        <v>0</v>
      </c>
      <c r="BD246" s="214">
        <f t="shared" si="156"/>
        <v>171343.51929829584</v>
      </c>
      <c r="BE246" s="214">
        <f t="shared" si="142"/>
        <v>834.02324422828747</v>
      </c>
      <c r="BF246" s="214">
        <f t="shared" si="143"/>
        <v>-283.52065291869167</v>
      </c>
      <c r="BG246" s="224">
        <f t="shared" si="161"/>
        <v>0</v>
      </c>
      <c r="BH246" s="19">
        <f t="shared" si="157"/>
        <v>227125.0436082106</v>
      </c>
      <c r="BI246" s="214">
        <f t="shared" si="144"/>
        <v>1105.5426344187101</v>
      </c>
      <c r="BJ246" s="214">
        <f t="shared" si="145"/>
        <v>0</v>
      </c>
      <c r="BK246" s="19">
        <f t="shared" si="162"/>
        <v>0</v>
      </c>
    </row>
    <row r="247" spans="1:63">
      <c r="A247" s="165">
        <f t="shared" si="146"/>
        <v>76.389459274469544</v>
      </c>
      <c r="B247" s="69">
        <f t="shared" si="147"/>
        <v>15</v>
      </c>
      <c r="C247" s="70">
        <f t="shared" si="148"/>
        <v>173</v>
      </c>
      <c r="D247" s="13">
        <f t="shared" si="117"/>
        <v>4.8675505653430484E-3</v>
      </c>
      <c r="E247" s="15">
        <f t="shared" si="118"/>
        <v>1</v>
      </c>
      <c r="F247" s="15">
        <f t="shared" si="149"/>
        <v>0</v>
      </c>
      <c r="G247" s="15">
        <f t="shared" si="119"/>
        <v>0</v>
      </c>
      <c r="H247" s="73">
        <f t="shared" si="120"/>
        <v>0</v>
      </c>
      <c r="I247" s="189"/>
      <c r="J247" s="189"/>
      <c r="K247" s="5">
        <f t="shared" si="163"/>
        <v>155064.99413313775</v>
      </c>
      <c r="M247" s="5">
        <f t="shared" si="121"/>
        <v>754.78669985767112</v>
      </c>
      <c r="N247" s="5">
        <f t="shared" si="122"/>
        <v>-256.58471683963813</v>
      </c>
      <c r="O247" s="5">
        <f t="shared" si="123"/>
        <v>0</v>
      </c>
      <c r="P247" s="5">
        <f t="shared" si="124"/>
        <v>0</v>
      </c>
      <c r="Q247" s="5">
        <f t="shared" si="158"/>
        <v>0</v>
      </c>
      <c r="R247" s="5">
        <f t="shared" si="150"/>
        <v>0</v>
      </c>
      <c r="S247" s="5">
        <f t="shared" si="125"/>
        <v>0</v>
      </c>
      <c r="T247" s="5">
        <f t="shared" si="126"/>
        <v>0</v>
      </c>
      <c r="U247" s="74">
        <f t="shared" si="127"/>
        <v>0</v>
      </c>
      <c r="V247" s="75">
        <f t="shared" si="128"/>
        <v>0</v>
      </c>
      <c r="W247" s="5">
        <f t="shared" si="129"/>
        <v>0</v>
      </c>
      <c r="X247" s="5">
        <f t="shared" si="130"/>
        <v>155563.1961161558</v>
      </c>
      <c r="Y247" s="5">
        <f t="shared" si="151"/>
        <v>100000</v>
      </c>
      <c r="Z247" s="215">
        <f t="shared" si="131"/>
        <v>1</v>
      </c>
      <c r="AA247" s="216">
        <f t="shared" si="152"/>
        <v>0</v>
      </c>
      <c r="AB247" s="72">
        <f t="shared" si="159"/>
        <v>13188.158705474159</v>
      </c>
      <c r="AC247" s="72">
        <f t="shared" si="132"/>
        <v>0</v>
      </c>
      <c r="AD247" s="72">
        <f t="shared" si="133"/>
        <v>0</v>
      </c>
      <c r="AE247" s="72">
        <f t="shared" si="153"/>
        <v>-32.394238324865661</v>
      </c>
      <c r="AF247" s="70">
        <f t="shared" si="134"/>
        <v>0</v>
      </c>
      <c r="AG247" s="70">
        <f t="shared" si="135"/>
        <v>12937.35612674523</v>
      </c>
      <c r="AH247" s="1">
        <f t="shared" si="168"/>
        <v>0</v>
      </c>
      <c r="AI247" s="1">
        <f t="shared" si="168"/>
        <v>0</v>
      </c>
      <c r="AJ247" s="1">
        <f t="shared" si="168"/>
        <v>0</v>
      </c>
      <c r="AK247" s="1">
        <f t="shared" si="168"/>
        <v>0</v>
      </c>
      <c r="AL247" s="1">
        <f t="shared" si="168"/>
        <v>0</v>
      </c>
      <c r="AM247" s="1">
        <f t="shared" si="168"/>
        <v>0</v>
      </c>
      <c r="AN247" s="1">
        <f t="shared" si="168"/>
        <v>1</v>
      </c>
      <c r="AO247" s="1">
        <f t="shared" si="168"/>
        <v>1</v>
      </c>
      <c r="AP247" s="1">
        <f t="shared" si="168"/>
        <v>1</v>
      </c>
      <c r="AQ247" s="1">
        <f t="shared" si="168"/>
        <v>1</v>
      </c>
      <c r="AR247" s="1">
        <f t="shared" si="168"/>
        <v>1</v>
      </c>
      <c r="AS247" s="1">
        <f t="shared" si="168"/>
        <v>1</v>
      </c>
      <c r="AT247" s="39">
        <f t="shared" si="136"/>
        <v>155563.1961161558</v>
      </c>
      <c r="AU247" s="39">
        <f t="shared" si="154"/>
        <v>155563.1961161558</v>
      </c>
      <c r="AV247" s="39">
        <f t="shared" si="165"/>
        <v>0</v>
      </c>
      <c r="AW247" s="3">
        <f t="shared" si="137"/>
        <v>173</v>
      </c>
      <c r="AX247" s="69">
        <f t="shared" si="155"/>
        <v>0</v>
      </c>
      <c r="AY247" s="75">
        <f t="shared" si="138"/>
        <v>0</v>
      </c>
      <c r="AZ247" s="75">
        <f t="shared" si="139"/>
        <v>0</v>
      </c>
      <c r="BA247" s="75">
        <f t="shared" si="140"/>
        <v>0</v>
      </c>
      <c r="BB247" s="75">
        <f t="shared" si="141"/>
        <v>0</v>
      </c>
      <c r="BD247" s="214">
        <f t="shared" si="156"/>
        <v>171894.02188960544</v>
      </c>
      <c r="BE247" s="214">
        <f t="shared" si="142"/>
        <v>836.7028434278393</v>
      </c>
      <c r="BF247" s="214">
        <f t="shared" si="143"/>
        <v>-284.43156483856302</v>
      </c>
      <c r="BG247" s="224">
        <f t="shared" si="161"/>
        <v>0</v>
      </c>
      <c r="BH247" s="19">
        <f t="shared" si="157"/>
        <v>228230.5862426293</v>
      </c>
      <c r="BI247" s="214">
        <f t="shared" si="144"/>
        <v>1110.9239190938856</v>
      </c>
      <c r="BJ247" s="214">
        <f t="shared" si="145"/>
        <v>0</v>
      </c>
      <c r="BK247" s="19">
        <f t="shared" si="162"/>
        <v>0</v>
      </c>
    </row>
    <row r="248" spans="1:63">
      <c r="A248" s="165">
        <f t="shared" si="146"/>
        <v>76.472792607802873</v>
      </c>
      <c r="B248" s="69">
        <f t="shared" si="147"/>
        <v>15</v>
      </c>
      <c r="C248" s="70">
        <f t="shared" si="148"/>
        <v>174</v>
      </c>
      <c r="D248" s="13">
        <f t="shared" si="117"/>
        <v>4.8675505653430484E-3</v>
      </c>
      <c r="E248" s="15">
        <f t="shared" si="118"/>
        <v>1</v>
      </c>
      <c r="F248" s="15">
        <f t="shared" si="149"/>
        <v>0</v>
      </c>
      <c r="G248" s="15">
        <f t="shared" si="119"/>
        <v>0</v>
      </c>
      <c r="H248" s="73">
        <f t="shared" si="120"/>
        <v>0</v>
      </c>
      <c r="I248" s="189"/>
      <c r="J248" s="189"/>
      <c r="K248" s="5">
        <f t="shared" si="163"/>
        <v>155563.1961161558</v>
      </c>
      <c r="M248" s="5">
        <f t="shared" si="121"/>
        <v>757.21172320176572</v>
      </c>
      <c r="N248" s="5">
        <f t="shared" si="122"/>
        <v>-257.40908739120101</v>
      </c>
      <c r="O248" s="5">
        <f t="shared" si="123"/>
        <v>0</v>
      </c>
      <c r="P248" s="5">
        <f t="shared" si="124"/>
        <v>0</v>
      </c>
      <c r="Q248" s="5">
        <f t="shared" si="158"/>
        <v>0</v>
      </c>
      <c r="R248" s="5">
        <f t="shared" si="150"/>
        <v>0</v>
      </c>
      <c r="S248" s="5">
        <f t="shared" si="125"/>
        <v>0</v>
      </c>
      <c r="T248" s="5">
        <f t="shared" si="126"/>
        <v>0</v>
      </c>
      <c r="U248" s="74">
        <f t="shared" si="127"/>
        <v>0</v>
      </c>
      <c r="V248" s="75">
        <f t="shared" si="128"/>
        <v>0</v>
      </c>
      <c r="W248" s="5">
        <f t="shared" si="129"/>
        <v>0</v>
      </c>
      <c r="X248" s="5">
        <f t="shared" si="130"/>
        <v>156062.99875196637</v>
      </c>
      <c r="Y248" s="5">
        <f t="shared" si="151"/>
        <v>100000</v>
      </c>
      <c r="Z248" s="215">
        <f t="shared" si="131"/>
        <v>1</v>
      </c>
      <c r="AA248" s="216">
        <f t="shared" si="152"/>
        <v>0</v>
      </c>
      <c r="AB248" s="72">
        <f t="shared" si="159"/>
        <v>13188.158705474159</v>
      </c>
      <c r="AC248" s="72">
        <f t="shared" si="132"/>
        <v>0</v>
      </c>
      <c r="AD248" s="72">
        <f t="shared" si="133"/>
        <v>0</v>
      </c>
      <c r="AE248" s="72">
        <f t="shared" si="153"/>
        <v>-32.498316449409685</v>
      </c>
      <c r="AF248" s="70">
        <f t="shared" si="134"/>
        <v>0</v>
      </c>
      <c r="AG248" s="70">
        <f t="shared" si="135"/>
        <v>13127.281128353245</v>
      </c>
      <c r="AH248" s="1">
        <f t="shared" si="168"/>
        <v>0</v>
      </c>
      <c r="AI248" s="1">
        <f t="shared" si="168"/>
        <v>0</v>
      </c>
      <c r="AJ248" s="1">
        <f t="shared" si="168"/>
        <v>0</v>
      </c>
      <c r="AK248" s="1">
        <f t="shared" si="168"/>
        <v>0</v>
      </c>
      <c r="AL248" s="1">
        <f t="shared" si="168"/>
        <v>0</v>
      </c>
      <c r="AM248" s="1">
        <f t="shared" si="168"/>
        <v>0</v>
      </c>
      <c r="AN248" s="1">
        <f t="shared" si="168"/>
        <v>1</v>
      </c>
      <c r="AO248" s="1">
        <f t="shared" si="168"/>
        <v>1</v>
      </c>
      <c r="AP248" s="1">
        <f t="shared" si="168"/>
        <v>1</v>
      </c>
      <c r="AQ248" s="1">
        <f t="shared" si="168"/>
        <v>1</v>
      </c>
      <c r="AR248" s="1">
        <f t="shared" si="168"/>
        <v>1</v>
      </c>
      <c r="AS248" s="1">
        <f t="shared" si="168"/>
        <v>1</v>
      </c>
      <c r="AT248" s="39">
        <f t="shared" si="136"/>
        <v>156062.99875196637</v>
      </c>
      <c r="AU248" s="39">
        <f t="shared" si="154"/>
        <v>156062.99875196637</v>
      </c>
      <c r="AV248" s="39">
        <f t="shared" si="165"/>
        <v>0</v>
      </c>
      <c r="AW248" s="3">
        <f t="shared" si="137"/>
        <v>174</v>
      </c>
      <c r="AX248" s="69">
        <f t="shared" si="155"/>
        <v>0</v>
      </c>
      <c r="AY248" s="75">
        <f t="shared" si="138"/>
        <v>0</v>
      </c>
      <c r="AZ248" s="75">
        <f t="shared" si="139"/>
        <v>0</v>
      </c>
      <c r="BA248" s="75">
        <f t="shared" si="140"/>
        <v>0</v>
      </c>
      <c r="BB248" s="75">
        <f t="shared" si="141"/>
        <v>0</v>
      </c>
      <c r="BD248" s="214">
        <f t="shared" si="156"/>
        <v>172446.29316819471</v>
      </c>
      <c r="BE248" s="214">
        <f t="shared" si="142"/>
        <v>839.39105180215927</v>
      </c>
      <c r="BF248" s="214">
        <f t="shared" si="143"/>
        <v>-285.34540339011789</v>
      </c>
      <c r="BG248" s="224">
        <f t="shared" si="161"/>
        <v>0</v>
      </c>
      <c r="BH248" s="19">
        <f t="shared" si="157"/>
        <v>229341.51016172318</v>
      </c>
      <c r="BI248" s="214">
        <f t="shared" si="144"/>
        <v>1116.3313974443242</v>
      </c>
      <c r="BJ248" s="214">
        <f t="shared" si="145"/>
        <v>0</v>
      </c>
      <c r="BK248" s="19">
        <f t="shared" si="162"/>
        <v>0</v>
      </c>
    </row>
    <row r="249" spans="1:63">
      <c r="A249" s="165">
        <f t="shared" si="146"/>
        <v>76.556125941136202</v>
      </c>
      <c r="B249" s="69">
        <f t="shared" si="147"/>
        <v>15</v>
      </c>
      <c r="C249" s="70">
        <f t="shared" si="148"/>
        <v>175</v>
      </c>
      <c r="D249" s="13">
        <f t="shared" si="117"/>
        <v>4.8675505653430484E-3</v>
      </c>
      <c r="E249" s="15">
        <f t="shared" si="118"/>
        <v>1</v>
      </c>
      <c r="F249" s="15">
        <f t="shared" si="149"/>
        <v>0</v>
      </c>
      <c r="G249" s="15">
        <f t="shared" si="119"/>
        <v>0</v>
      </c>
      <c r="H249" s="73">
        <f t="shared" si="120"/>
        <v>0</v>
      </c>
      <c r="I249" s="189"/>
      <c r="J249" s="189"/>
      <c r="K249" s="5">
        <f t="shared" si="163"/>
        <v>156062.99875196637</v>
      </c>
      <c r="M249" s="5">
        <f t="shared" si="121"/>
        <v>759.64453780426538</v>
      </c>
      <c r="N249" s="5">
        <f t="shared" si="122"/>
        <v>-258.23610652922162</v>
      </c>
      <c r="O249" s="5">
        <f t="shared" si="123"/>
        <v>0</v>
      </c>
      <c r="P249" s="5">
        <f t="shared" si="124"/>
        <v>0</v>
      </c>
      <c r="Q249" s="5">
        <f t="shared" si="158"/>
        <v>0</v>
      </c>
      <c r="R249" s="5">
        <f t="shared" si="150"/>
        <v>0</v>
      </c>
      <c r="S249" s="5">
        <f t="shared" si="125"/>
        <v>0</v>
      </c>
      <c r="T249" s="5">
        <f t="shared" si="126"/>
        <v>0</v>
      </c>
      <c r="U249" s="74">
        <f t="shared" si="127"/>
        <v>0</v>
      </c>
      <c r="V249" s="75">
        <f t="shared" si="128"/>
        <v>0</v>
      </c>
      <c r="W249" s="5">
        <f t="shared" si="129"/>
        <v>0</v>
      </c>
      <c r="X249" s="5">
        <f t="shared" si="130"/>
        <v>156564.40718324142</v>
      </c>
      <c r="Y249" s="5">
        <f t="shared" si="151"/>
        <v>100000</v>
      </c>
      <c r="Z249" s="215">
        <f t="shared" si="131"/>
        <v>1</v>
      </c>
      <c r="AA249" s="216">
        <f t="shared" si="152"/>
        <v>0</v>
      </c>
      <c r="AB249" s="72">
        <f t="shared" si="159"/>
        <v>13188.158705474159</v>
      </c>
      <c r="AC249" s="72">
        <f t="shared" si="132"/>
        <v>0</v>
      </c>
      <c r="AD249" s="72">
        <f t="shared" si="133"/>
        <v>0</v>
      </c>
      <c r="AE249" s="72">
        <f t="shared" si="153"/>
        <v>-32.602728962306962</v>
      </c>
      <c r="AF249" s="70">
        <f t="shared" si="134"/>
        <v>0</v>
      </c>
      <c r="AG249" s="70">
        <f t="shared" si="135"/>
        <v>13317.816332237764</v>
      </c>
      <c r="AH249" s="1">
        <f t="shared" si="168"/>
        <v>0</v>
      </c>
      <c r="AI249" s="1">
        <f t="shared" si="168"/>
        <v>0</v>
      </c>
      <c r="AJ249" s="1">
        <f t="shared" si="168"/>
        <v>0</v>
      </c>
      <c r="AK249" s="1">
        <f t="shared" si="168"/>
        <v>0</v>
      </c>
      <c r="AL249" s="1">
        <f t="shared" si="168"/>
        <v>0</v>
      </c>
      <c r="AM249" s="1">
        <f t="shared" si="168"/>
        <v>0</v>
      </c>
      <c r="AN249" s="1">
        <f t="shared" si="168"/>
        <v>1</v>
      </c>
      <c r="AO249" s="1">
        <f t="shared" si="168"/>
        <v>1</v>
      </c>
      <c r="AP249" s="1">
        <f t="shared" si="168"/>
        <v>1</v>
      </c>
      <c r="AQ249" s="1">
        <f t="shared" si="168"/>
        <v>1</v>
      </c>
      <c r="AR249" s="1">
        <f t="shared" si="168"/>
        <v>1</v>
      </c>
      <c r="AS249" s="1">
        <f t="shared" si="168"/>
        <v>1</v>
      </c>
      <c r="AT249" s="39">
        <f t="shared" si="136"/>
        <v>156564.40718324142</v>
      </c>
      <c r="AU249" s="39">
        <f t="shared" si="154"/>
        <v>156564.40718324142</v>
      </c>
      <c r="AV249" s="39">
        <f t="shared" si="165"/>
        <v>0</v>
      </c>
      <c r="AW249" s="3">
        <f t="shared" si="137"/>
        <v>175</v>
      </c>
      <c r="AX249" s="69">
        <f t="shared" si="155"/>
        <v>0</v>
      </c>
      <c r="AY249" s="75">
        <f t="shared" si="138"/>
        <v>0</v>
      </c>
      <c r="AZ249" s="75">
        <f t="shared" si="139"/>
        <v>0</v>
      </c>
      <c r="BA249" s="75">
        <f t="shared" si="140"/>
        <v>0</v>
      </c>
      <c r="BB249" s="75">
        <f t="shared" si="141"/>
        <v>0</v>
      </c>
      <c r="BD249" s="214">
        <f t="shared" si="156"/>
        <v>173000.33881660676</v>
      </c>
      <c r="BE249" s="214">
        <f t="shared" si="142"/>
        <v>842.0878970113132</v>
      </c>
      <c r="BF249" s="214">
        <f t="shared" si="143"/>
        <v>-286.26217797621172</v>
      </c>
      <c r="BG249" s="224">
        <f t="shared" si="161"/>
        <v>0</v>
      </c>
      <c r="BH249" s="19">
        <f t="shared" si="157"/>
        <v>230457.84155916751</v>
      </c>
      <c r="BI249" s="214">
        <f t="shared" si="144"/>
        <v>1121.7651969690646</v>
      </c>
      <c r="BJ249" s="214">
        <f t="shared" si="145"/>
        <v>0</v>
      </c>
      <c r="BK249" s="19">
        <f t="shared" si="162"/>
        <v>0</v>
      </c>
    </row>
    <row r="250" spans="1:63">
      <c r="A250" s="165">
        <f t="shared" si="146"/>
        <v>76.639459274469544</v>
      </c>
      <c r="B250" s="69">
        <f t="shared" si="147"/>
        <v>15</v>
      </c>
      <c r="C250" s="70">
        <f t="shared" si="148"/>
        <v>176</v>
      </c>
      <c r="D250" s="13">
        <f t="shared" si="117"/>
        <v>4.8675505653430484E-3</v>
      </c>
      <c r="E250" s="15">
        <f t="shared" si="118"/>
        <v>1</v>
      </c>
      <c r="F250" s="15">
        <f t="shared" si="149"/>
        <v>0</v>
      </c>
      <c r="G250" s="15">
        <f t="shared" si="119"/>
        <v>0</v>
      </c>
      <c r="H250" s="73">
        <f t="shared" si="120"/>
        <v>0</v>
      </c>
      <c r="I250" s="189"/>
      <c r="J250" s="189"/>
      <c r="K250" s="5">
        <f t="shared" si="163"/>
        <v>156564.40718324142</v>
      </c>
      <c r="M250" s="5">
        <f t="shared" si="121"/>
        <v>762.08516869738605</v>
      </c>
      <c r="N250" s="5">
        <f t="shared" si="122"/>
        <v>-259.06578276323523</v>
      </c>
      <c r="O250" s="5">
        <f t="shared" si="123"/>
        <v>0</v>
      </c>
      <c r="P250" s="5">
        <f t="shared" si="124"/>
        <v>0</v>
      </c>
      <c r="Q250" s="5">
        <f t="shared" si="158"/>
        <v>0</v>
      </c>
      <c r="R250" s="5">
        <f t="shared" si="150"/>
        <v>0</v>
      </c>
      <c r="S250" s="5">
        <f t="shared" si="125"/>
        <v>0</v>
      </c>
      <c r="T250" s="5">
        <f t="shared" si="126"/>
        <v>0</v>
      </c>
      <c r="U250" s="74">
        <f t="shared" si="127"/>
        <v>0</v>
      </c>
      <c r="V250" s="75">
        <f t="shared" si="128"/>
        <v>0</v>
      </c>
      <c r="W250" s="5">
        <f t="shared" si="129"/>
        <v>0</v>
      </c>
      <c r="X250" s="5">
        <f t="shared" si="130"/>
        <v>157067.42656917556</v>
      </c>
      <c r="Y250" s="5">
        <f t="shared" si="151"/>
        <v>100000</v>
      </c>
      <c r="Z250" s="215">
        <f t="shared" si="131"/>
        <v>1</v>
      </c>
      <c r="AA250" s="216">
        <f t="shared" si="152"/>
        <v>0</v>
      </c>
      <c r="AB250" s="72">
        <f t="shared" si="159"/>
        <v>13188.158705474159</v>
      </c>
      <c r="AC250" s="72">
        <f t="shared" si="132"/>
        <v>0</v>
      </c>
      <c r="AD250" s="72">
        <f t="shared" si="133"/>
        <v>0</v>
      </c>
      <c r="AE250" s="72">
        <f t="shared" si="153"/>
        <v>-32.707476937900196</v>
      </c>
      <c r="AF250" s="70">
        <f t="shared" si="134"/>
        <v>0</v>
      </c>
      <c r="AG250" s="70">
        <f t="shared" si="135"/>
        <v>13508.963698892736</v>
      </c>
      <c r="AH250" s="1">
        <f t="shared" si="168"/>
        <v>0</v>
      </c>
      <c r="AI250" s="1">
        <f t="shared" si="168"/>
        <v>0</v>
      </c>
      <c r="AJ250" s="1">
        <f t="shared" si="168"/>
        <v>0</v>
      </c>
      <c r="AK250" s="1">
        <f t="shared" si="168"/>
        <v>0</v>
      </c>
      <c r="AL250" s="1">
        <f t="shared" si="168"/>
        <v>0</v>
      </c>
      <c r="AM250" s="1">
        <f t="shared" si="168"/>
        <v>0</v>
      </c>
      <c r="AN250" s="1">
        <f t="shared" si="168"/>
        <v>1</v>
      </c>
      <c r="AO250" s="1">
        <f t="shared" si="168"/>
        <v>1</v>
      </c>
      <c r="AP250" s="1">
        <f t="shared" si="168"/>
        <v>1</v>
      </c>
      <c r="AQ250" s="1">
        <f t="shared" si="168"/>
        <v>1</v>
      </c>
      <c r="AR250" s="1">
        <f t="shared" si="168"/>
        <v>1</v>
      </c>
      <c r="AS250" s="1">
        <f t="shared" si="168"/>
        <v>1</v>
      </c>
      <c r="AT250" s="39">
        <f t="shared" si="136"/>
        <v>157067.42656917556</v>
      </c>
      <c r="AU250" s="39">
        <f t="shared" si="154"/>
        <v>157067.42656917556</v>
      </c>
      <c r="AV250" s="39">
        <f t="shared" si="165"/>
        <v>0</v>
      </c>
      <c r="AW250" s="3">
        <f t="shared" si="137"/>
        <v>176</v>
      </c>
      <c r="AX250" s="69">
        <f t="shared" si="155"/>
        <v>0</v>
      </c>
      <c r="AY250" s="75">
        <f t="shared" si="138"/>
        <v>0</v>
      </c>
      <c r="AZ250" s="75">
        <f t="shared" si="139"/>
        <v>0</v>
      </c>
      <c r="BA250" s="75">
        <f t="shared" si="140"/>
        <v>0</v>
      </c>
      <c r="BB250" s="75">
        <f t="shared" si="141"/>
        <v>0</v>
      </c>
      <c r="BD250" s="214">
        <f t="shared" si="156"/>
        <v>173556.16453564187</v>
      </c>
      <c r="BE250" s="214">
        <f t="shared" si="142"/>
        <v>844.79340680423468</v>
      </c>
      <c r="BF250" s="214">
        <f t="shared" si="143"/>
        <v>-287.18189802990969</v>
      </c>
      <c r="BG250" s="224">
        <f t="shared" si="161"/>
        <v>0</v>
      </c>
      <c r="BH250" s="19">
        <f t="shared" si="157"/>
        <v>231579.60675613658</v>
      </c>
      <c r="BI250" s="214">
        <f t="shared" si="144"/>
        <v>1127.2254457877534</v>
      </c>
      <c r="BJ250" s="214">
        <f t="shared" si="145"/>
        <v>0</v>
      </c>
      <c r="BK250" s="19">
        <f t="shared" si="162"/>
        <v>0</v>
      </c>
    </row>
    <row r="251" spans="1:63">
      <c r="A251" s="165">
        <f t="shared" si="146"/>
        <v>76.722792607802873</v>
      </c>
      <c r="B251" s="69">
        <f t="shared" si="147"/>
        <v>15</v>
      </c>
      <c r="C251" s="70">
        <f t="shared" si="148"/>
        <v>177</v>
      </c>
      <c r="D251" s="13">
        <f t="shared" si="117"/>
        <v>4.8675505653430484E-3</v>
      </c>
      <c r="E251" s="15">
        <f t="shared" si="118"/>
        <v>1</v>
      </c>
      <c r="F251" s="15">
        <f t="shared" si="149"/>
        <v>0</v>
      </c>
      <c r="G251" s="15">
        <f t="shared" si="119"/>
        <v>0</v>
      </c>
      <c r="H251" s="73">
        <f t="shared" si="120"/>
        <v>0</v>
      </c>
      <c r="I251" s="189"/>
      <c r="J251" s="189"/>
      <c r="K251" s="5">
        <f t="shared" si="163"/>
        <v>157067.42656917556</v>
      </c>
      <c r="M251" s="5">
        <f t="shared" si="121"/>
        <v>764.53364099376824</v>
      </c>
      <c r="N251" s="5">
        <f t="shared" si="122"/>
        <v>-259.8981246301168</v>
      </c>
      <c r="O251" s="5">
        <f t="shared" si="123"/>
        <v>0</v>
      </c>
      <c r="P251" s="5">
        <f t="shared" si="124"/>
        <v>0</v>
      </c>
      <c r="Q251" s="5">
        <f t="shared" si="158"/>
        <v>0</v>
      </c>
      <c r="R251" s="5">
        <f t="shared" si="150"/>
        <v>0</v>
      </c>
      <c r="S251" s="5">
        <f t="shared" si="125"/>
        <v>0</v>
      </c>
      <c r="T251" s="5">
        <f t="shared" si="126"/>
        <v>0</v>
      </c>
      <c r="U251" s="74">
        <f t="shared" si="127"/>
        <v>0</v>
      </c>
      <c r="V251" s="75">
        <f t="shared" si="128"/>
        <v>0</v>
      </c>
      <c r="W251" s="5">
        <f t="shared" si="129"/>
        <v>0</v>
      </c>
      <c r="X251" s="5">
        <f t="shared" si="130"/>
        <v>157572.06208553919</v>
      </c>
      <c r="Y251" s="5">
        <f t="shared" si="151"/>
        <v>100000</v>
      </c>
      <c r="Z251" s="215">
        <f t="shared" si="131"/>
        <v>1</v>
      </c>
      <c r="AA251" s="216">
        <f t="shared" si="152"/>
        <v>0</v>
      </c>
      <c r="AB251" s="72">
        <f t="shared" si="159"/>
        <v>13188.158705474159</v>
      </c>
      <c r="AC251" s="72">
        <f t="shared" si="132"/>
        <v>0</v>
      </c>
      <c r="AD251" s="72">
        <f t="shared" si="133"/>
        <v>0</v>
      </c>
      <c r="AE251" s="72">
        <f t="shared" si="153"/>
        <v>-32.812561453983733</v>
      </c>
      <c r="AF251" s="70">
        <f t="shared" si="134"/>
        <v>0</v>
      </c>
      <c r="AG251" s="70">
        <f t="shared" si="135"/>
        <v>13700.725195110916</v>
      </c>
      <c r="AH251" s="1">
        <f t="shared" si="168"/>
        <v>0</v>
      </c>
      <c r="AI251" s="1">
        <f t="shared" si="168"/>
        <v>0</v>
      </c>
      <c r="AJ251" s="1">
        <f t="shared" si="168"/>
        <v>0</v>
      </c>
      <c r="AK251" s="1">
        <f t="shared" si="168"/>
        <v>0</v>
      </c>
      <c r="AL251" s="1">
        <f t="shared" si="168"/>
        <v>0</v>
      </c>
      <c r="AM251" s="1">
        <f t="shared" si="168"/>
        <v>0</v>
      </c>
      <c r="AN251" s="1">
        <f t="shared" si="168"/>
        <v>1</v>
      </c>
      <c r="AO251" s="1">
        <f t="shared" si="168"/>
        <v>1</v>
      </c>
      <c r="AP251" s="1">
        <f t="shared" si="168"/>
        <v>1</v>
      </c>
      <c r="AQ251" s="1">
        <f t="shared" si="168"/>
        <v>1</v>
      </c>
      <c r="AR251" s="1">
        <f t="shared" si="168"/>
        <v>1</v>
      </c>
      <c r="AS251" s="1">
        <f t="shared" si="168"/>
        <v>1</v>
      </c>
      <c r="AT251" s="39">
        <f t="shared" si="136"/>
        <v>157572.06208553919</v>
      </c>
      <c r="AU251" s="39">
        <f t="shared" si="154"/>
        <v>157572.06208553919</v>
      </c>
      <c r="AV251" s="39">
        <f t="shared" si="165"/>
        <v>0</v>
      </c>
      <c r="AW251" s="3">
        <f t="shared" si="137"/>
        <v>177</v>
      </c>
      <c r="AX251" s="69">
        <f t="shared" si="155"/>
        <v>0</v>
      </c>
      <c r="AY251" s="75">
        <f t="shared" si="138"/>
        <v>0</v>
      </c>
      <c r="AZ251" s="75">
        <f t="shared" si="139"/>
        <v>0</v>
      </c>
      <c r="BA251" s="75">
        <f t="shared" si="140"/>
        <v>0</v>
      </c>
      <c r="BB251" s="75">
        <f t="shared" si="141"/>
        <v>0</v>
      </c>
      <c r="BD251" s="214">
        <f t="shared" si="156"/>
        <v>174113.77604441621</v>
      </c>
      <c r="BE251" s="214">
        <f t="shared" si="142"/>
        <v>847.50760901901106</v>
      </c>
      <c r="BF251" s="214">
        <f t="shared" si="143"/>
        <v>-288.1045730145845</v>
      </c>
      <c r="BG251" s="224">
        <f t="shared" si="161"/>
        <v>0</v>
      </c>
      <c r="BH251" s="19">
        <f t="shared" si="157"/>
        <v>232706.83220192432</v>
      </c>
      <c r="BI251" s="214">
        <f t="shared" si="144"/>
        <v>1132.7122726436667</v>
      </c>
      <c r="BJ251" s="214">
        <f t="shared" si="145"/>
        <v>0</v>
      </c>
      <c r="BK251" s="19">
        <f t="shared" si="162"/>
        <v>0</v>
      </c>
    </row>
    <row r="252" spans="1:63">
      <c r="A252" s="165">
        <f t="shared" si="146"/>
        <v>76.806125941136202</v>
      </c>
      <c r="B252" s="69">
        <f t="shared" si="147"/>
        <v>15</v>
      </c>
      <c r="C252" s="70">
        <f t="shared" si="148"/>
        <v>178</v>
      </c>
      <c r="D252" s="13">
        <f t="shared" si="117"/>
        <v>4.8675505653430484E-3</v>
      </c>
      <c r="E252" s="15">
        <f t="shared" si="118"/>
        <v>1</v>
      </c>
      <c r="F252" s="15">
        <f t="shared" si="149"/>
        <v>0</v>
      </c>
      <c r="G252" s="15">
        <f t="shared" si="119"/>
        <v>0</v>
      </c>
      <c r="H252" s="73">
        <f t="shared" si="120"/>
        <v>0</v>
      </c>
      <c r="I252" s="189"/>
      <c r="J252" s="189"/>
      <c r="K252" s="5">
        <f t="shared" si="163"/>
        <v>157572.06208553919</v>
      </c>
      <c r="M252" s="5">
        <f t="shared" si="121"/>
        <v>766.98997988673625</v>
      </c>
      <c r="N252" s="5">
        <f t="shared" si="122"/>
        <v>-260.73314069416938</v>
      </c>
      <c r="O252" s="5">
        <f t="shared" si="123"/>
        <v>0</v>
      </c>
      <c r="P252" s="5">
        <f t="shared" si="124"/>
        <v>0</v>
      </c>
      <c r="Q252" s="5">
        <f t="shared" si="158"/>
        <v>0</v>
      </c>
      <c r="R252" s="5">
        <f t="shared" si="150"/>
        <v>0</v>
      </c>
      <c r="S252" s="5">
        <f t="shared" si="125"/>
        <v>0</v>
      </c>
      <c r="T252" s="5">
        <f t="shared" si="126"/>
        <v>0</v>
      </c>
      <c r="U252" s="74">
        <f t="shared" si="127"/>
        <v>0</v>
      </c>
      <c r="V252" s="75">
        <f t="shared" si="128"/>
        <v>0</v>
      </c>
      <c r="W252" s="5">
        <f t="shared" si="129"/>
        <v>0</v>
      </c>
      <c r="X252" s="5">
        <f t="shared" si="130"/>
        <v>158078.31892473175</v>
      </c>
      <c r="Y252" s="5">
        <f t="shared" si="151"/>
        <v>100000</v>
      </c>
      <c r="Z252" s="215">
        <f t="shared" si="131"/>
        <v>1</v>
      </c>
      <c r="AA252" s="216">
        <f t="shared" si="152"/>
        <v>0</v>
      </c>
      <c r="AB252" s="72">
        <f t="shared" si="159"/>
        <v>13188.158705474159</v>
      </c>
      <c r="AC252" s="72">
        <f t="shared" si="132"/>
        <v>0</v>
      </c>
      <c r="AD252" s="72">
        <f t="shared" si="133"/>
        <v>0</v>
      </c>
      <c r="AE252" s="72">
        <f t="shared" si="153"/>
        <v>-32.917983591814789</v>
      </c>
      <c r="AF252" s="70">
        <f t="shared" si="134"/>
        <v>0</v>
      </c>
      <c r="AG252" s="70">
        <f t="shared" si="135"/>
        <v>13893.102794004089</v>
      </c>
      <c r="AH252" s="1">
        <f t="shared" si="168"/>
        <v>0</v>
      </c>
      <c r="AI252" s="1">
        <f t="shared" si="168"/>
        <v>0</v>
      </c>
      <c r="AJ252" s="1">
        <f t="shared" si="168"/>
        <v>0</v>
      </c>
      <c r="AK252" s="1">
        <f t="shared" si="168"/>
        <v>0</v>
      </c>
      <c r="AL252" s="1">
        <f t="shared" si="168"/>
        <v>0</v>
      </c>
      <c r="AM252" s="1">
        <f t="shared" si="168"/>
        <v>0</v>
      </c>
      <c r="AN252" s="1">
        <f t="shared" si="168"/>
        <v>1</v>
      </c>
      <c r="AO252" s="1">
        <f t="shared" si="168"/>
        <v>1</v>
      </c>
      <c r="AP252" s="1">
        <f t="shared" si="168"/>
        <v>1</v>
      </c>
      <c r="AQ252" s="1">
        <f t="shared" si="168"/>
        <v>1</v>
      </c>
      <c r="AR252" s="1">
        <f t="shared" si="168"/>
        <v>1</v>
      </c>
      <c r="AS252" s="1">
        <f t="shared" si="168"/>
        <v>1</v>
      </c>
      <c r="AT252" s="39">
        <f t="shared" si="136"/>
        <v>158078.31892473175</v>
      </c>
      <c r="AU252" s="39">
        <f t="shared" si="154"/>
        <v>158078.31892473175</v>
      </c>
      <c r="AV252" s="39">
        <f t="shared" si="165"/>
        <v>0</v>
      </c>
      <c r="AW252" s="3">
        <f t="shared" si="137"/>
        <v>178</v>
      </c>
      <c r="AX252" s="69">
        <f t="shared" si="155"/>
        <v>0</v>
      </c>
      <c r="AY252" s="75">
        <f t="shared" si="138"/>
        <v>0</v>
      </c>
      <c r="AZ252" s="75">
        <f t="shared" si="139"/>
        <v>0</v>
      </c>
      <c r="BA252" s="75">
        <f t="shared" si="140"/>
        <v>0</v>
      </c>
      <c r="BB252" s="75">
        <f t="shared" si="141"/>
        <v>0</v>
      </c>
      <c r="BD252" s="214">
        <f t="shared" si="156"/>
        <v>174673.17908042064</v>
      </c>
      <c r="BE252" s="214">
        <f t="shared" si="142"/>
        <v>850.23053158316907</v>
      </c>
      <c r="BF252" s="214">
        <f t="shared" si="143"/>
        <v>-289.03021242401297</v>
      </c>
      <c r="BG252" s="224">
        <f t="shared" si="161"/>
        <v>0</v>
      </c>
      <c r="BH252" s="19">
        <f t="shared" si="157"/>
        <v>233839.54447456799</v>
      </c>
      <c r="BI252" s="214">
        <f t="shared" si="144"/>
        <v>1138.2258069067443</v>
      </c>
      <c r="BJ252" s="214">
        <f t="shared" si="145"/>
        <v>0</v>
      </c>
      <c r="BK252" s="19">
        <f t="shared" si="162"/>
        <v>0</v>
      </c>
    </row>
    <row r="253" spans="1:63">
      <c r="A253" s="165">
        <f t="shared" si="146"/>
        <v>76.889459274469544</v>
      </c>
      <c r="B253" s="69">
        <f t="shared" si="147"/>
        <v>15</v>
      </c>
      <c r="C253" s="70">
        <f t="shared" si="148"/>
        <v>179</v>
      </c>
      <c r="D253" s="13">
        <f t="shared" si="117"/>
        <v>4.8675505653430484E-3</v>
      </c>
      <c r="E253" s="15">
        <f t="shared" si="118"/>
        <v>1</v>
      </c>
      <c r="F253" s="15">
        <f t="shared" si="149"/>
        <v>0</v>
      </c>
      <c r="G253" s="15">
        <f t="shared" si="119"/>
        <v>0</v>
      </c>
      <c r="H253" s="73">
        <f t="shared" si="120"/>
        <v>0</v>
      </c>
      <c r="I253" s="189"/>
      <c r="J253" s="189"/>
      <c r="K253" s="5">
        <f t="shared" si="163"/>
        <v>158078.31892473175</v>
      </c>
      <c r="M253" s="5">
        <f t="shared" si="121"/>
        <v>769.45421065055677</v>
      </c>
      <c r="N253" s="5">
        <f t="shared" si="122"/>
        <v>-261.57083954721173</v>
      </c>
      <c r="O253" s="5">
        <f t="shared" si="123"/>
        <v>0</v>
      </c>
      <c r="P253" s="5">
        <f t="shared" si="124"/>
        <v>0</v>
      </c>
      <c r="Q253" s="5">
        <f t="shared" si="158"/>
        <v>0</v>
      </c>
      <c r="R253" s="5">
        <f t="shared" si="150"/>
        <v>0</v>
      </c>
      <c r="S253" s="5">
        <f t="shared" si="125"/>
        <v>0</v>
      </c>
      <c r="T253" s="5">
        <f t="shared" si="126"/>
        <v>0</v>
      </c>
      <c r="U253" s="74">
        <f t="shared" si="127"/>
        <v>0</v>
      </c>
      <c r="V253" s="75">
        <f t="shared" si="128"/>
        <v>0</v>
      </c>
      <c r="W253" s="5">
        <f t="shared" si="129"/>
        <v>0</v>
      </c>
      <c r="X253" s="5">
        <f t="shared" si="130"/>
        <v>158586.2022958351</v>
      </c>
      <c r="Y253" s="5">
        <f t="shared" si="151"/>
        <v>100000</v>
      </c>
      <c r="Z253" s="215">
        <f t="shared" si="131"/>
        <v>1</v>
      </c>
      <c r="AA253" s="216">
        <f t="shared" si="152"/>
        <v>0</v>
      </c>
      <c r="AB253" s="72">
        <f t="shared" si="159"/>
        <v>13188.158705474159</v>
      </c>
      <c r="AC253" s="72">
        <f t="shared" si="132"/>
        <v>0</v>
      </c>
      <c r="AD253" s="72">
        <f t="shared" si="133"/>
        <v>0</v>
      </c>
      <c r="AE253" s="72">
        <f t="shared" si="153"/>
        <v>-33.023744436124474</v>
      </c>
      <c r="AF253" s="70">
        <f t="shared" si="134"/>
        <v>0</v>
      </c>
      <c r="AG253" s="70">
        <f t="shared" si="135"/>
        <v>14086.098475023364</v>
      </c>
      <c r="AH253" s="1">
        <f t="shared" si="168"/>
        <v>0</v>
      </c>
      <c r="AI253" s="1">
        <f t="shared" si="168"/>
        <v>0</v>
      </c>
      <c r="AJ253" s="1">
        <f t="shared" si="168"/>
        <v>0</v>
      </c>
      <c r="AK253" s="1">
        <f t="shared" si="168"/>
        <v>0</v>
      </c>
      <c r="AL253" s="1">
        <f t="shared" si="168"/>
        <v>0</v>
      </c>
      <c r="AM253" s="1">
        <f t="shared" si="168"/>
        <v>0</v>
      </c>
      <c r="AN253" s="1">
        <f t="shared" si="168"/>
        <v>1</v>
      </c>
      <c r="AO253" s="1">
        <f t="shared" si="168"/>
        <v>1</v>
      </c>
      <c r="AP253" s="1">
        <f t="shared" si="168"/>
        <v>1</v>
      </c>
      <c r="AQ253" s="1">
        <f t="shared" si="168"/>
        <v>1</v>
      </c>
      <c r="AR253" s="1">
        <f t="shared" si="168"/>
        <v>1</v>
      </c>
      <c r="AS253" s="1">
        <f t="shared" si="168"/>
        <v>1</v>
      </c>
      <c r="AT253" s="39">
        <f t="shared" si="136"/>
        <v>158586.2022958351</v>
      </c>
      <c r="AU253" s="39">
        <f t="shared" si="154"/>
        <v>158586.2022958351</v>
      </c>
      <c r="AV253" s="39">
        <f t="shared" si="165"/>
        <v>0</v>
      </c>
      <c r="AW253" s="3">
        <f t="shared" si="137"/>
        <v>179</v>
      </c>
      <c r="AX253" s="69">
        <f t="shared" si="155"/>
        <v>0</v>
      </c>
      <c r="AY253" s="75">
        <f t="shared" si="138"/>
        <v>0</v>
      </c>
      <c r="AZ253" s="75">
        <f t="shared" si="139"/>
        <v>0</v>
      </c>
      <c r="BA253" s="75">
        <f t="shared" si="140"/>
        <v>0</v>
      </c>
      <c r="BB253" s="75">
        <f t="shared" si="141"/>
        <v>0</v>
      </c>
      <c r="BD253" s="214">
        <f t="shared" si="156"/>
        <v>175234.37939957978</v>
      </c>
      <c r="BE253" s="214">
        <f t="shared" si="142"/>
        <v>852.96220251396278</v>
      </c>
      <c r="BF253" s="214">
        <f t="shared" si="143"/>
        <v>-289.95882578247432</v>
      </c>
      <c r="BG253" s="224">
        <f t="shared" si="161"/>
        <v>0</v>
      </c>
      <c r="BH253" s="19">
        <f t="shared" si="157"/>
        <v>234977.77028147472</v>
      </c>
      <c r="BI253" s="214">
        <f t="shared" si="144"/>
        <v>1143.7661785766413</v>
      </c>
      <c r="BJ253" s="214">
        <f t="shared" si="145"/>
        <v>0</v>
      </c>
      <c r="BK253" s="19">
        <f t="shared" si="162"/>
        <v>0</v>
      </c>
    </row>
    <row r="254" spans="1:63">
      <c r="A254" s="165">
        <f t="shared" si="146"/>
        <v>76.972792607802873</v>
      </c>
      <c r="B254" s="69">
        <f t="shared" si="147"/>
        <v>15</v>
      </c>
      <c r="C254" s="70">
        <f t="shared" si="148"/>
        <v>180</v>
      </c>
      <c r="D254" s="13">
        <f t="shared" si="117"/>
        <v>4.8675505653430484E-3</v>
      </c>
      <c r="E254" s="15">
        <f t="shared" si="118"/>
        <v>1</v>
      </c>
      <c r="F254" s="15">
        <f t="shared" si="149"/>
        <v>0</v>
      </c>
      <c r="G254" s="15">
        <f t="shared" si="119"/>
        <v>0</v>
      </c>
      <c r="H254" s="73">
        <f t="shared" si="120"/>
        <v>0</v>
      </c>
      <c r="I254" s="189"/>
      <c r="J254" s="189"/>
      <c r="K254" s="5">
        <f t="shared" si="163"/>
        <v>158586.2022958351</v>
      </c>
      <c r="M254" s="5">
        <f t="shared" si="121"/>
        <v>771.92635864069916</v>
      </c>
      <c r="N254" s="5">
        <f t="shared" si="122"/>
        <v>-262.41122980866709</v>
      </c>
      <c r="O254" s="5">
        <f t="shared" si="123"/>
        <v>0</v>
      </c>
      <c r="P254" s="5">
        <f t="shared" si="124"/>
        <v>0</v>
      </c>
      <c r="Q254" s="5">
        <f t="shared" si="158"/>
        <v>0</v>
      </c>
      <c r="R254" s="5">
        <f t="shared" si="150"/>
        <v>0</v>
      </c>
      <c r="S254" s="5">
        <f t="shared" si="125"/>
        <v>0</v>
      </c>
      <c r="T254" s="5">
        <f t="shared" si="126"/>
        <v>0</v>
      </c>
      <c r="U254" s="74">
        <f t="shared" si="127"/>
        <v>0</v>
      </c>
      <c r="V254" s="75">
        <f t="shared" si="128"/>
        <v>0</v>
      </c>
      <c r="W254" s="5">
        <f t="shared" si="129"/>
        <v>0</v>
      </c>
      <c r="X254" s="5">
        <f t="shared" si="130"/>
        <v>159095.71742466712</v>
      </c>
      <c r="Y254" s="5">
        <f t="shared" si="151"/>
        <v>100000</v>
      </c>
      <c r="Z254" s="215">
        <f t="shared" si="131"/>
        <v>1</v>
      </c>
      <c r="AA254" s="216">
        <f t="shared" si="152"/>
        <v>0</v>
      </c>
      <c r="AB254" s="72">
        <f t="shared" si="159"/>
        <v>13188.158705474159</v>
      </c>
      <c r="AC254" s="72">
        <f t="shared" si="132"/>
        <v>0</v>
      </c>
      <c r="AD254" s="72">
        <f t="shared" si="133"/>
        <v>0</v>
      </c>
      <c r="AE254" s="72">
        <f t="shared" si="153"/>
        <v>-33.129845075128998</v>
      </c>
      <c r="AF254" s="70">
        <f t="shared" si="134"/>
        <v>0</v>
      </c>
      <c r="AG254" s="70">
        <f t="shared" si="135"/>
        <v>14279.71422397953</v>
      </c>
      <c r="AH254" s="1">
        <f t="shared" si="168"/>
        <v>0</v>
      </c>
      <c r="AI254" s="1">
        <f t="shared" si="168"/>
        <v>0</v>
      </c>
      <c r="AJ254" s="1">
        <f t="shared" si="168"/>
        <v>0</v>
      </c>
      <c r="AK254" s="1">
        <f t="shared" si="168"/>
        <v>0</v>
      </c>
      <c r="AL254" s="1">
        <f t="shared" si="168"/>
        <v>0</v>
      </c>
      <c r="AM254" s="1">
        <f t="shared" si="168"/>
        <v>0</v>
      </c>
      <c r="AN254" s="1">
        <f t="shared" si="168"/>
        <v>1</v>
      </c>
      <c r="AO254" s="1">
        <f t="shared" si="168"/>
        <v>1</v>
      </c>
      <c r="AP254" s="1">
        <f t="shared" si="168"/>
        <v>1</v>
      </c>
      <c r="AQ254" s="1">
        <f t="shared" si="168"/>
        <v>1</v>
      </c>
      <c r="AR254" s="1">
        <f t="shared" si="168"/>
        <v>1</v>
      </c>
      <c r="AS254" s="1">
        <f t="shared" si="168"/>
        <v>1</v>
      </c>
      <c r="AT254" s="39">
        <f t="shared" si="136"/>
        <v>159095.71742466712</v>
      </c>
      <c r="AU254" s="39">
        <f t="shared" si="154"/>
        <v>159095.71742466712</v>
      </c>
      <c r="AV254" s="39">
        <f t="shared" si="165"/>
        <v>0</v>
      </c>
      <c r="AW254" s="3">
        <f t="shared" si="137"/>
        <v>180</v>
      </c>
      <c r="AX254" s="69">
        <f t="shared" si="155"/>
        <v>0</v>
      </c>
      <c r="AY254" s="75">
        <f t="shared" si="138"/>
        <v>0</v>
      </c>
      <c r="AZ254" s="75">
        <f t="shared" si="139"/>
        <v>0</v>
      </c>
      <c r="BA254" s="75">
        <f t="shared" si="140"/>
        <v>0</v>
      </c>
      <c r="BB254" s="75">
        <f t="shared" si="141"/>
        <v>0</v>
      </c>
      <c r="BD254" s="214">
        <f t="shared" si="156"/>
        <v>175797.38277631128</v>
      </c>
      <c r="BE254" s="214">
        <f t="shared" si="142"/>
        <v>855.70264991866225</v>
      </c>
      <c r="BF254" s="214">
        <f t="shared" si="143"/>
        <v>-290.89042264484794</v>
      </c>
      <c r="BG254" s="224">
        <f t="shared" si="161"/>
        <v>0</v>
      </c>
      <c r="BH254" s="19">
        <f t="shared" si="157"/>
        <v>236121.53646005137</v>
      </c>
      <c r="BI254" s="214">
        <f t="shared" si="144"/>
        <v>1149.3335182857923</v>
      </c>
      <c r="BJ254" s="214">
        <f t="shared" si="145"/>
        <v>0</v>
      </c>
      <c r="BK254" s="19">
        <f t="shared" si="162"/>
        <v>0</v>
      </c>
    </row>
    <row r="255" spans="1:63">
      <c r="A255" s="165">
        <f t="shared" si="146"/>
        <v>77.056125941136202</v>
      </c>
      <c r="B255" s="69">
        <f t="shared" si="147"/>
        <v>16</v>
      </c>
      <c r="C255" s="70">
        <f t="shared" si="148"/>
        <v>181</v>
      </c>
      <c r="D255" s="13">
        <f t="shared" si="117"/>
        <v>4.8675505653430484E-3</v>
      </c>
      <c r="E255" s="15">
        <f t="shared" si="118"/>
        <v>1</v>
      </c>
      <c r="F255" s="15">
        <f t="shared" si="149"/>
        <v>0</v>
      </c>
      <c r="G255" s="15">
        <f t="shared" si="119"/>
        <v>0</v>
      </c>
      <c r="H255" s="73">
        <f t="shared" si="120"/>
        <v>0</v>
      </c>
      <c r="I255" s="189"/>
      <c r="J255" s="189"/>
      <c r="K255" s="5">
        <f t="shared" si="163"/>
        <v>159095.71742466712</v>
      </c>
      <c r="M255" s="5">
        <f t="shared" si="121"/>
        <v>774.40644929409632</v>
      </c>
      <c r="N255" s="5">
        <f t="shared" si="122"/>
        <v>-263.25432012565136</v>
      </c>
      <c r="O255" s="5">
        <f t="shared" si="123"/>
        <v>0</v>
      </c>
      <c r="P255" s="5">
        <f t="shared" si="124"/>
        <v>0</v>
      </c>
      <c r="Q255" s="5">
        <f t="shared" si="158"/>
        <v>0</v>
      </c>
      <c r="R255" s="5">
        <f t="shared" si="150"/>
        <v>0</v>
      </c>
      <c r="S255" s="5">
        <f t="shared" si="125"/>
        <v>0</v>
      </c>
      <c r="T255" s="5">
        <f t="shared" si="126"/>
        <v>0</v>
      </c>
      <c r="U255" s="74">
        <f t="shared" si="127"/>
        <v>0</v>
      </c>
      <c r="V255" s="75">
        <f t="shared" si="128"/>
        <v>0</v>
      </c>
      <c r="W255" s="5">
        <f t="shared" si="129"/>
        <v>0</v>
      </c>
      <c r="X255" s="5">
        <f t="shared" si="130"/>
        <v>159606.86955383557</v>
      </c>
      <c r="Y255" s="5">
        <f t="shared" si="151"/>
        <v>100000</v>
      </c>
      <c r="Z255" s="215">
        <f t="shared" si="131"/>
        <v>1</v>
      </c>
      <c r="AA255" s="216">
        <f t="shared" si="152"/>
        <v>0</v>
      </c>
      <c r="AB255" s="72">
        <f t="shared" si="159"/>
        <v>13188.158705474159</v>
      </c>
      <c r="AC255" s="72">
        <f t="shared" si="132"/>
        <v>0</v>
      </c>
      <c r="AD255" s="72">
        <f t="shared" si="133"/>
        <v>0</v>
      </c>
      <c r="AE255" s="72">
        <f t="shared" si="153"/>
        <v>-33.236286600540829</v>
      </c>
      <c r="AF255" s="70">
        <f t="shared" si="134"/>
        <v>0</v>
      </c>
      <c r="AG255" s="70">
        <f t="shared" si="135"/>
        <v>14473.952033063541</v>
      </c>
      <c r="AH255" s="1">
        <f t="shared" ref="AH255:AS264" si="169">IF($B255&lt;=AH$74,1,0)</f>
        <v>0</v>
      </c>
      <c r="AI255" s="1">
        <f t="shared" si="169"/>
        <v>0</v>
      </c>
      <c r="AJ255" s="1">
        <f t="shared" si="169"/>
        <v>0</v>
      </c>
      <c r="AK255" s="1">
        <f t="shared" si="169"/>
        <v>0</v>
      </c>
      <c r="AL255" s="1">
        <f t="shared" si="169"/>
        <v>0</v>
      </c>
      <c r="AM255" s="1">
        <f t="shared" si="169"/>
        <v>0</v>
      </c>
      <c r="AN255" s="1">
        <f t="shared" si="169"/>
        <v>0</v>
      </c>
      <c r="AO255" s="1">
        <f t="shared" si="169"/>
        <v>1</v>
      </c>
      <c r="AP255" s="1">
        <f t="shared" si="169"/>
        <v>1</v>
      </c>
      <c r="AQ255" s="1">
        <f t="shared" si="169"/>
        <v>1</v>
      </c>
      <c r="AR255" s="1">
        <f t="shared" si="169"/>
        <v>1</v>
      </c>
      <c r="AS255" s="1">
        <f t="shared" si="169"/>
        <v>1</v>
      </c>
      <c r="AT255" s="39">
        <f t="shared" si="136"/>
        <v>159606.86955383557</v>
      </c>
      <c r="AU255" s="39">
        <f t="shared" si="154"/>
        <v>159606.86955383557</v>
      </c>
      <c r="AV255" s="39">
        <f t="shared" si="165"/>
        <v>0</v>
      </c>
      <c r="AW255" s="3">
        <f t="shared" si="137"/>
        <v>181</v>
      </c>
      <c r="AX255" s="69">
        <f t="shared" si="155"/>
        <v>0</v>
      </c>
      <c r="AY255" s="75">
        <f t="shared" si="138"/>
        <v>0</v>
      </c>
      <c r="AZ255" s="75">
        <f t="shared" si="139"/>
        <v>0</v>
      </c>
      <c r="BA255" s="75">
        <f t="shared" si="140"/>
        <v>0</v>
      </c>
      <c r="BB255" s="75">
        <f t="shared" si="141"/>
        <v>0</v>
      </c>
      <c r="BD255" s="214">
        <f t="shared" si="156"/>
        <v>176362.1950035851</v>
      </c>
      <c r="BE255" s="214">
        <f t="shared" si="142"/>
        <v>858.45190199484159</v>
      </c>
      <c r="BF255" s="214">
        <f t="shared" si="143"/>
        <v>-291.82501259671153</v>
      </c>
      <c r="BG255" s="224">
        <f t="shared" si="161"/>
        <v>0</v>
      </c>
      <c r="BH255" s="19">
        <f t="shared" si="157"/>
        <v>237270.86997833717</v>
      </c>
      <c r="BI255" s="214">
        <f t="shared" si="144"/>
        <v>1154.9279573024921</v>
      </c>
      <c r="BJ255" s="214">
        <f t="shared" si="145"/>
        <v>0</v>
      </c>
      <c r="BK255" s="19">
        <f t="shared" si="162"/>
        <v>0</v>
      </c>
    </row>
    <row r="256" spans="1:63">
      <c r="A256" s="165">
        <f t="shared" si="146"/>
        <v>77.139459274469544</v>
      </c>
      <c r="B256" s="69">
        <f t="shared" si="147"/>
        <v>16</v>
      </c>
      <c r="C256" s="70">
        <f t="shared" si="148"/>
        <v>182</v>
      </c>
      <c r="D256" s="13">
        <f t="shared" si="117"/>
        <v>4.8675505653430484E-3</v>
      </c>
      <c r="E256" s="15">
        <f t="shared" si="118"/>
        <v>1</v>
      </c>
      <c r="F256" s="15">
        <f t="shared" si="149"/>
        <v>0</v>
      </c>
      <c r="G256" s="15">
        <f t="shared" si="119"/>
        <v>0</v>
      </c>
      <c r="H256" s="73">
        <f t="shared" si="120"/>
        <v>0</v>
      </c>
      <c r="I256" s="189"/>
      <c r="J256" s="189"/>
      <c r="K256" s="5">
        <f t="shared" si="163"/>
        <v>159606.86955383557</v>
      </c>
      <c r="M256" s="5">
        <f t="shared" si="121"/>
        <v>776.89450812940652</v>
      </c>
      <c r="N256" s="5">
        <f t="shared" si="122"/>
        <v>-264.10011917306275</v>
      </c>
      <c r="O256" s="5">
        <f t="shared" si="123"/>
        <v>0</v>
      </c>
      <c r="P256" s="5">
        <f t="shared" si="124"/>
        <v>0</v>
      </c>
      <c r="Q256" s="5">
        <f t="shared" si="158"/>
        <v>0</v>
      </c>
      <c r="R256" s="5">
        <f t="shared" si="150"/>
        <v>0</v>
      </c>
      <c r="S256" s="5">
        <f t="shared" si="125"/>
        <v>0</v>
      </c>
      <c r="T256" s="5">
        <f t="shared" si="126"/>
        <v>0</v>
      </c>
      <c r="U256" s="74">
        <f t="shared" si="127"/>
        <v>0</v>
      </c>
      <c r="V256" s="75">
        <f t="shared" si="128"/>
        <v>0</v>
      </c>
      <c r="W256" s="5">
        <f t="shared" si="129"/>
        <v>0</v>
      </c>
      <c r="X256" s="5">
        <f t="shared" si="130"/>
        <v>160119.6639427919</v>
      </c>
      <c r="Y256" s="5">
        <f t="shared" si="151"/>
        <v>100000</v>
      </c>
      <c r="Z256" s="215">
        <f t="shared" si="131"/>
        <v>1</v>
      </c>
      <c r="AA256" s="216">
        <f t="shared" si="152"/>
        <v>0</v>
      </c>
      <c r="AB256" s="72">
        <f t="shared" si="159"/>
        <v>13188.158705474159</v>
      </c>
      <c r="AC256" s="72">
        <f t="shared" si="132"/>
        <v>0</v>
      </c>
      <c r="AD256" s="72">
        <f t="shared" si="133"/>
        <v>0</v>
      </c>
      <c r="AE256" s="72">
        <f t="shared" si="153"/>
        <v>-33.343070107580004</v>
      </c>
      <c r="AF256" s="70">
        <f t="shared" si="134"/>
        <v>0</v>
      </c>
      <c r="AG256" s="70">
        <f t="shared" si="135"/>
        <v>14668.813900866948</v>
      </c>
      <c r="AH256" s="1">
        <f t="shared" si="169"/>
        <v>0</v>
      </c>
      <c r="AI256" s="1">
        <f t="shared" si="169"/>
        <v>0</v>
      </c>
      <c r="AJ256" s="1">
        <f t="shared" si="169"/>
        <v>0</v>
      </c>
      <c r="AK256" s="1">
        <f t="shared" si="169"/>
        <v>0</v>
      </c>
      <c r="AL256" s="1">
        <f t="shared" si="169"/>
        <v>0</v>
      </c>
      <c r="AM256" s="1">
        <f t="shared" si="169"/>
        <v>0</v>
      </c>
      <c r="AN256" s="1">
        <f t="shared" si="169"/>
        <v>0</v>
      </c>
      <c r="AO256" s="1">
        <f t="shared" si="169"/>
        <v>1</v>
      </c>
      <c r="AP256" s="1">
        <f t="shared" si="169"/>
        <v>1</v>
      </c>
      <c r="AQ256" s="1">
        <f t="shared" si="169"/>
        <v>1</v>
      </c>
      <c r="AR256" s="1">
        <f t="shared" si="169"/>
        <v>1</v>
      </c>
      <c r="AS256" s="1">
        <f t="shared" si="169"/>
        <v>1</v>
      </c>
      <c r="AT256" s="39">
        <f t="shared" si="136"/>
        <v>160119.6639427919</v>
      </c>
      <c r="AU256" s="39">
        <f t="shared" si="154"/>
        <v>160119.6639427919</v>
      </c>
      <c r="AV256" s="39">
        <f t="shared" si="165"/>
        <v>0</v>
      </c>
      <c r="AW256" s="3">
        <f t="shared" si="137"/>
        <v>182</v>
      </c>
      <c r="AX256" s="69">
        <f t="shared" si="155"/>
        <v>0</v>
      </c>
      <c r="AY256" s="75">
        <f t="shared" si="138"/>
        <v>0</v>
      </c>
      <c r="AZ256" s="75">
        <f t="shared" si="139"/>
        <v>0</v>
      </c>
      <c r="BA256" s="75">
        <f t="shared" si="140"/>
        <v>0</v>
      </c>
      <c r="BB256" s="75">
        <f t="shared" si="141"/>
        <v>0</v>
      </c>
      <c r="BD256" s="214">
        <f t="shared" si="156"/>
        <v>176928.82189298325</v>
      </c>
      <c r="BE256" s="214">
        <f t="shared" si="142"/>
        <v>861.20998703067016</v>
      </c>
      <c r="BF256" s="214">
        <f t="shared" si="143"/>
        <v>-292.76260525444007</v>
      </c>
      <c r="BG256" s="224">
        <f t="shared" si="161"/>
        <v>0</v>
      </c>
      <c r="BH256" s="19">
        <f t="shared" si="157"/>
        <v>238425.79793563965</v>
      </c>
      <c r="BI256" s="214">
        <f t="shared" si="144"/>
        <v>1160.5496275339901</v>
      </c>
      <c r="BJ256" s="214">
        <f t="shared" si="145"/>
        <v>0</v>
      </c>
      <c r="BK256" s="19">
        <f t="shared" si="162"/>
        <v>0</v>
      </c>
    </row>
    <row r="257" spans="1:63">
      <c r="A257" s="165">
        <f t="shared" si="146"/>
        <v>77.222792607802873</v>
      </c>
      <c r="B257" s="69">
        <f t="shared" si="147"/>
        <v>16</v>
      </c>
      <c r="C257" s="70">
        <f t="shared" si="148"/>
        <v>183</v>
      </c>
      <c r="D257" s="13">
        <f t="shared" si="117"/>
        <v>4.8675505653430484E-3</v>
      </c>
      <c r="E257" s="15">
        <f t="shared" si="118"/>
        <v>1</v>
      </c>
      <c r="F257" s="15">
        <f t="shared" si="149"/>
        <v>0</v>
      </c>
      <c r="G257" s="15">
        <f t="shared" si="119"/>
        <v>0</v>
      </c>
      <c r="H257" s="73">
        <f t="shared" si="120"/>
        <v>0</v>
      </c>
      <c r="I257" s="189"/>
      <c r="J257" s="189"/>
      <c r="K257" s="5">
        <f t="shared" si="163"/>
        <v>160119.6639427919</v>
      </c>
      <c r="M257" s="5">
        <f t="shared" si="121"/>
        <v>779.39056074727569</v>
      </c>
      <c r="N257" s="5">
        <f t="shared" si="122"/>
        <v>-264.94863565367058</v>
      </c>
      <c r="O257" s="5">
        <f t="shared" si="123"/>
        <v>0</v>
      </c>
      <c r="P257" s="5">
        <f t="shared" si="124"/>
        <v>0</v>
      </c>
      <c r="Q257" s="5">
        <f t="shared" si="158"/>
        <v>0</v>
      </c>
      <c r="R257" s="5">
        <f t="shared" si="150"/>
        <v>0</v>
      </c>
      <c r="S257" s="5">
        <f t="shared" si="125"/>
        <v>0</v>
      </c>
      <c r="T257" s="5">
        <f t="shared" si="126"/>
        <v>0</v>
      </c>
      <c r="U257" s="74">
        <f t="shared" si="127"/>
        <v>0</v>
      </c>
      <c r="V257" s="75">
        <f t="shared" si="128"/>
        <v>0</v>
      </c>
      <c r="W257" s="5">
        <f t="shared" si="129"/>
        <v>0</v>
      </c>
      <c r="X257" s="5">
        <f t="shared" si="130"/>
        <v>160634.10586788549</v>
      </c>
      <c r="Y257" s="5">
        <f t="shared" si="151"/>
        <v>100000</v>
      </c>
      <c r="Z257" s="215">
        <f t="shared" si="131"/>
        <v>1</v>
      </c>
      <c r="AA257" s="216">
        <f t="shared" si="152"/>
        <v>0</v>
      </c>
      <c r="AB257" s="72">
        <f t="shared" si="159"/>
        <v>13188.158705474159</v>
      </c>
      <c r="AC257" s="72">
        <f t="shared" si="132"/>
        <v>0</v>
      </c>
      <c r="AD257" s="72">
        <f t="shared" si="133"/>
        <v>0</v>
      </c>
      <c r="AE257" s="72">
        <f t="shared" si="153"/>
        <v>-33.450196694985301</v>
      </c>
      <c r="AF257" s="70">
        <f t="shared" si="134"/>
        <v>0</v>
      </c>
      <c r="AG257" s="70">
        <f t="shared" si="135"/>
        <v>14864.301832402512</v>
      </c>
      <c r="AH257" s="1">
        <f t="shared" si="169"/>
        <v>0</v>
      </c>
      <c r="AI257" s="1">
        <f t="shared" si="169"/>
        <v>0</v>
      </c>
      <c r="AJ257" s="1">
        <f t="shared" si="169"/>
        <v>0</v>
      </c>
      <c r="AK257" s="1">
        <f t="shared" si="169"/>
        <v>0</v>
      </c>
      <c r="AL257" s="1">
        <f t="shared" si="169"/>
        <v>0</v>
      </c>
      <c r="AM257" s="1">
        <f t="shared" si="169"/>
        <v>0</v>
      </c>
      <c r="AN257" s="1">
        <f t="shared" si="169"/>
        <v>0</v>
      </c>
      <c r="AO257" s="1">
        <f t="shared" si="169"/>
        <v>1</v>
      </c>
      <c r="AP257" s="1">
        <f t="shared" si="169"/>
        <v>1</v>
      </c>
      <c r="AQ257" s="1">
        <f t="shared" si="169"/>
        <v>1</v>
      </c>
      <c r="AR257" s="1">
        <f t="shared" si="169"/>
        <v>1</v>
      </c>
      <c r="AS257" s="1">
        <f t="shared" si="169"/>
        <v>1</v>
      </c>
      <c r="AT257" s="39">
        <f t="shared" si="136"/>
        <v>160634.10586788549</v>
      </c>
      <c r="AU257" s="39">
        <f t="shared" si="154"/>
        <v>160634.10586788549</v>
      </c>
      <c r="AV257" s="39">
        <f t="shared" si="165"/>
        <v>0</v>
      </c>
      <c r="AW257" s="3">
        <f t="shared" si="137"/>
        <v>183</v>
      </c>
      <c r="AX257" s="69">
        <f t="shared" si="155"/>
        <v>0</v>
      </c>
      <c r="AY257" s="75">
        <f t="shared" si="138"/>
        <v>0</v>
      </c>
      <c r="AZ257" s="75">
        <f t="shared" si="139"/>
        <v>0</v>
      </c>
      <c r="BA257" s="75">
        <f t="shared" si="140"/>
        <v>0</v>
      </c>
      <c r="BB257" s="75">
        <f t="shared" si="141"/>
        <v>0</v>
      </c>
      <c r="BD257" s="214">
        <f t="shared" si="156"/>
        <v>177497.26927475948</v>
      </c>
      <c r="BE257" s="214">
        <f t="shared" si="142"/>
        <v>863.97693340520277</v>
      </c>
      <c r="BF257" s="214">
        <f t="shared" si="143"/>
        <v>-293.70321026530451</v>
      </c>
      <c r="BG257" s="224">
        <f t="shared" si="161"/>
        <v>0</v>
      </c>
      <c r="BH257" s="19">
        <f t="shared" si="157"/>
        <v>239586.34756317365</v>
      </c>
      <c r="BI257" s="214">
        <f t="shared" si="144"/>
        <v>1166.1986615296021</v>
      </c>
      <c r="BJ257" s="214">
        <f t="shared" si="145"/>
        <v>0</v>
      </c>
      <c r="BK257" s="19">
        <f t="shared" si="162"/>
        <v>0</v>
      </c>
    </row>
    <row r="258" spans="1:63">
      <c r="A258" s="165">
        <f t="shared" si="146"/>
        <v>77.306125941136202</v>
      </c>
      <c r="B258" s="69">
        <f t="shared" si="147"/>
        <v>16</v>
      </c>
      <c r="C258" s="70">
        <f t="shared" si="148"/>
        <v>184</v>
      </c>
      <c r="D258" s="13">
        <f t="shared" si="117"/>
        <v>4.8675505653430484E-3</v>
      </c>
      <c r="E258" s="15">
        <f t="shared" si="118"/>
        <v>1</v>
      </c>
      <c r="F258" s="15">
        <f t="shared" si="149"/>
        <v>0</v>
      </c>
      <c r="G258" s="15">
        <f t="shared" si="119"/>
        <v>0</v>
      </c>
      <c r="H258" s="73">
        <f t="shared" si="120"/>
        <v>0</v>
      </c>
      <c r="I258" s="189"/>
      <c r="J258" s="189"/>
      <c r="K258" s="5">
        <f t="shared" si="163"/>
        <v>160634.10586788549</v>
      </c>
      <c r="M258" s="5">
        <f t="shared" si="121"/>
        <v>781.89463283060115</v>
      </c>
      <c r="N258" s="5">
        <f t="shared" si="122"/>
        <v>-265.79987829820476</v>
      </c>
      <c r="O258" s="5">
        <f t="shared" si="123"/>
        <v>0</v>
      </c>
      <c r="P258" s="5">
        <f t="shared" si="124"/>
        <v>0</v>
      </c>
      <c r="Q258" s="5">
        <f t="shared" si="158"/>
        <v>0</v>
      </c>
      <c r="R258" s="5">
        <f t="shared" si="150"/>
        <v>0</v>
      </c>
      <c r="S258" s="5">
        <f t="shared" si="125"/>
        <v>0</v>
      </c>
      <c r="T258" s="5">
        <f t="shared" si="126"/>
        <v>0</v>
      </c>
      <c r="U258" s="74">
        <f t="shared" si="127"/>
        <v>0</v>
      </c>
      <c r="V258" s="75">
        <f t="shared" si="128"/>
        <v>0</v>
      </c>
      <c r="W258" s="5">
        <f t="shared" si="129"/>
        <v>0</v>
      </c>
      <c r="X258" s="5">
        <f t="shared" si="130"/>
        <v>161150.20062241788</v>
      </c>
      <c r="Y258" s="5">
        <f t="shared" si="151"/>
        <v>100000</v>
      </c>
      <c r="Z258" s="215">
        <f t="shared" si="131"/>
        <v>1</v>
      </c>
      <c r="AA258" s="216">
        <f t="shared" si="152"/>
        <v>0</v>
      </c>
      <c r="AB258" s="72">
        <f t="shared" si="159"/>
        <v>13188.158705474159</v>
      </c>
      <c r="AC258" s="72">
        <f t="shared" si="132"/>
        <v>0</v>
      </c>
      <c r="AD258" s="72">
        <f t="shared" si="133"/>
        <v>0</v>
      </c>
      <c r="AE258" s="72">
        <f t="shared" si="153"/>
        <v>-33.557667465025609</v>
      </c>
      <c r="AF258" s="70">
        <f t="shared" si="134"/>
        <v>0</v>
      </c>
      <c r="AG258" s="70">
        <f t="shared" si="135"/>
        <v>15060.417839124819</v>
      </c>
      <c r="AH258" s="1">
        <f t="shared" si="169"/>
        <v>0</v>
      </c>
      <c r="AI258" s="1">
        <f t="shared" si="169"/>
        <v>0</v>
      </c>
      <c r="AJ258" s="1">
        <f t="shared" si="169"/>
        <v>0</v>
      </c>
      <c r="AK258" s="1">
        <f t="shared" si="169"/>
        <v>0</v>
      </c>
      <c r="AL258" s="1">
        <f t="shared" si="169"/>
        <v>0</v>
      </c>
      <c r="AM258" s="1">
        <f t="shared" si="169"/>
        <v>0</v>
      </c>
      <c r="AN258" s="1">
        <f t="shared" si="169"/>
        <v>0</v>
      </c>
      <c r="AO258" s="1">
        <f t="shared" si="169"/>
        <v>1</v>
      </c>
      <c r="AP258" s="1">
        <f t="shared" si="169"/>
        <v>1</v>
      </c>
      <c r="AQ258" s="1">
        <f t="shared" si="169"/>
        <v>1</v>
      </c>
      <c r="AR258" s="1">
        <f t="shared" si="169"/>
        <v>1</v>
      </c>
      <c r="AS258" s="1">
        <f t="shared" si="169"/>
        <v>1</v>
      </c>
      <c r="AT258" s="39">
        <f t="shared" si="136"/>
        <v>161150.20062241788</v>
      </c>
      <c r="AU258" s="39">
        <f t="shared" si="154"/>
        <v>161150.20062241788</v>
      </c>
      <c r="AV258" s="39">
        <f t="shared" si="165"/>
        <v>0</v>
      </c>
      <c r="AW258" s="3">
        <f t="shared" si="137"/>
        <v>184</v>
      </c>
      <c r="AX258" s="69">
        <f t="shared" si="155"/>
        <v>0</v>
      </c>
      <c r="AY258" s="75">
        <f t="shared" si="138"/>
        <v>0</v>
      </c>
      <c r="AZ258" s="75">
        <f t="shared" si="139"/>
        <v>0</v>
      </c>
      <c r="BA258" s="75">
        <f t="shared" si="140"/>
        <v>0</v>
      </c>
      <c r="BB258" s="75">
        <f t="shared" si="141"/>
        <v>0</v>
      </c>
      <c r="BD258" s="214">
        <f t="shared" si="156"/>
        <v>178067.54299789938</v>
      </c>
      <c r="BE258" s="214">
        <f t="shared" si="142"/>
        <v>866.75276958867266</v>
      </c>
      <c r="BF258" s="214">
        <f t="shared" si="143"/>
        <v>-294.64683730757105</v>
      </c>
      <c r="BG258" s="224">
        <f t="shared" si="161"/>
        <v>0</v>
      </c>
      <c r="BH258" s="19">
        <f t="shared" si="157"/>
        <v>240752.54622470326</v>
      </c>
      <c r="BI258" s="214">
        <f t="shared" si="144"/>
        <v>1171.8751924838327</v>
      </c>
      <c r="BJ258" s="214">
        <f t="shared" si="145"/>
        <v>0</v>
      </c>
      <c r="BK258" s="19">
        <f t="shared" si="162"/>
        <v>0</v>
      </c>
    </row>
    <row r="259" spans="1:63">
      <c r="A259" s="165">
        <f t="shared" si="146"/>
        <v>77.389459274469544</v>
      </c>
      <c r="B259" s="69">
        <f t="shared" si="147"/>
        <v>16</v>
      </c>
      <c r="C259" s="70">
        <f t="shared" si="148"/>
        <v>185</v>
      </c>
      <c r="D259" s="13">
        <f t="shared" si="117"/>
        <v>4.8675505653430484E-3</v>
      </c>
      <c r="E259" s="15">
        <f t="shared" si="118"/>
        <v>1</v>
      </c>
      <c r="F259" s="15">
        <f t="shared" si="149"/>
        <v>0</v>
      </c>
      <c r="G259" s="15">
        <f t="shared" si="119"/>
        <v>0</v>
      </c>
      <c r="H259" s="73">
        <f t="shared" si="120"/>
        <v>0</v>
      </c>
      <c r="I259" s="189"/>
      <c r="J259" s="189"/>
      <c r="K259" s="5">
        <f t="shared" si="163"/>
        <v>161150.20062241788</v>
      </c>
      <c r="M259" s="5">
        <f t="shared" si="121"/>
        <v>784.40675014479586</v>
      </c>
      <c r="N259" s="5">
        <f t="shared" si="122"/>
        <v>-266.65385586544613</v>
      </c>
      <c r="O259" s="5">
        <f t="shared" si="123"/>
        <v>0</v>
      </c>
      <c r="P259" s="5">
        <f t="shared" si="124"/>
        <v>0</v>
      </c>
      <c r="Q259" s="5">
        <f t="shared" si="158"/>
        <v>0</v>
      </c>
      <c r="R259" s="5">
        <f t="shared" si="150"/>
        <v>0</v>
      </c>
      <c r="S259" s="5">
        <f t="shared" si="125"/>
        <v>0</v>
      </c>
      <c r="T259" s="5">
        <f t="shared" si="126"/>
        <v>0</v>
      </c>
      <c r="U259" s="74">
        <f t="shared" si="127"/>
        <v>0</v>
      </c>
      <c r="V259" s="75">
        <f t="shared" si="128"/>
        <v>0</v>
      </c>
      <c r="W259" s="5">
        <f t="shared" si="129"/>
        <v>0</v>
      </c>
      <c r="X259" s="5">
        <f t="shared" si="130"/>
        <v>161667.95351669722</v>
      </c>
      <c r="Y259" s="5">
        <f t="shared" si="151"/>
        <v>100000</v>
      </c>
      <c r="Z259" s="215">
        <f t="shared" si="131"/>
        <v>1</v>
      </c>
      <c r="AA259" s="216">
        <f t="shared" si="152"/>
        <v>0</v>
      </c>
      <c r="AB259" s="72">
        <f t="shared" si="159"/>
        <v>13188.158705474159</v>
      </c>
      <c r="AC259" s="72">
        <f t="shared" si="132"/>
        <v>0</v>
      </c>
      <c r="AD259" s="72">
        <f t="shared" si="133"/>
        <v>0</v>
      </c>
      <c r="AE259" s="72">
        <f t="shared" si="153"/>
        <v>-33.665483523511256</v>
      </c>
      <c r="AF259" s="70">
        <f t="shared" si="134"/>
        <v>0</v>
      </c>
      <c r="AG259" s="70">
        <f t="shared" si="135"/>
        <v>15257.163938950967</v>
      </c>
      <c r="AH259" s="1">
        <f t="shared" si="169"/>
        <v>0</v>
      </c>
      <c r="AI259" s="1">
        <f t="shared" si="169"/>
        <v>0</v>
      </c>
      <c r="AJ259" s="1">
        <f t="shared" si="169"/>
        <v>0</v>
      </c>
      <c r="AK259" s="1">
        <f t="shared" si="169"/>
        <v>0</v>
      </c>
      <c r="AL259" s="1">
        <f t="shared" si="169"/>
        <v>0</v>
      </c>
      <c r="AM259" s="1">
        <f t="shared" si="169"/>
        <v>0</v>
      </c>
      <c r="AN259" s="1">
        <f t="shared" si="169"/>
        <v>0</v>
      </c>
      <c r="AO259" s="1">
        <f t="shared" si="169"/>
        <v>1</v>
      </c>
      <c r="AP259" s="1">
        <f t="shared" si="169"/>
        <v>1</v>
      </c>
      <c r="AQ259" s="1">
        <f t="shared" si="169"/>
        <v>1</v>
      </c>
      <c r="AR259" s="1">
        <f t="shared" si="169"/>
        <v>1</v>
      </c>
      <c r="AS259" s="1">
        <f t="shared" si="169"/>
        <v>1</v>
      </c>
      <c r="AT259" s="39">
        <f t="shared" si="136"/>
        <v>161667.95351669722</v>
      </c>
      <c r="AU259" s="39">
        <f t="shared" si="154"/>
        <v>161667.95351669722</v>
      </c>
      <c r="AV259" s="39">
        <f t="shared" si="165"/>
        <v>0</v>
      </c>
      <c r="AW259" s="3">
        <f t="shared" si="137"/>
        <v>185</v>
      </c>
      <c r="AX259" s="69">
        <f t="shared" si="155"/>
        <v>0</v>
      </c>
      <c r="AY259" s="75">
        <f t="shared" si="138"/>
        <v>0</v>
      </c>
      <c r="AZ259" s="75">
        <f t="shared" si="139"/>
        <v>0</v>
      </c>
      <c r="BA259" s="75">
        <f t="shared" si="140"/>
        <v>0</v>
      </c>
      <c r="BB259" s="75">
        <f t="shared" si="141"/>
        <v>0</v>
      </c>
      <c r="BD259" s="214">
        <f t="shared" si="156"/>
        <v>178639.64893018047</v>
      </c>
      <c r="BE259" s="214">
        <f t="shared" si="142"/>
        <v>869.53752414278358</v>
      </c>
      <c r="BF259" s="214">
        <f t="shared" si="143"/>
        <v>-295.59349609060098</v>
      </c>
      <c r="BG259" s="224">
        <f t="shared" si="161"/>
        <v>0</v>
      </c>
      <c r="BH259" s="19">
        <f t="shared" si="157"/>
        <v>241924.42141718708</v>
      </c>
      <c r="BI259" s="214">
        <f t="shared" si="144"/>
        <v>1177.5793542395188</v>
      </c>
      <c r="BJ259" s="214">
        <f t="shared" si="145"/>
        <v>0</v>
      </c>
      <c r="BK259" s="19">
        <f t="shared" si="162"/>
        <v>0</v>
      </c>
    </row>
    <row r="260" spans="1:63">
      <c r="A260" s="165">
        <f t="shared" si="146"/>
        <v>77.472792607802873</v>
      </c>
      <c r="B260" s="69">
        <f t="shared" si="147"/>
        <v>16</v>
      </c>
      <c r="C260" s="70">
        <f t="shared" si="148"/>
        <v>186</v>
      </c>
      <c r="D260" s="13">
        <f t="shared" si="117"/>
        <v>4.8675505653430484E-3</v>
      </c>
      <c r="E260" s="15">
        <f t="shared" si="118"/>
        <v>1</v>
      </c>
      <c r="F260" s="15">
        <f t="shared" si="149"/>
        <v>0</v>
      </c>
      <c r="G260" s="15">
        <f t="shared" si="119"/>
        <v>0</v>
      </c>
      <c r="H260" s="73">
        <f t="shared" si="120"/>
        <v>0</v>
      </c>
      <c r="I260" s="189"/>
      <c r="J260" s="189"/>
      <c r="K260" s="5">
        <f t="shared" si="163"/>
        <v>161667.95351669722</v>
      </c>
      <c r="M260" s="5">
        <f t="shared" si="121"/>
        <v>786.92693853805326</v>
      </c>
      <c r="N260" s="5">
        <f t="shared" si="122"/>
        <v>-267.51057714231604</v>
      </c>
      <c r="O260" s="5">
        <f t="shared" si="123"/>
        <v>0</v>
      </c>
      <c r="P260" s="5">
        <f t="shared" si="124"/>
        <v>0</v>
      </c>
      <c r="Q260" s="5">
        <f t="shared" si="158"/>
        <v>0</v>
      </c>
      <c r="R260" s="5">
        <f t="shared" si="150"/>
        <v>0</v>
      </c>
      <c r="S260" s="5">
        <f t="shared" si="125"/>
        <v>0</v>
      </c>
      <c r="T260" s="5">
        <f t="shared" si="126"/>
        <v>0</v>
      </c>
      <c r="U260" s="74">
        <f t="shared" si="127"/>
        <v>0</v>
      </c>
      <c r="V260" s="75">
        <f t="shared" si="128"/>
        <v>0</v>
      </c>
      <c r="W260" s="5">
        <f t="shared" si="129"/>
        <v>0</v>
      </c>
      <c r="X260" s="5">
        <f t="shared" si="130"/>
        <v>162187.36987809296</v>
      </c>
      <c r="Y260" s="5">
        <f t="shared" si="151"/>
        <v>100000</v>
      </c>
      <c r="Z260" s="215">
        <f t="shared" si="131"/>
        <v>1</v>
      </c>
      <c r="AA260" s="216">
        <f t="shared" si="152"/>
        <v>0</v>
      </c>
      <c r="AB260" s="72">
        <f t="shared" si="159"/>
        <v>13188.158705474159</v>
      </c>
      <c r="AC260" s="72">
        <f t="shared" si="132"/>
        <v>0</v>
      </c>
      <c r="AD260" s="72">
        <f t="shared" si="133"/>
        <v>0</v>
      </c>
      <c r="AE260" s="72">
        <f t="shared" si="153"/>
        <v>-33.77364597980538</v>
      </c>
      <c r="AF260" s="70">
        <f t="shared" si="134"/>
        <v>0</v>
      </c>
      <c r="AG260" s="70">
        <f t="shared" si="135"/>
        <v>15454.542156281348</v>
      </c>
      <c r="AH260" s="1">
        <f t="shared" si="169"/>
        <v>0</v>
      </c>
      <c r="AI260" s="1">
        <f t="shared" si="169"/>
        <v>0</v>
      </c>
      <c r="AJ260" s="1">
        <f t="shared" si="169"/>
        <v>0</v>
      </c>
      <c r="AK260" s="1">
        <f t="shared" si="169"/>
        <v>0</v>
      </c>
      <c r="AL260" s="1">
        <f t="shared" si="169"/>
        <v>0</v>
      </c>
      <c r="AM260" s="1">
        <f t="shared" si="169"/>
        <v>0</v>
      </c>
      <c r="AN260" s="1">
        <f t="shared" si="169"/>
        <v>0</v>
      </c>
      <c r="AO260" s="1">
        <f t="shared" si="169"/>
        <v>1</v>
      </c>
      <c r="AP260" s="1">
        <f t="shared" si="169"/>
        <v>1</v>
      </c>
      <c r="AQ260" s="1">
        <f t="shared" si="169"/>
        <v>1</v>
      </c>
      <c r="AR260" s="1">
        <f t="shared" si="169"/>
        <v>1</v>
      </c>
      <c r="AS260" s="1">
        <f t="shared" si="169"/>
        <v>1</v>
      </c>
      <c r="AT260" s="39">
        <f t="shared" si="136"/>
        <v>162187.36987809296</v>
      </c>
      <c r="AU260" s="39">
        <f t="shared" si="154"/>
        <v>162187.36987809296</v>
      </c>
      <c r="AV260" s="39">
        <f t="shared" si="165"/>
        <v>0</v>
      </c>
      <c r="AW260" s="3">
        <f t="shared" si="137"/>
        <v>186</v>
      </c>
      <c r="AX260" s="69">
        <f t="shared" si="155"/>
        <v>0</v>
      </c>
      <c r="AY260" s="75">
        <f t="shared" si="138"/>
        <v>0</v>
      </c>
      <c r="AZ260" s="75">
        <f t="shared" si="139"/>
        <v>0</v>
      </c>
      <c r="BA260" s="75">
        <f t="shared" si="140"/>
        <v>0</v>
      </c>
      <c r="BB260" s="75">
        <f t="shared" si="141"/>
        <v>0</v>
      </c>
      <c r="BD260" s="214">
        <f t="shared" si="156"/>
        <v>179213.59295823268</v>
      </c>
      <c r="BE260" s="214">
        <f t="shared" si="142"/>
        <v>872.33122572100444</v>
      </c>
      <c r="BF260" s="214">
        <f t="shared" si="143"/>
        <v>-296.54319635495034</v>
      </c>
      <c r="BG260" s="224">
        <f t="shared" si="161"/>
        <v>0</v>
      </c>
      <c r="BH260" s="19">
        <f t="shared" si="157"/>
        <v>243102.0007714266</v>
      </c>
      <c r="BI260" s="214">
        <f t="shared" si="144"/>
        <v>1183.3112812909837</v>
      </c>
      <c r="BJ260" s="214">
        <f t="shared" si="145"/>
        <v>0</v>
      </c>
      <c r="BK260" s="19">
        <f t="shared" si="162"/>
        <v>0</v>
      </c>
    </row>
    <row r="261" spans="1:63">
      <c r="A261" s="165">
        <f t="shared" si="146"/>
        <v>77.556125941136202</v>
      </c>
      <c r="B261" s="69">
        <f t="shared" si="147"/>
        <v>16</v>
      </c>
      <c r="C261" s="70">
        <f t="shared" si="148"/>
        <v>187</v>
      </c>
      <c r="D261" s="13">
        <f t="shared" si="117"/>
        <v>4.8675505653430484E-3</v>
      </c>
      <c r="E261" s="15">
        <f t="shared" si="118"/>
        <v>1</v>
      </c>
      <c r="F261" s="15">
        <f t="shared" si="149"/>
        <v>0</v>
      </c>
      <c r="G261" s="15">
        <f t="shared" si="119"/>
        <v>0</v>
      </c>
      <c r="H261" s="73">
        <f t="shared" si="120"/>
        <v>0</v>
      </c>
      <c r="I261" s="189"/>
      <c r="J261" s="189"/>
      <c r="K261" s="5">
        <f t="shared" si="163"/>
        <v>162187.36987809296</v>
      </c>
      <c r="M261" s="5">
        <f t="shared" si="121"/>
        <v>789.45522394161344</v>
      </c>
      <c r="N261" s="5">
        <f t="shared" si="122"/>
        <v>-268.37005094396704</v>
      </c>
      <c r="O261" s="5">
        <f t="shared" si="123"/>
        <v>0</v>
      </c>
      <c r="P261" s="5">
        <f t="shared" si="124"/>
        <v>0</v>
      </c>
      <c r="Q261" s="5">
        <f t="shared" si="158"/>
        <v>0</v>
      </c>
      <c r="R261" s="5">
        <f t="shared" si="150"/>
        <v>0</v>
      </c>
      <c r="S261" s="5">
        <f t="shared" si="125"/>
        <v>0</v>
      </c>
      <c r="T261" s="5">
        <f t="shared" si="126"/>
        <v>0</v>
      </c>
      <c r="U261" s="74">
        <f t="shared" si="127"/>
        <v>0</v>
      </c>
      <c r="V261" s="75">
        <f t="shared" si="128"/>
        <v>0</v>
      </c>
      <c r="W261" s="5">
        <f t="shared" si="129"/>
        <v>0</v>
      </c>
      <c r="X261" s="5">
        <f t="shared" si="130"/>
        <v>162708.4550510906</v>
      </c>
      <c r="Y261" s="5">
        <f t="shared" si="151"/>
        <v>100000</v>
      </c>
      <c r="Z261" s="215">
        <f t="shared" si="131"/>
        <v>1</v>
      </c>
      <c r="AA261" s="216">
        <f t="shared" si="152"/>
        <v>0</v>
      </c>
      <c r="AB261" s="72">
        <f t="shared" si="159"/>
        <v>13188.158705474159</v>
      </c>
      <c r="AC261" s="72">
        <f t="shared" si="132"/>
        <v>0</v>
      </c>
      <c r="AD261" s="72">
        <f t="shared" si="133"/>
        <v>0</v>
      </c>
      <c r="AE261" s="72">
        <f t="shared" si="153"/>
        <v>-33.88215594683534</v>
      </c>
      <c r="AF261" s="70">
        <f t="shared" si="134"/>
        <v>0</v>
      </c>
      <c r="AG261" s="70">
        <f t="shared" si="135"/>
        <v>15652.554522020453</v>
      </c>
      <c r="AH261" s="1">
        <f t="shared" si="169"/>
        <v>0</v>
      </c>
      <c r="AI261" s="1">
        <f t="shared" si="169"/>
        <v>0</v>
      </c>
      <c r="AJ261" s="1">
        <f t="shared" si="169"/>
        <v>0</v>
      </c>
      <c r="AK261" s="1">
        <f t="shared" si="169"/>
        <v>0</v>
      </c>
      <c r="AL261" s="1">
        <f t="shared" si="169"/>
        <v>0</v>
      </c>
      <c r="AM261" s="1">
        <f t="shared" si="169"/>
        <v>0</v>
      </c>
      <c r="AN261" s="1">
        <f t="shared" si="169"/>
        <v>0</v>
      </c>
      <c r="AO261" s="1">
        <f t="shared" si="169"/>
        <v>1</v>
      </c>
      <c r="AP261" s="1">
        <f t="shared" si="169"/>
        <v>1</v>
      </c>
      <c r="AQ261" s="1">
        <f t="shared" si="169"/>
        <v>1</v>
      </c>
      <c r="AR261" s="1">
        <f t="shared" si="169"/>
        <v>1</v>
      </c>
      <c r="AS261" s="1">
        <f t="shared" si="169"/>
        <v>1</v>
      </c>
      <c r="AT261" s="39">
        <f t="shared" si="136"/>
        <v>162708.4550510906</v>
      </c>
      <c r="AU261" s="39">
        <f t="shared" si="154"/>
        <v>162708.4550510906</v>
      </c>
      <c r="AV261" s="39">
        <f t="shared" si="165"/>
        <v>0</v>
      </c>
      <c r="AW261" s="3">
        <f t="shared" si="137"/>
        <v>187</v>
      </c>
      <c r="AX261" s="69">
        <f t="shared" si="155"/>
        <v>0</v>
      </c>
      <c r="AY261" s="75">
        <f t="shared" si="138"/>
        <v>0</v>
      </c>
      <c r="AZ261" s="75">
        <f t="shared" si="139"/>
        <v>0</v>
      </c>
      <c r="BA261" s="75">
        <f t="shared" si="140"/>
        <v>0</v>
      </c>
      <c r="BB261" s="75">
        <f t="shared" si="141"/>
        <v>0</v>
      </c>
      <c r="BD261" s="214">
        <f t="shared" si="156"/>
        <v>179789.38098759871</v>
      </c>
      <c r="BE261" s="214">
        <f t="shared" si="142"/>
        <v>875.13390306886276</v>
      </c>
      <c r="BF261" s="214">
        <f t="shared" si="143"/>
        <v>-297.49594787247008</v>
      </c>
      <c r="BG261" s="224">
        <f t="shared" si="161"/>
        <v>0</v>
      </c>
      <c r="BH261" s="19">
        <f t="shared" si="157"/>
        <v>244285.31205271758</v>
      </c>
      <c r="BI261" s="214">
        <f t="shared" si="144"/>
        <v>1189.0711087872085</v>
      </c>
      <c r="BJ261" s="214">
        <f t="shared" si="145"/>
        <v>0</v>
      </c>
      <c r="BK261" s="19">
        <f t="shared" si="162"/>
        <v>0</v>
      </c>
    </row>
    <row r="262" spans="1:63">
      <c r="A262" s="165">
        <f t="shared" si="146"/>
        <v>77.639459274469544</v>
      </c>
      <c r="B262" s="69">
        <f t="shared" si="147"/>
        <v>16</v>
      </c>
      <c r="C262" s="70">
        <f t="shared" si="148"/>
        <v>188</v>
      </c>
      <c r="D262" s="13">
        <f t="shared" si="117"/>
        <v>4.8675505653430484E-3</v>
      </c>
      <c r="E262" s="15">
        <f t="shared" si="118"/>
        <v>1</v>
      </c>
      <c r="F262" s="15">
        <f t="shared" si="149"/>
        <v>0</v>
      </c>
      <c r="G262" s="15">
        <f t="shared" si="119"/>
        <v>0</v>
      </c>
      <c r="H262" s="73">
        <f t="shared" si="120"/>
        <v>0</v>
      </c>
      <c r="I262" s="189"/>
      <c r="J262" s="189"/>
      <c r="K262" s="5">
        <f t="shared" si="163"/>
        <v>162708.4550510906</v>
      </c>
      <c r="M262" s="5">
        <f t="shared" si="121"/>
        <v>791.99163237003006</v>
      </c>
      <c r="N262" s="5">
        <f t="shared" si="122"/>
        <v>-269.23228611387356</v>
      </c>
      <c r="O262" s="5">
        <f t="shared" si="123"/>
        <v>0</v>
      </c>
      <c r="P262" s="5">
        <f t="shared" si="124"/>
        <v>0</v>
      </c>
      <c r="Q262" s="5">
        <f t="shared" si="158"/>
        <v>0</v>
      </c>
      <c r="R262" s="5">
        <f t="shared" si="150"/>
        <v>0</v>
      </c>
      <c r="S262" s="5">
        <f t="shared" si="125"/>
        <v>0</v>
      </c>
      <c r="T262" s="5">
        <f t="shared" si="126"/>
        <v>0</v>
      </c>
      <c r="U262" s="74">
        <f t="shared" si="127"/>
        <v>0</v>
      </c>
      <c r="V262" s="75">
        <f t="shared" si="128"/>
        <v>0</v>
      </c>
      <c r="W262" s="5">
        <f t="shared" si="129"/>
        <v>0</v>
      </c>
      <c r="X262" s="5">
        <f t="shared" si="130"/>
        <v>163231.21439734675</v>
      </c>
      <c r="Y262" s="5">
        <f t="shared" si="151"/>
        <v>100000</v>
      </c>
      <c r="Z262" s="215">
        <f t="shared" si="131"/>
        <v>1</v>
      </c>
      <c r="AA262" s="216">
        <f t="shared" si="152"/>
        <v>0</v>
      </c>
      <c r="AB262" s="72">
        <f t="shared" si="159"/>
        <v>13188.158705474159</v>
      </c>
      <c r="AC262" s="72">
        <f t="shared" si="132"/>
        <v>0</v>
      </c>
      <c r="AD262" s="72">
        <f t="shared" si="133"/>
        <v>0</v>
      </c>
      <c r="AE262" s="72">
        <f t="shared" si="153"/>
        <v>-33.991014541104185</v>
      </c>
      <c r="AF262" s="70">
        <f t="shared" si="134"/>
        <v>0</v>
      </c>
      <c r="AG262" s="70">
        <f t="shared" si="135"/>
        <v>15851.203073597788</v>
      </c>
      <c r="AH262" s="1">
        <f t="shared" si="169"/>
        <v>0</v>
      </c>
      <c r="AI262" s="1">
        <f t="shared" si="169"/>
        <v>0</v>
      </c>
      <c r="AJ262" s="1">
        <f t="shared" si="169"/>
        <v>0</v>
      </c>
      <c r="AK262" s="1">
        <f t="shared" si="169"/>
        <v>0</v>
      </c>
      <c r="AL262" s="1">
        <f t="shared" si="169"/>
        <v>0</v>
      </c>
      <c r="AM262" s="1">
        <f t="shared" si="169"/>
        <v>0</v>
      </c>
      <c r="AN262" s="1">
        <f t="shared" si="169"/>
        <v>0</v>
      </c>
      <c r="AO262" s="1">
        <f t="shared" si="169"/>
        <v>1</v>
      </c>
      <c r="AP262" s="1">
        <f t="shared" si="169"/>
        <v>1</v>
      </c>
      <c r="AQ262" s="1">
        <f t="shared" si="169"/>
        <v>1</v>
      </c>
      <c r="AR262" s="1">
        <f t="shared" si="169"/>
        <v>1</v>
      </c>
      <c r="AS262" s="1">
        <f t="shared" si="169"/>
        <v>1</v>
      </c>
      <c r="AT262" s="39">
        <f t="shared" si="136"/>
        <v>163231.21439734675</v>
      </c>
      <c r="AU262" s="39">
        <f t="shared" si="154"/>
        <v>163231.21439734675</v>
      </c>
      <c r="AV262" s="39">
        <f t="shared" si="165"/>
        <v>0</v>
      </c>
      <c r="AW262" s="3">
        <f t="shared" si="137"/>
        <v>188</v>
      </c>
      <c r="AX262" s="69">
        <f t="shared" si="155"/>
        <v>0</v>
      </c>
      <c r="AY262" s="75">
        <f t="shared" si="138"/>
        <v>0</v>
      </c>
      <c r="AZ262" s="75">
        <f t="shared" si="139"/>
        <v>0</v>
      </c>
      <c r="BA262" s="75">
        <f t="shared" si="140"/>
        <v>0</v>
      </c>
      <c r="BB262" s="75">
        <f t="shared" si="141"/>
        <v>0</v>
      </c>
      <c r="BD262" s="214">
        <f t="shared" si="156"/>
        <v>180367.01894279511</v>
      </c>
      <c r="BE262" s="214">
        <f t="shared" si="142"/>
        <v>877.94558502424263</v>
      </c>
      <c r="BF262" s="214">
        <f t="shared" si="143"/>
        <v>-298.45176044640698</v>
      </c>
      <c r="BG262" s="224">
        <f t="shared" si="161"/>
        <v>0</v>
      </c>
      <c r="BH262" s="19">
        <f t="shared" si="157"/>
        <v>245474.38316150478</v>
      </c>
      <c r="BI262" s="214">
        <f t="shared" si="144"/>
        <v>1194.8589725350187</v>
      </c>
      <c r="BJ262" s="214">
        <f t="shared" si="145"/>
        <v>0</v>
      </c>
      <c r="BK262" s="19">
        <f t="shared" si="162"/>
        <v>0</v>
      </c>
    </row>
    <row r="263" spans="1:63">
      <c r="A263" s="165">
        <f t="shared" si="146"/>
        <v>77.722792607802873</v>
      </c>
      <c r="B263" s="69">
        <f t="shared" si="147"/>
        <v>16</v>
      </c>
      <c r="C263" s="70">
        <f t="shared" si="148"/>
        <v>189</v>
      </c>
      <c r="D263" s="13">
        <f t="shared" si="117"/>
        <v>4.8675505653430484E-3</v>
      </c>
      <c r="E263" s="15">
        <f t="shared" si="118"/>
        <v>1</v>
      </c>
      <c r="F263" s="15">
        <f t="shared" si="149"/>
        <v>0</v>
      </c>
      <c r="G263" s="15">
        <f t="shared" si="119"/>
        <v>0</v>
      </c>
      <c r="H263" s="73">
        <f t="shared" si="120"/>
        <v>0</v>
      </c>
      <c r="I263" s="189"/>
      <c r="J263" s="189"/>
      <c r="K263" s="5">
        <f t="shared" si="163"/>
        <v>163231.21439734675</v>
      </c>
      <c r="M263" s="5">
        <f t="shared" si="121"/>
        <v>794.53618992143754</v>
      </c>
      <c r="N263" s="5">
        <f t="shared" si="122"/>
        <v>-270.09729152392276</v>
      </c>
      <c r="O263" s="5">
        <f t="shared" si="123"/>
        <v>0</v>
      </c>
      <c r="P263" s="5">
        <f t="shared" si="124"/>
        <v>0</v>
      </c>
      <c r="Q263" s="5">
        <f t="shared" si="158"/>
        <v>0</v>
      </c>
      <c r="R263" s="5">
        <f t="shared" si="150"/>
        <v>0</v>
      </c>
      <c r="S263" s="5">
        <f t="shared" si="125"/>
        <v>0</v>
      </c>
      <c r="T263" s="5">
        <f t="shared" si="126"/>
        <v>0</v>
      </c>
      <c r="U263" s="74">
        <f t="shared" si="127"/>
        <v>0</v>
      </c>
      <c r="V263" s="75">
        <f t="shared" si="128"/>
        <v>0</v>
      </c>
      <c r="W263" s="5">
        <f t="shared" si="129"/>
        <v>0</v>
      </c>
      <c r="X263" s="5">
        <f t="shared" si="130"/>
        <v>163755.65329574427</v>
      </c>
      <c r="Y263" s="5">
        <f t="shared" si="151"/>
        <v>100000</v>
      </c>
      <c r="Z263" s="215">
        <f t="shared" si="131"/>
        <v>1</v>
      </c>
      <c r="AA263" s="216">
        <f t="shared" si="152"/>
        <v>0</v>
      </c>
      <c r="AB263" s="72">
        <f t="shared" si="159"/>
        <v>13188.158705474159</v>
      </c>
      <c r="AC263" s="72">
        <f t="shared" si="132"/>
        <v>0</v>
      </c>
      <c r="AD263" s="72">
        <f t="shared" si="133"/>
        <v>0</v>
      </c>
      <c r="AE263" s="72">
        <f t="shared" si="153"/>
        <v>-34.100222882702113</v>
      </c>
      <c r="AF263" s="70">
        <f t="shared" si="134"/>
        <v>0</v>
      </c>
      <c r="AG263" s="70">
        <f t="shared" si="135"/>
        <v>16050.489854988848</v>
      </c>
      <c r="AH263" s="1">
        <f t="shared" si="169"/>
        <v>0</v>
      </c>
      <c r="AI263" s="1">
        <f t="shared" si="169"/>
        <v>0</v>
      </c>
      <c r="AJ263" s="1">
        <f t="shared" si="169"/>
        <v>0</v>
      </c>
      <c r="AK263" s="1">
        <f t="shared" si="169"/>
        <v>0</v>
      </c>
      <c r="AL263" s="1">
        <f t="shared" si="169"/>
        <v>0</v>
      </c>
      <c r="AM263" s="1">
        <f t="shared" si="169"/>
        <v>0</v>
      </c>
      <c r="AN263" s="1">
        <f t="shared" si="169"/>
        <v>0</v>
      </c>
      <c r="AO263" s="1">
        <f t="shared" si="169"/>
        <v>1</v>
      </c>
      <c r="AP263" s="1">
        <f t="shared" si="169"/>
        <v>1</v>
      </c>
      <c r="AQ263" s="1">
        <f t="shared" si="169"/>
        <v>1</v>
      </c>
      <c r="AR263" s="1">
        <f t="shared" si="169"/>
        <v>1</v>
      </c>
      <c r="AS263" s="1">
        <f t="shared" si="169"/>
        <v>1</v>
      </c>
      <c r="AT263" s="39">
        <f t="shared" si="136"/>
        <v>163755.65329574427</v>
      </c>
      <c r="AU263" s="39">
        <f t="shared" si="154"/>
        <v>163755.65329574427</v>
      </c>
      <c r="AV263" s="39">
        <f t="shared" si="165"/>
        <v>0</v>
      </c>
      <c r="AW263" s="3">
        <f t="shared" si="137"/>
        <v>189</v>
      </c>
      <c r="AX263" s="69">
        <f t="shared" si="155"/>
        <v>0</v>
      </c>
      <c r="AY263" s="75">
        <f t="shared" si="138"/>
        <v>0</v>
      </c>
      <c r="AZ263" s="75">
        <f t="shared" si="139"/>
        <v>0</v>
      </c>
      <c r="BA263" s="75">
        <f t="shared" si="140"/>
        <v>0</v>
      </c>
      <c r="BB263" s="75">
        <f t="shared" si="141"/>
        <v>0</v>
      </c>
      <c r="BD263" s="214">
        <f t="shared" si="156"/>
        <v>180946.51276737294</v>
      </c>
      <c r="BE263" s="214">
        <f t="shared" si="142"/>
        <v>880.76630051767927</v>
      </c>
      <c r="BF263" s="214">
        <f t="shared" si="143"/>
        <v>-299.41064391150388</v>
      </c>
      <c r="BG263" s="224">
        <f t="shared" si="161"/>
        <v>0</v>
      </c>
      <c r="BH263" s="19">
        <f t="shared" si="157"/>
        <v>246669.24213403981</v>
      </c>
      <c r="BI263" s="214">
        <f t="shared" si="144"/>
        <v>1200.6750090022867</v>
      </c>
      <c r="BJ263" s="214">
        <f t="shared" si="145"/>
        <v>0</v>
      </c>
      <c r="BK263" s="19">
        <f t="shared" si="162"/>
        <v>0</v>
      </c>
    </row>
    <row r="264" spans="1:63">
      <c r="A264" s="165">
        <f t="shared" si="146"/>
        <v>77.806125941136202</v>
      </c>
      <c r="B264" s="69">
        <f t="shared" si="147"/>
        <v>16</v>
      </c>
      <c r="C264" s="70">
        <f t="shared" si="148"/>
        <v>190</v>
      </c>
      <c r="D264" s="13">
        <f t="shared" si="117"/>
        <v>4.8675505653430484E-3</v>
      </c>
      <c r="E264" s="15">
        <f t="shared" si="118"/>
        <v>1</v>
      </c>
      <c r="F264" s="15">
        <f t="shared" si="149"/>
        <v>0</v>
      </c>
      <c r="G264" s="15">
        <f t="shared" si="119"/>
        <v>0</v>
      </c>
      <c r="H264" s="73">
        <f t="shared" si="120"/>
        <v>0</v>
      </c>
      <c r="I264" s="189"/>
      <c r="J264" s="189"/>
      <c r="K264" s="5">
        <f t="shared" si="163"/>
        <v>163755.65329574427</v>
      </c>
      <c r="M264" s="5">
        <f t="shared" si="121"/>
        <v>797.08892277782024</v>
      </c>
      <c r="N264" s="5">
        <f t="shared" si="122"/>
        <v>-270.96507607450599</v>
      </c>
      <c r="O264" s="5">
        <f t="shared" si="123"/>
        <v>0</v>
      </c>
      <c r="P264" s="5">
        <f t="shared" si="124"/>
        <v>0</v>
      </c>
      <c r="Q264" s="5">
        <f t="shared" si="158"/>
        <v>0</v>
      </c>
      <c r="R264" s="5">
        <f t="shared" si="150"/>
        <v>0</v>
      </c>
      <c r="S264" s="5">
        <f t="shared" si="125"/>
        <v>0</v>
      </c>
      <c r="T264" s="5">
        <f t="shared" si="126"/>
        <v>0</v>
      </c>
      <c r="U264" s="74">
        <f t="shared" si="127"/>
        <v>0</v>
      </c>
      <c r="V264" s="75">
        <f t="shared" si="128"/>
        <v>0</v>
      </c>
      <c r="W264" s="5">
        <f t="shared" si="129"/>
        <v>0</v>
      </c>
      <c r="X264" s="5">
        <f t="shared" si="130"/>
        <v>164281.77714244759</v>
      </c>
      <c r="Y264" s="5">
        <f t="shared" si="151"/>
        <v>100000</v>
      </c>
      <c r="Z264" s="215">
        <f t="shared" si="131"/>
        <v>1</v>
      </c>
      <c r="AA264" s="216">
        <f t="shared" si="152"/>
        <v>0</v>
      </c>
      <c r="AB264" s="72">
        <f t="shared" si="159"/>
        <v>13188.158705474159</v>
      </c>
      <c r="AC264" s="72">
        <f t="shared" si="132"/>
        <v>0</v>
      </c>
      <c r="AD264" s="72">
        <f t="shared" si="133"/>
        <v>0</v>
      </c>
      <c r="AE264" s="72">
        <f t="shared" si="153"/>
        <v>-34.209782095318033</v>
      </c>
      <c r="AF264" s="70">
        <f t="shared" si="134"/>
        <v>0</v>
      </c>
      <c r="AG264" s="70">
        <f t="shared" si="135"/>
        <v>16250.416916736112</v>
      </c>
      <c r="AH264" s="1">
        <f t="shared" si="169"/>
        <v>0</v>
      </c>
      <c r="AI264" s="1">
        <f t="shared" si="169"/>
        <v>0</v>
      </c>
      <c r="AJ264" s="1">
        <f t="shared" si="169"/>
        <v>0</v>
      </c>
      <c r="AK264" s="1">
        <f t="shared" si="169"/>
        <v>0</v>
      </c>
      <c r="AL264" s="1">
        <f t="shared" si="169"/>
        <v>0</v>
      </c>
      <c r="AM264" s="1">
        <f t="shared" si="169"/>
        <v>0</v>
      </c>
      <c r="AN264" s="1">
        <f t="shared" si="169"/>
        <v>0</v>
      </c>
      <c r="AO264" s="1">
        <f t="shared" si="169"/>
        <v>1</v>
      </c>
      <c r="AP264" s="1">
        <f t="shared" si="169"/>
        <v>1</v>
      </c>
      <c r="AQ264" s="1">
        <f t="shared" si="169"/>
        <v>1</v>
      </c>
      <c r="AR264" s="1">
        <f t="shared" si="169"/>
        <v>1</v>
      </c>
      <c r="AS264" s="1">
        <f t="shared" si="169"/>
        <v>1</v>
      </c>
      <c r="AT264" s="39">
        <f t="shared" si="136"/>
        <v>164281.77714244759</v>
      </c>
      <c r="AU264" s="39">
        <f t="shared" si="154"/>
        <v>164281.77714244759</v>
      </c>
      <c r="AV264" s="39">
        <f t="shared" si="165"/>
        <v>0</v>
      </c>
      <c r="AW264" s="3">
        <f t="shared" si="137"/>
        <v>190</v>
      </c>
      <c r="AX264" s="69">
        <f t="shared" si="155"/>
        <v>0</v>
      </c>
      <c r="AY264" s="75">
        <f t="shared" si="138"/>
        <v>0</v>
      </c>
      <c r="AZ264" s="75">
        <f t="shared" si="139"/>
        <v>0</v>
      </c>
      <c r="BA264" s="75">
        <f t="shared" si="140"/>
        <v>0</v>
      </c>
      <c r="BB264" s="75">
        <f t="shared" si="141"/>
        <v>0</v>
      </c>
      <c r="BD264" s="214">
        <f t="shared" si="156"/>
        <v>181527.86842397912</v>
      </c>
      <c r="BE264" s="214">
        <f t="shared" si="142"/>
        <v>883.59607857265803</v>
      </c>
      <c r="BF264" s="214">
        <f t="shared" si="143"/>
        <v>-300.37260813410171</v>
      </c>
      <c r="BG264" s="224">
        <f t="shared" si="161"/>
        <v>0</v>
      </c>
      <c r="BH264" s="19">
        <f t="shared" si="157"/>
        <v>247869.91714304211</v>
      </c>
      <c r="BI264" s="214">
        <f t="shared" si="144"/>
        <v>1206.5193553211493</v>
      </c>
      <c r="BJ264" s="214">
        <f t="shared" si="145"/>
        <v>0</v>
      </c>
      <c r="BK264" s="19">
        <f t="shared" si="162"/>
        <v>0</v>
      </c>
    </row>
    <row r="265" spans="1:63">
      <c r="A265" s="165">
        <f t="shared" si="146"/>
        <v>77.889459274469544</v>
      </c>
      <c r="B265" s="69">
        <f t="shared" si="147"/>
        <v>16</v>
      </c>
      <c r="C265" s="70">
        <f t="shared" si="148"/>
        <v>191</v>
      </c>
      <c r="D265" s="13">
        <f t="shared" si="117"/>
        <v>4.8675505653430484E-3</v>
      </c>
      <c r="E265" s="15">
        <f t="shared" si="118"/>
        <v>1</v>
      </c>
      <c r="F265" s="15">
        <f t="shared" si="149"/>
        <v>0</v>
      </c>
      <c r="G265" s="15">
        <f t="shared" si="119"/>
        <v>0</v>
      </c>
      <c r="H265" s="73">
        <f t="shared" si="120"/>
        <v>0</v>
      </c>
      <c r="I265" s="189"/>
      <c r="J265" s="189"/>
      <c r="K265" s="5">
        <f t="shared" si="163"/>
        <v>164281.77714244759</v>
      </c>
      <c r="M265" s="5">
        <f t="shared" si="121"/>
        <v>799.64985720528148</v>
      </c>
      <c r="N265" s="5">
        <f t="shared" si="122"/>
        <v>-271.83564869461037</v>
      </c>
      <c r="O265" s="5">
        <f t="shared" si="123"/>
        <v>0</v>
      </c>
      <c r="P265" s="5">
        <f t="shared" si="124"/>
        <v>0</v>
      </c>
      <c r="Q265" s="5">
        <f t="shared" si="158"/>
        <v>0</v>
      </c>
      <c r="R265" s="5">
        <f t="shared" si="150"/>
        <v>0</v>
      </c>
      <c r="S265" s="5">
        <f t="shared" si="125"/>
        <v>0</v>
      </c>
      <c r="T265" s="5">
        <f t="shared" si="126"/>
        <v>0</v>
      </c>
      <c r="U265" s="74">
        <f t="shared" si="127"/>
        <v>0</v>
      </c>
      <c r="V265" s="75">
        <f t="shared" si="128"/>
        <v>0</v>
      </c>
      <c r="W265" s="5">
        <f t="shared" si="129"/>
        <v>0</v>
      </c>
      <c r="X265" s="5">
        <f t="shared" si="130"/>
        <v>164809.59135095828</v>
      </c>
      <c r="Y265" s="5">
        <f t="shared" si="151"/>
        <v>100000</v>
      </c>
      <c r="Z265" s="215">
        <f t="shared" si="131"/>
        <v>1</v>
      </c>
      <c r="AA265" s="216">
        <f t="shared" si="152"/>
        <v>0</v>
      </c>
      <c r="AB265" s="72">
        <f t="shared" si="159"/>
        <v>13188.158705474159</v>
      </c>
      <c r="AC265" s="72">
        <f t="shared" si="132"/>
        <v>0</v>
      </c>
      <c r="AD265" s="72">
        <f t="shared" si="133"/>
        <v>0</v>
      </c>
      <c r="AE265" s="72">
        <f t="shared" si="153"/>
        <v>-34.319693306251111</v>
      </c>
      <c r="AF265" s="70">
        <f t="shared" si="134"/>
        <v>0</v>
      </c>
      <c r="AG265" s="70">
        <f t="shared" si="135"/>
        <v>16450.986315970171</v>
      </c>
      <c r="AH265" s="1">
        <f t="shared" ref="AH265:AS274" si="170">IF($B265&lt;=AH$74,1,0)</f>
        <v>0</v>
      </c>
      <c r="AI265" s="1">
        <f t="shared" si="170"/>
        <v>0</v>
      </c>
      <c r="AJ265" s="1">
        <f t="shared" si="170"/>
        <v>0</v>
      </c>
      <c r="AK265" s="1">
        <f t="shared" si="170"/>
        <v>0</v>
      </c>
      <c r="AL265" s="1">
        <f t="shared" si="170"/>
        <v>0</v>
      </c>
      <c r="AM265" s="1">
        <f t="shared" si="170"/>
        <v>0</v>
      </c>
      <c r="AN265" s="1">
        <f t="shared" si="170"/>
        <v>0</v>
      </c>
      <c r="AO265" s="1">
        <f t="shared" si="170"/>
        <v>1</v>
      </c>
      <c r="AP265" s="1">
        <f t="shared" si="170"/>
        <v>1</v>
      </c>
      <c r="AQ265" s="1">
        <f t="shared" si="170"/>
        <v>1</v>
      </c>
      <c r="AR265" s="1">
        <f t="shared" si="170"/>
        <v>1</v>
      </c>
      <c r="AS265" s="1">
        <f t="shared" si="170"/>
        <v>1</v>
      </c>
      <c r="AT265" s="39">
        <f t="shared" si="136"/>
        <v>164809.59135095828</v>
      </c>
      <c r="AU265" s="39">
        <f t="shared" si="154"/>
        <v>164809.59135095828</v>
      </c>
      <c r="AV265" s="39">
        <f t="shared" si="165"/>
        <v>0</v>
      </c>
      <c r="AW265" s="3">
        <f t="shared" si="137"/>
        <v>191</v>
      </c>
      <c r="AX265" s="69">
        <f t="shared" si="155"/>
        <v>0</v>
      </c>
      <c r="AY265" s="75">
        <f t="shared" si="138"/>
        <v>0</v>
      </c>
      <c r="AZ265" s="75">
        <f t="shared" si="139"/>
        <v>0</v>
      </c>
      <c r="BA265" s="75">
        <f t="shared" si="140"/>
        <v>0</v>
      </c>
      <c r="BB265" s="75">
        <f t="shared" si="141"/>
        <v>0</v>
      </c>
      <c r="BD265" s="214">
        <f t="shared" si="156"/>
        <v>182111.09189441765</v>
      </c>
      <c r="BE265" s="214">
        <f t="shared" si="142"/>
        <v>886.43494830591249</v>
      </c>
      <c r="BF265" s="214">
        <f t="shared" si="143"/>
        <v>-301.33766301224023</v>
      </c>
      <c r="BG265" s="224">
        <f t="shared" si="161"/>
        <v>0</v>
      </c>
      <c r="BH265" s="19">
        <f t="shared" si="157"/>
        <v>249076.43649836327</v>
      </c>
      <c r="BI265" s="214">
        <f t="shared" si="144"/>
        <v>1212.39214929124</v>
      </c>
      <c r="BJ265" s="214">
        <f t="shared" si="145"/>
        <v>0</v>
      </c>
      <c r="BK265" s="19">
        <f t="shared" si="162"/>
        <v>0</v>
      </c>
    </row>
    <row r="266" spans="1:63">
      <c r="A266" s="165">
        <f t="shared" si="146"/>
        <v>77.972792607802873</v>
      </c>
      <c r="B266" s="69">
        <f t="shared" si="147"/>
        <v>16</v>
      </c>
      <c r="C266" s="70">
        <f t="shared" si="148"/>
        <v>192</v>
      </c>
      <c r="D266" s="13">
        <f t="shared" si="117"/>
        <v>4.8675505653430484E-3</v>
      </c>
      <c r="E266" s="15">
        <f t="shared" si="118"/>
        <v>1</v>
      </c>
      <c r="F266" s="15">
        <f t="shared" si="149"/>
        <v>1</v>
      </c>
      <c r="G266" s="15">
        <f t="shared" si="119"/>
        <v>0</v>
      </c>
      <c r="H266" s="73">
        <f t="shared" si="120"/>
        <v>0</v>
      </c>
      <c r="I266" s="189"/>
      <c r="J266" s="189"/>
      <c r="K266" s="5">
        <f t="shared" si="163"/>
        <v>164809.59135095828</v>
      </c>
      <c r="M266" s="5">
        <f t="shared" si="121"/>
        <v>802.21901955431372</v>
      </c>
      <c r="N266" s="5">
        <f t="shared" si="122"/>
        <v>-272.70901834191045</v>
      </c>
      <c r="O266" s="5">
        <f t="shared" si="123"/>
        <v>0</v>
      </c>
      <c r="P266" s="5">
        <f t="shared" si="124"/>
        <v>0</v>
      </c>
      <c r="Q266" s="5">
        <f t="shared" si="158"/>
        <v>0</v>
      </c>
      <c r="R266" s="5">
        <f t="shared" si="150"/>
        <v>0</v>
      </c>
      <c r="S266" s="5">
        <f t="shared" si="125"/>
        <v>0</v>
      </c>
      <c r="T266" s="5">
        <f t="shared" si="126"/>
        <v>0</v>
      </c>
      <c r="U266" s="74">
        <f t="shared" si="127"/>
        <v>0</v>
      </c>
      <c r="V266" s="75">
        <f t="shared" si="128"/>
        <v>0</v>
      </c>
      <c r="W266" s="5">
        <f t="shared" si="129"/>
        <v>0</v>
      </c>
      <c r="X266" s="5">
        <f t="shared" si="130"/>
        <v>165339.10135217069</v>
      </c>
      <c r="Y266" s="5">
        <f t="shared" si="151"/>
        <v>100000</v>
      </c>
      <c r="Z266" s="215">
        <f t="shared" si="131"/>
        <v>1</v>
      </c>
      <c r="AA266" s="216">
        <f t="shared" si="152"/>
        <v>0</v>
      </c>
      <c r="AB266" s="72">
        <f t="shared" si="159"/>
        <v>13188.158705474159</v>
      </c>
      <c r="AC266" s="72">
        <f t="shared" si="132"/>
        <v>-16652.200116430889</v>
      </c>
      <c r="AD266" s="72">
        <f t="shared" si="133"/>
        <v>0</v>
      </c>
      <c r="AE266" s="72">
        <f t="shared" si="153"/>
        <v>-34.429957646422338</v>
      </c>
      <c r="AF266" s="70">
        <f t="shared" si="134"/>
        <v>0</v>
      </c>
      <c r="AG266" s="70">
        <f t="shared" si="135"/>
        <v>0</v>
      </c>
      <c r="AH266" s="1">
        <f t="shared" si="170"/>
        <v>0</v>
      </c>
      <c r="AI266" s="1">
        <f t="shared" si="170"/>
        <v>0</v>
      </c>
      <c r="AJ266" s="1">
        <f t="shared" si="170"/>
        <v>0</v>
      </c>
      <c r="AK266" s="1">
        <f t="shared" si="170"/>
        <v>0</v>
      </c>
      <c r="AL266" s="1">
        <f t="shared" si="170"/>
        <v>0</v>
      </c>
      <c r="AM266" s="1">
        <f t="shared" si="170"/>
        <v>0</v>
      </c>
      <c r="AN266" s="1">
        <f t="shared" si="170"/>
        <v>0</v>
      </c>
      <c r="AO266" s="1">
        <f t="shared" si="170"/>
        <v>1</v>
      </c>
      <c r="AP266" s="1">
        <f t="shared" si="170"/>
        <v>1</v>
      </c>
      <c r="AQ266" s="1">
        <f t="shared" si="170"/>
        <v>1</v>
      </c>
      <c r="AR266" s="1">
        <f t="shared" si="170"/>
        <v>1</v>
      </c>
      <c r="AS266" s="1">
        <f t="shared" si="170"/>
        <v>1</v>
      </c>
      <c r="AT266" s="39">
        <f t="shared" si="136"/>
        <v>148686.90123573982</v>
      </c>
      <c r="AU266" s="39">
        <f t="shared" si="154"/>
        <v>165339.10135217069</v>
      </c>
      <c r="AV266" s="39">
        <f t="shared" si="165"/>
        <v>0</v>
      </c>
      <c r="AW266" s="3">
        <f t="shared" si="137"/>
        <v>192</v>
      </c>
      <c r="AX266" s="69">
        <f t="shared" si="155"/>
        <v>0</v>
      </c>
      <c r="AY266" s="75">
        <f t="shared" si="138"/>
        <v>0</v>
      </c>
      <c r="AZ266" s="75">
        <f t="shared" si="139"/>
        <v>0</v>
      </c>
      <c r="BA266" s="75">
        <f t="shared" si="140"/>
        <v>0</v>
      </c>
      <c r="BB266" s="75">
        <f t="shared" si="141"/>
        <v>0</v>
      </c>
      <c r="BD266" s="214">
        <f t="shared" si="156"/>
        <v>182696.18917971133</v>
      </c>
      <c r="BE266" s="214">
        <f t="shared" si="142"/>
        <v>889.28293892772444</v>
      </c>
      <c r="BF266" s="214">
        <f t="shared" si="143"/>
        <v>-302.30581847576036</v>
      </c>
      <c r="BG266" s="224">
        <f t="shared" si="161"/>
        <v>0</v>
      </c>
      <c r="BH266" s="19">
        <f t="shared" si="157"/>
        <v>250288.8286476545</v>
      </c>
      <c r="BI266" s="214">
        <f t="shared" si="144"/>
        <v>1218.2935293829401</v>
      </c>
      <c r="BJ266" s="214">
        <f t="shared" si="145"/>
        <v>0</v>
      </c>
      <c r="BK266" s="19">
        <f t="shared" si="162"/>
        <v>0</v>
      </c>
    </row>
    <row r="267" spans="1:63">
      <c r="A267" s="165">
        <f t="shared" si="146"/>
        <v>78.056125941136202</v>
      </c>
      <c r="B267" s="69">
        <f t="shared" si="147"/>
        <v>17</v>
      </c>
      <c r="C267" s="70">
        <f t="shared" si="148"/>
        <v>193</v>
      </c>
      <c r="D267" s="13">
        <f t="shared" ref="D267:D330" si="171">Growth_Rate_1_Monthly</f>
        <v>4.8675505653430484E-3</v>
      </c>
      <c r="E267" s="15">
        <f t="shared" ref="E267:E330" si="172">IF(Gtee_Flag="on",1,0)</f>
        <v>1</v>
      </c>
      <c r="F267" s="15">
        <f t="shared" si="149"/>
        <v>0</v>
      </c>
      <c r="G267" s="15">
        <f t="shared" ref="G267:G330" si="173">IF(AND(RP_Flag = "Yes",RP_Allowed="Yes"),IF(RP_PremFreq = "Annual",IF(MOD(C267-1, 12) = 0, 1, 0), IF(RP_PremFreq = "Half-Yearly", IF(MOD(C267-1, 6) = 0, 1, 0), IF(RP_PremFreq = "Quarterly", IF(MOD(C267-1, 3) = 0, 1, 0), IF(RP_PremFreq = "Monthly", IF(MOD(C267-1, 1) = 0, 1, 0), "Error")))),0)</f>
        <v>0</v>
      </c>
      <c r="H267" s="73">
        <f t="shared" ref="H267:H330" si="174">IF(ISERROR(VLOOKUP(Product_Code,Product_Parameters,B267+8,FALSE)),0,VLOOKUP(Product_Code,Product_Parameters,B267+8,FALSE))</f>
        <v>0</v>
      </c>
      <c r="I267" s="189"/>
      <c r="J267" s="189"/>
      <c r="K267" s="5">
        <f t="shared" si="163"/>
        <v>148686.90123573982</v>
      </c>
      <c r="M267" s="5">
        <f t="shared" ref="M267:M330" si="175">(K267+L267)*D267</f>
        <v>723.7410101691313</v>
      </c>
      <c r="N267" s="5">
        <f t="shared" ref="N267:N330" si="176">-(($K267+(L267)+M267/2)*(External_Fund_Charge_Monthly+Fund_Charge_Monthly+Gtee_Charge_Monthly*$E267))-I267*Government_Levy</f>
        <v>-246.03094118443997</v>
      </c>
      <c r="O267" s="5">
        <f t="shared" ref="O267:O330" si="177">(Reg_Contrib/Contrib_Per_Year)*(1+RP_Escalation_Rate)^(B267-1)*G267</f>
        <v>0</v>
      </c>
      <c r="P267" s="5">
        <f t="shared" ref="P267:P330" si="178">O267*(RP_Allocation_Rate-1)</f>
        <v>0</v>
      </c>
      <c r="Q267" s="5">
        <f t="shared" si="158"/>
        <v>0</v>
      </c>
      <c r="R267" s="5">
        <f t="shared" si="150"/>
        <v>0</v>
      </c>
      <c r="S267" s="5">
        <f t="shared" ref="S267:S330" si="179">(Q267+R267)*D267</f>
        <v>0</v>
      </c>
      <c r="T267" s="5">
        <f t="shared" ref="T267:T330" si="180">-(($Q267+(R267)+S267/2)*(External_Fund_Charge_Monthly+Fund_Charge_Monthly+Gtee_Charge_Monthly*$E267))-O267*Government_Levy</f>
        <v>0</v>
      </c>
      <c r="U267" s="74">
        <f t="shared" ref="U267:U330" si="181">IF(OR(Reg_Income_Flag="No",Income_Type="Fixed Percent"),0,IF(C267&gt;=Regular_Income_Start_Month,
MIN(Regular_Income_Amount/12*(1+Income_Escalation_Rate_Annual)^($B267-1),AU267),0))</f>
        <v>0</v>
      </c>
      <c r="V267" s="75">
        <f t="shared" ref="V267:V330" si="182">IF(Reg_Income_Flag="No",0,MAX(IF(C267&gt;=Regular_Income_Start_Month,
MIN(IF(Income_Type="Fixed Percent",$C$43,0)/12*(K267+L267+M267+N267+Q267+R267+S267+T267),AU267),0),0))</f>
        <v>0</v>
      </c>
      <c r="W267" s="5">
        <f t="shared" ref="W267:W330" si="183">-MAX(U267:V267)</f>
        <v>0</v>
      </c>
      <c r="X267" s="5">
        <f t="shared" ref="X267:X330" si="184">SUM(K267:N267,Q267:T267)</f>
        <v>149164.6113047245</v>
      </c>
      <c r="Y267" s="5">
        <f t="shared" si="151"/>
        <v>100000</v>
      </c>
      <c r="Z267" s="215">
        <f t="shared" ref="Z267:Z330" si="185">IFERROR(SUM(K267:N267)/X267,0)</f>
        <v>1</v>
      </c>
      <c r="AA267" s="216">
        <f t="shared" si="152"/>
        <v>0</v>
      </c>
      <c r="AB267" s="72">
        <f t="shared" si="159"/>
        <v>29840.358821905051</v>
      </c>
      <c r="AC267" s="72">
        <f t="shared" ref="AC267:AC330" si="186">IF(Y267=0,0,-IF(F267=1,1,AA267)*(MAX(X267+AB267-Y267,0)*Exit_Tax_Rate-AB267))</f>
        <v>0</v>
      </c>
      <c r="AD267" s="72">
        <f t="shared" ref="AD267:AD330" si="187">W267-IF(F267=1,AA267,1)*AC267</f>
        <v>0</v>
      </c>
      <c r="AE267" s="72">
        <f t="shared" si="153"/>
        <v>-31.061806962574796</v>
      </c>
      <c r="AF267" s="70">
        <f t="shared" ref="AF267:AF330" si="188">SUM(K267:N267,SUM(AC267:AD267)*Z267)*$H267</f>
        <v>0</v>
      </c>
      <c r="AG267" s="70">
        <f t="shared" ref="AG267:AG330" si="189">IF(F267=1,0,MAX(X267+AB267+AC267+AD267-AF267-Y267,0)*Exit_Tax_Rate-AB267)</f>
        <v>181.52982621417686</v>
      </c>
      <c r="AH267" s="1">
        <f t="shared" si="170"/>
        <v>0</v>
      </c>
      <c r="AI267" s="1">
        <f t="shared" si="170"/>
        <v>0</v>
      </c>
      <c r="AJ267" s="1">
        <f t="shared" si="170"/>
        <v>0</v>
      </c>
      <c r="AK267" s="1">
        <f t="shared" si="170"/>
        <v>0</v>
      </c>
      <c r="AL267" s="1">
        <f t="shared" si="170"/>
        <v>0</v>
      </c>
      <c r="AM267" s="1">
        <f t="shared" si="170"/>
        <v>0</v>
      </c>
      <c r="AN267" s="1">
        <f t="shared" si="170"/>
        <v>0</v>
      </c>
      <c r="AO267" s="1">
        <f t="shared" si="170"/>
        <v>1</v>
      </c>
      <c r="AP267" s="1">
        <f t="shared" si="170"/>
        <v>1</v>
      </c>
      <c r="AQ267" s="1">
        <f t="shared" si="170"/>
        <v>1</v>
      </c>
      <c r="AR267" s="1">
        <f t="shared" si="170"/>
        <v>1</v>
      </c>
      <c r="AS267" s="1">
        <f t="shared" si="170"/>
        <v>1</v>
      </c>
      <c r="AT267" s="39">
        <f t="shared" ref="AT267:AT330" si="190">SUM(K267:N267,Q267:T267,W267,AC267)</f>
        <v>149164.6113047245</v>
      </c>
      <c r="AU267" s="39">
        <f t="shared" si="154"/>
        <v>149164.6113047245</v>
      </c>
      <c r="AV267" s="39">
        <f t="shared" si="165"/>
        <v>0</v>
      </c>
      <c r="AW267" s="3">
        <f t="shared" ref="AW267:AW330" si="191">C267</f>
        <v>193</v>
      </c>
      <c r="AX267" s="69">
        <f t="shared" si="155"/>
        <v>0</v>
      </c>
      <c r="AY267" s="75">
        <f t="shared" ref="AY267:AY330" si="192">IF(OR(AND(B267=Fund_Zero_Year,BD268=0,BD267&gt;0),C267=$C$53*12),-BH267,IF(AND(B267+1=Fund_Zero_Year,BD268=0,BD267&gt;0),-BH267,0))</f>
        <v>0</v>
      </c>
      <c r="AZ267" s="75">
        <f t="shared" ref="AZ267:AZ330" si="193">IF(OR(AND(B267=Fund_Zero_Year,BD268=0,BD267&gt;0),C267=$C$53*12),-BD267,IF(AND(B267+1=Fund_Zero_Year,BD268=0,BD267&gt;0),-BD267,0))</f>
        <v>0</v>
      </c>
      <c r="BA267" s="75">
        <f t="shared" ref="BA267:BA330" si="194">AY267+AX267+IF(OR(B267&gt;Fund_Zero_Year,BD267=0,C267&gt;MAX($C$53,$C$52)*12),0,W267)</f>
        <v>0</v>
      </c>
      <c r="BB267" s="75">
        <f t="shared" ref="BB267:BB330" si="195">AZ267+AX267+IF(OR(B267&gt;Fund_Zero_Year,BD267=0,C267&gt;MAX($C$53,$C$52)*12),0,W267)</f>
        <v>0</v>
      </c>
      <c r="BD267" s="214">
        <f t="shared" si="156"/>
        <v>183283.16630016331</v>
      </c>
      <c r="BE267" s="214">
        <f t="shared" ref="BE267:BE330" si="196">BD267*D267</f>
        <v>892.14007974222386</v>
      </c>
      <c r="BF267" s="214">
        <f t="shared" ref="BF267:BF330" si="197">-(BD267+BE267/2)*(External_Fund_Charge_Monthly+Fund_Charge_Monthly+Gtee_Charge_Monthly*$E267)-(I267+O267)*Government_Levy</f>
        <v>-303.2770844864063</v>
      </c>
      <c r="BG267" s="224">
        <f t="shared" si="161"/>
        <v>0</v>
      </c>
      <c r="BH267" s="19">
        <f t="shared" si="157"/>
        <v>251507.12217703744</v>
      </c>
      <c r="BI267" s="214">
        <f t="shared" ref="BI267:BI330" si="198">BH267*D267</f>
        <v>1224.2236347406417</v>
      </c>
      <c r="BJ267" s="214">
        <f t="shared" ref="BJ267:BJ330" si="199">-(I267+O267)*Government_Levy</f>
        <v>0</v>
      </c>
      <c r="BK267" s="19">
        <f t="shared" si="162"/>
        <v>0</v>
      </c>
    </row>
    <row r="268" spans="1:63">
      <c r="A268" s="165">
        <f t="shared" ref="A268:A331" si="200">$C$35+C267/12</f>
        <v>78.139459274469544</v>
      </c>
      <c r="B268" s="69">
        <f t="shared" ref="B268:B331" si="201">INT((C268-1)/12)+1</f>
        <v>17</v>
      </c>
      <c r="C268" s="70">
        <f t="shared" ref="C268:C331" si="202">C267+1</f>
        <v>194</v>
      </c>
      <c r="D268" s="13">
        <f t="shared" si="171"/>
        <v>4.8675505653430484E-3</v>
      </c>
      <c r="E268" s="15">
        <f t="shared" si="172"/>
        <v>1</v>
      </c>
      <c r="F268" s="15">
        <f t="shared" ref="F268:F331" si="203">IF(MOD(C268,96)=0,1,0)</f>
        <v>0</v>
      </c>
      <c r="G268" s="15">
        <f t="shared" si="173"/>
        <v>0</v>
      </c>
      <c r="H268" s="73">
        <f t="shared" si="174"/>
        <v>0</v>
      </c>
      <c r="I268" s="189"/>
      <c r="J268" s="189"/>
      <c r="K268" s="5">
        <f t="shared" si="163"/>
        <v>149164.6113047245</v>
      </c>
      <c r="M268" s="5">
        <f t="shared" si="175"/>
        <v>726.06628808548783</v>
      </c>
      <c r="N268" s="5">
        <f t="shared" si="176"/>
        <v>-246.82140394147356</v>
      </c>
      <c r="O268" s="5">
        <f t="shared" si="177"/>
        <v>0</v>
      </c>
      <c r="P268" s="5">
        <f t="shared" si="178"/>
        <v>0</v>
      </c>
      <c r="Q268" s="5">
        <f t="shared" si="158"/>
        <v>0</v>
      </c>
      <c r="R268" s="5">
        <f t="shared" ref="R268:R331" si="204">O268+P268</f>
        <v>0</v>
      </c>
      <c r="S268" s="5">
        <f t="shared" si="179"/>
        <v>0</v>
      </c>
      <c r="T268" s="5">
        <f t="shared" si="180"/>
        <v>0</v>
      </c>
      <c r="U268" s="74">
        <f t="shared" si="181"/>
        <v>0</v>
      </c>
      <c r="V268" s="75">
        <f t="shared" si="182"/>
        <v>0</v>
      </c>
      <c r="W268" s="5">
        <f t="shared" si="183"/>
        <v>0</v>
      </c>
      <c r="X268" s="5">
        <f t="shared" si="184"/>
        <v>149643.85618886852</v>
      </c>
      <c r="Y268" s="5">
        <f t="shared" ref="Y268:Y331" si="205">I268+O268+Y267*(1-AA267)</f>
        <v>100000</v>
      </c>
      <c r="Z268" s="215">
        <f t="shared" si="185"/>
        <v>1</v>
      </c>
      <c r="AA268" s="216">
        <f t="shared" ref="AA268:AA331" si="206">IFERROR(-W268/X268,0)</f>
        <v>0</v>
      </c>
      <c r="AB268" s="72">
        <f t="shared" si="159"/>
        <v>29840.358821905051</v>
      </c>
      <c r="AC268" s="72">
        <f t="shared" si="186"/>
        <v>0</v>
      </c>
      <c r="AD268" s="72">
        <f t="shared" si="187"/>
        <v>0</v>
      </c>
      <c r="AE268" s="72">
        <f t="shared" ref="AE268:AE331" si="207">-(($K268+I268+M268/2+N268/2+W268/2+$Q268+O268+S268/2+T268/2))*(Ongoing_Commission_Monthly)</f>
        <v>-31.16160417284387</v>
      </c>
      <c r="AF268" s="70">
        <f t="shared" si="188"/>
        <v>0</v>
      </c>
      <c r="AG268" s="70">
        <f t="shared" si="189"/>
        <v>363.64288218890579</v>
      </c>
      <c r="AH268" s="1">
        <f t="shared" si="170"/>
        <v>0</v>
      </c>
      <c r="AI268" s="1">
        <f t="shared" si="170"/>
        <v>0</v>
      </c>
      <c r="AJ268" s="1">
        <f t="shared" si="170"/>
        <v>0</v>
      </c>
      <c r="AK268" s="1">
        <f t="shared" si="170"/>
        <v>0</v>
      </c>
      <c r="AL268" s="1">
        <f t="shared" si="170"/>
        <v>0</v>
      </c>
      <c r="AM268" s="1">
        <f t="shared" si="170"/>
        <v>0</v>
      </c>
      <c r="AN268" s="1">
        <f t="shared" si="170"/>
        <v>0</v>
      </c>
      <c r="AO268" s="1">
        <f t="shared" si="170"/>
        <v>1</v>
      </c>
      <c r="AP268" s="1">
        <f t="shared" si="170"/>
        <v>1</v>
      </c>
      <c r="AQ268" s="1">
        <f t="shared" si="170"/>
        <v>1</v>
      </c>
      <c r="AR268" s="1">
        <f t="shared" si="170"/>
        <v>1</v>
      </c>
      <c r="AS268" s="1">
        <f t="shared" si="170"/>
        <v>1</v>
      </c>
      <c r="AT268" s="39">
        <f t="shared" si="190"/>
        <v>149643.85618886852</v>
      </c>
      <c r="AU268" s="39">
        <f t="shared" ref="AU268:AU331" si="208">MAX(0,SUM(K268:N268)-$C$51)</f>
        <v>149643.85618886852</v>
      </c>
      <c r="AV268" s="39">
        <f t="shared" si="165"/>
        <v>0</v>
      </c>
      <c r="AW268" s="3">
        <f t="shared" si="191"/>
        <v>194</v>
      </c>
      <c r="AX268" s="69">
        <f t="shared" ref="AX268:AX331" si="209">IF(OR(B268&gt;Fund_Zero_Year,SUM(K268,Q268)=0,C268&gt;$C$53*12),0,I268+O268)</f>
        <v>0</v>
      </c>
      <c r="AY268" s="75">
        <f t="shared" si="192"/>
        <v>0</v>
      </c>
      <c r="AZ268" s="75">
        <f t="shared" si="193"/>
        <v>0</v>
      </c>
      <c r="BA268" s="75">
        <f t="shared" si="194"/>
        <v>0</v>
      </c>
      <c r="BB268" s="75">
        <f t="shared" si="195"/>
        <v>0</v>
      </c>
      <c r="BD268" s="214">
        <f t="shared" ref="BD268:BD331" si="210">SUM(BD267:BG267)+L268+R268</f>
        <v>183872.02929541911</v>
      </c>
      <c r="BE268" s="214">
        <f t="shared" si="196"/>
        <v>895.0064001476909</v>
      </c>
      <c r="BF268" s="214">
        <f t="shared" si="197"/>
        <v>-304.2514710379275</v>
      </c>
      <c r="BG268" s="224">
        <f t="shared" si="161"/>
        <v>0</v>
      </c>
      <c r="BH268" s="19">
        <f t="shared" ref="BH268:BH331" si="211">SUM(BH267:BK267)+L268+R268</f>
        <v>252731.34581177807</v>
      </c>
      <c r="BI268" s="214">
        <f t="shared" si="198"/>
        <v>1230.1826051860298</v>
      </c>
      <c r="BJ268" s="214">
        <f t="shared" si="199"/>
        <v>0</v>
      </c>
      <c r="BK268" s="19">
        <f t="shared" si="162"/>
        <v>0</v>
      </c>
    </row>
    <row r="269" spans="1:63">
      <c r="A269" s="165">
        <f t="shared" si="200"/>
        <v>78.222792607802873</v>
      </c>
      <c r="B269" s="69">
        <f t="shared" si="201"/>
        <v>17</v>
      </c>
      <c r="C269" s="70">
        <f t="shared" si="202"/>
        <v>195</v>
      </c>
      <c r="D269" s="13">
        <f t="shared" si="171"/>
        <v>4.8675505653430484E-3</v>
      </c>
      <c r="E269" s="15">
        <f t="shared" si="172"/>
        <v>1</v>
      </c>
      <c r="F269" s="15">
        <f t="shared" si="203"/>
        <v>0</v>
      </c>
      <c r="G269" s="15">
        <f t="shared" si="173"/>
        <v>0</v>
      </c>
      <c r="H269" s="73">
        <f t="shared" si="174"/>
        <v>0</v>
      </c>
      <c r="I269" s="189"/>
      <c r="J269" s="189"/>
      <c r="K269" s="5">
        <f t="shared" si="163"/>
        <v>149643.85618886852</v>
      </c>
      <c r="M269" s="5">
        <f t="shared" si="175"/>
        <v>728.39903679224085</v>
      </c>
      <c r="N269" s="5">
        <f t="shared" si="176"/>
        <v>-247.61440634399747</v>
      </c>
      <c r="O269" s="5">
        <f t="shared" si="177"/>
        <v>0</v>
      </c>
      <c r="P269" s="5">
        <f t="shared" si="178"/>
        <v>0</v>
      </c>
      <c r="Q269" s="5">
        <f t="shared" ref="Q269:Q332" si="212">SUM(Q268:T268)+SUM(AC268)*(1-Z268)</f>
        <v>0</v>
      </c>
      <c r="R269" s="5">
        <f t="shared" si="204"/>
        <v>0</v>
      </c>
      <c r="S269" s="5">
        <f t="shared" si="179"/>
        <v>0</v>
      </c>
      <c r="T269" s="5">
        <f t="shared" si="180"/>
        <v>0</v>
      </c>
      <c r="U269" s="74">
        <f t="shared" si="181"/>
        <v>0</v>
      </c>
      <c r="V269" s="75">
        <f t="shared" si="182"/>
        <v>0</v>
      </c>
      <c r="W269" s="5">
        <f t="shared" si="183"/>
        <v>0</v>
      </c>
      <c r="X269" s="5">
        <f t="shared" si="184"/>
        <v>150124.64081931679</v>
      </c>
      <c r="Y269" s="5">
        <f t="shared" si="205"/>
        <v>100000</v>
      </c>
      <c r="Z269" s="215">
        <f t="shared" si="185"/>
        <v>1</v>
      </c>
      <c r="AA269" s="216">
        <f t="shared" si="206"/>
        <v>0</v>
      </c>
      <c r="AB269" s="72">
        <f t="shared" ref="AB269:AB332" si="213">-IF(F268=1,AC268*(1-AA268),0)+AB268*(1-AA268)</f>
        <v>29840.358821905051</v>
      </c>
      <c r="AC269" s="72">
        <f t="shared" si="186"/>
        <v>0</v>
      </c>
      <c r="AD269" s="72">
        <f t="shared" si="187"/>
        <v>0</v>
      </c>
      <c r="AE269" s="72">
        <f t="shared" si="207"/>
        <v>-31.261722017491671</v>
      </c>
      <c r="AF269" s="70">
        <f t="shared" si="188"/>
        <v>0</v>
      </c>
      <c r="AG269" s="70">
        <f t="shared" si="189"/>
        <v>546.34104175924585</v>
      </c>
      <c r="AH269" s="1">
        <f t="shared" si="170"/>
        <v>0</v>
      </c>
      <c r="AI269" s="1">
        <f t="shared" si="170"/>
        <v>0</v>
      </c>
      <c r="AJ269" s="1">
        <f t="shared" si="170"/>
        <v>0</v>
      </c>
      <c r="AK269" s="1">
        <f t="shared" si="170"/>
        <v>0</v>
      </c>
      <c r="AL269" s="1">
        <f t="shared" si="170"/>
        <v>0</v>
      </c>
      <c r="AM269" s="1">
        <f t="shared" si="170"/>
        <v>0</v>
      </c>
      <c r="AN269" s="1">
        <f t="shared" si="170"/>
        <v>0</v>
      </c>
      <c r="AO269" s="1">
        <f t="shared" si="170"/>
        <v>1</v>
      </c>
      <c r="AP269" s="1">
        <f t="shared" si="170"/>
        <v>1</v>
      </c>
      <c r="AQ269" s="1">
        <f t="shared" si="170"/>
        <v>1</v>
      </c>
      <c r="AR269" s="1">
        <f t="shared" si="170"/>
        <v>1</v>
      </c>
      <c r="AS269" s="1">
        <f t="shared" si="170"/>
        <v>1</v>
      </c>
      <c r="AT269" s="39">
        <f t="shared" si="190"/>
        <v>150124.64081931679</v>
      </c>
      <c r="AU269" s="39">
        <f t="shared" si="208"/>
        <v>150124.64081931679</v>
      </c>
      <c r="AV269" s="39">
        <f t="shared" si="165"/>
        <v>0</v>
      </c>
      <c r="AW269" s="3">
        <f t="shared" si="191"/>
        <v>195</v>
      </c>
      <c r="AX269" s="69">
        <f t="shared" si="209"/>
        <v>0</v>
      </c>
      <c r="AY269" s="75">
        <f t="shared" si="192"/>
        <v>0</v>
      </c>
      <c r="AZ269" s="75">
        <f t="shared" si="193"/>
        <v>0</v>
      </c>
      <c r="BA269" s="75">
        <f t="shared" si="194"/>
        <v>0</v>
      </c>
      <c r="BB269" s="75">
        <f t="shared" si="195"/>
        <v>0</v>
      </c>
      <c r="BD269" s="214">
        <f t="shared" si="210"/>
        <v>184462.78422452888</v>
      </c>
      <c r="BE269" s="214">
        <f t="shared" si="196"/>
        <v>897.88192963685833</v>
      </c>
      <c r="BF269" s="214">
        <f t="shared" si="197"/>
        <v>-305.22898815618248</v>
      </c>
      <c r="BG269" s="224">
        <f t="shared" ref="BG269:BG332" si="214">W269</f>
        <v>0</v>
      </c>
      <c r="BH269" s="19">
        <f t="shared" si="211"/>
        <v>253961.52841696411</v>
      </c>
      <c r="BI269" s="214">
        <f t="shared" si="198"/>
        <v>1236.1705812213784</v>
      </c>
      <c r="BJ269" s="214">
        <f t="shared" si="199"/>
        <v>0</v>
      </c>
      <c r="BK269" s="19">
        <f t="shared" ref="BK269:BK332" si="215">W269</f>
        <v>0</v>
      </c>
    </row>
    <row r="270" spans="1:63">
      <c r="A270" s="165">
        <f t="shared" si="200"/>
        <v>78.306125941136202</v>
      </c>
      <c r="B270" s="69">
        <f t="shared" si="201"/>
        <v>17</v>
      </c>
      <c r="C270" s="70">
        <f t="shared" si="202"/>
        <v>196</v>
      </c>
      <c r="D270" s="13">
        <f t="shared" si="171"/>
        <v>4.8675505653430484E-3</v>
      </c>
      <c r="E270" s="15">
        <f t="shared" si="172"/>
        <v>1</v>
      </c>
      <c r="F270" s="15">
        <f t="shared" si="203"/>
        <v>0</v>
      </c>
      <c r="G270" s="15">
        <f t="shared" si="173"/>
        <v>0</v>
      </c>
      <c r="H270" s="73">
        <f t="shared" si="174"/>
        <v>0</v>
      </c>
      <c r="I270" s="189"/>
      <c r="J270" s="189"/>
      <c r="K270" s="5">
        <f t="shared" ref="K270:K333" si="216">SUM(K269:N269)+AD269+AC269*Z269</f>
        <v>150124.64081931679</v>
      </c>
      <c r="M270" s="5">
        <f t="shared" si="175"/>
        <v>730.73928029198748</v>
      </c>
      <c r="N270" s="5">
        <f t="shared" si="176"/>
        <v>-248.409956551535</v>
      </c>
      <c r="O270" s="5">
        <f t="shared" si="177"/>
        <v>0</v>
      </c>
      <c r="P270" s="5">
        <f t="shared" si="178"/>
        <v>0</v>
      </c>
      <c r="Q270" s="5">
        <f t="shared" si="212"/>
        <v>0</v>
      </c>
      <c r="R270" s="5">
        <f t="shared" si="204"/>
        <v>0</v>
      </c>
      <c r="S270" s="5">
        <f t="shared" si="179"/>
        <v>0</v>
      </c>
      <c r="T270" s="5">
        <f t="shared" si="180"/>
        <v>0</v>
      </c>
      <c r="U270" s="74">
        <f t="shared" si="181"/>
        <v>0</v>
      </c>
      <c r="V270" s="75">
        <f t="shared" si="182"/>
        <v>0</v>
      </c>
      <c r="W270" s="5">
        <f t="shared" si="183"/>
        <v>0</v>
      </c>
      <c r="X270" s="5">
        <f t="shared" si="184"/>
        <v>150606.97014305723</v>
      </c>
      <c r="Y270" s="5">
        <f t="shared" si="205"/>
        <v>100000</v>
      </c>
      <c r="Z270" s="215">
        <f t="shared" si="185"/>
        <v>1</v>
      </c>
      <c r="AA270" s="216">
        <f t="shared" si="206"/>
        <v>0</v>
      </c>
      <c r="AB270" s="72">
        <f t="shared" si="213"/>
        <v>29840.358821905051</v>
      </c>
      <c r="AC270" s="72">
        <f t="shared" si="186"/>
        <v>0</v>
      </c>
      <c r="AD270" s="72">
        <f t="shared" si="187"/>
        <v>0</v>
      </c>
      <c r="AE270" s="72">
        <f t="shared" si="207"/>
        <v>-31.362161526671304</v>
      </c>
      <c r="AF270" s="70">
        <f t="shared" si="188"/>
        <v>0</v>
      </c>
      <c r="AG270" s="70">
        <f t="shared" si="189"/>
        <v>729.62618478061268</v>
      </c>
      <c r="AH270" s="1">
        <f t="shared" si="170"/>
        <v>0</v>
      </c>
      <c r="AI270" s="1">
        <f t="shared" si="170"/>
        <v>0</v>
      </c>
      <c r="AJ270" s="1">
        <f t="shared" si="170"/>
        <v>0</v>
      </c>
      <c r="AK270" s="1">
        <f t="shared" si="170"/>
        <v>0</v>
      </c>
      <c r="AL270" s="1">
        <f t="shared" si="170"/>
        <v>0</v>
      </c>
      <c r="AM270" s="1">
        <f t="shared" si="170"/>
        <v>0</v>
      </c>
      <c r="AN270" s="1">
        <f t="shared" si="170"/>
        <v>0</v>
      </c>
      <c r="AO270" s="1">
        <f t="shared" si="170"/>
        <v>1</v>
      </c>
      <c r="AP270" s="1">
        <f t="shared" si="170"/>
        <v>1</v>
      </c>
      <c r="AQ270" s="1">
        <f t="shared" si="170"/>
        <v>1</v>
      </c>
      <c r="AR270" s="1">
        <f t="shared" si="170"/>
        <v>1</v>
      </c>
      <c r="AS270" s="1">
        <f t="shared" si="170"/>
        <v>1</v>
      </c>
      <c r="AT270" s="39">
        <f t="shared" si="190"/>
        <v>150606.97014305723</v>
      </c>
      <c r="AU270" s="39">
        <f t="shared" si="208"/>
        <v>150606.97014305723</v>
      </c>
      <c r="AV270" s="39">
        <f t="shared" si="165"/>
        <v>0</v>
      </c>
      <c r="AW270" s="3">
        <f t="shared" si="191"/>
        <v>196</v>
      </c>
      <c r="AX270" s="69">
        <f t="shared" si="209"/>
        <v>0</v>
      </c>
      <c r="AY270" s="75">
        <f t="shared" si="192"/>
        <v>0</v>
      </c>
      <c r="AZ270" s="75">
        <f t="shared" si="193"/>
        <v>0</v>
      </c>
      <c r="BA270" s="75">
        <f t="shared" si="194"/>
        <v>0</v>
      </c>
      <c r="BB270" s="75">
        <f t="shared" si="195"/>
        <v>0</v>
      </c>
      <c r="BD270" s="214">
        <f t="shared" si="210"/>
        <v>185055.43716600953</v>
      </c>
      <c r="BE270" s="214">
        <f t="shared" si="196"/>
        <v>900.76669779721465</v>
      </c>
      <c r="BF270" s="214">
        <f t="shared" si="197"/>
        <v>-306.20964589924108</v>
      </c>
      <c r="BG270" s="224">
        <f t="shared" si="214"/>
        <v>0</v>
      </c>
      <c r="BH270" s="19">
        <f t="shared" si="211"/>
        <v>255197.69899818549</v>
      </c>
      <c r="BI270" s="214">
        <f t="shared" si="198"/>
        <v>1242.1877040328629</v>
      </c>
      <c r="BJ270" s="214">
        <f t="shared" si="199"/>
        <v>0</v>
      </c>
      <c r="BK270" s="19">
        <f t="shared" si="215"/>
        <v>0</v>
      </c>
    </row>
    <row r="271" spans="1:63">
      <c r="A271" s="165">
        <f t="shared" si="200"/>
        <v>78.389459274469544</v>
      </c>
      <c r="B271" s="69">
        <f t="shared" si="201"/>
        <v>17</v>
      </c>
      <c r="C271" s="70">
        <f t="shared" si="202"/>
        <v>197</v>
      </c>
      <c r="D271" s="13">
        <f t="shared" si="171"/>
        <v>4.8675505653430484E-3</v>
      </c>
      <c r="E271" s="15">
        <f t="shared" si="172"/>
        <v>1</v>
      </c>
      <c r="F271" s="15">
        <f t="shared" si="203"/>
        <v>0</v>
      </c>
      <c r="G271" s="15">
        <f t="shared" si="173"/>
        <v>0</v>
      </c>
      <c r="H271" s="73">
        <f t="shared" si="174"/>
        <v>0</v>
      </c>
      <c r="I271" s="189"/>
      <c r="J271" s="189"/>
      <c r="K271" s="5">
        <f t="shared" si="216"/>
        <v>150606.97014305723</v>
      </c>
      <c r="M271" s="5">
        <f t="shared" si="175"/>
        <v>733.08704266444181</v>
      </c>
      <c r="N271" s="5">
        <f t="shared" si="176"/>
        <v>-249.20806274982459</v>
      </c>
      <c r="O271" s="5">
        <f t="shared" si="177"/>
        <v>0</v>
      </c>
      <c r="P271" s="5">
        <f t="shared" si="178"/>
        <v>0</v>
      </c>
      <c r="Q271" s="5">
        <f t="shared" si="212"/>
        <v>0</v>
      </c>
      <c r="R271" s="5">
        <f t="shared" si="204"/>
        <v>0</v>
      </c>
      <c r="S271" s="5">
        <f t="shared" si="179"/>
        <v>0</v>
      </c>
      <c r="T271" s="5">
        <f t="shared" si="180"/>
        <v>0</v>
      </c>
      <c r="U271" s="74">
        <f t="shared" si="181"/>
        <v>0</v>
      </c>
      <c r="V271" s="75">
        <f t="shared" si="182"/>
        <v>0</v>
      </c>
      <c r="W271" s="5">
        <f t="shared" si="183"/>
        <v>0</v>
      </c>
      <c r="X271" s="5">
        <f t="shared" si="184"/>
        <v>151090.84912297185</v>
      </c>
      <c r="Y271" s="5">
        <f t="shared" si="205"/>
        <v>100000</v>
      </c>
      <c r="Z271" s="215">
        <f t="shared" si="185"/>
        <v>1</v>
      </c>
      <c r="AA271" s="216">
        <f t="shared" si="206"/>
        <v>0</v>
      </c>
      <c r="AB271" s="72">
        <f t="shared" si="213"/>
        <v>29840.358821905051</v>
      </c>
      <c r="AC271" s="72">
        <f t="shared" si="186"/>
        <v>0</v>
      </c>
      <c r="AD271" s="72">
        <f t="shared" si="187"/>
        <v>0</v>
      </c>
      <c r="AE271" s="72">
        <f t="shared" si="207"/>
        <v>-31.462923733845567</v>
      </c>
      <c r="AF271" s="70">
        <f t="shared" si="188"/>
        <v>0</v>
      </c>
      <c r="AG271" s="70">
        <f t="shared" si="189"/>
        <v>913.50019714816881</v>
      </c>
      <c r="AH271" s="1">
        <f t="shared" si="170"/>
        <v>0</v>
      </c>
      <c r="AI271" s="1">
        <f t="shared" si="170"/>
        <v>0</v>
      </c>
      <c r="AJ271" s="1">
        <f t="shared" si="170"/>
        <v>0</v>
      </c>
      <c r="AK271" s="1">
        <f t="shared" si="170"/>
        <v>0</v>
      </c>
      <c r="AL271" s="1">
        <f t="shared" si="170"/>
        <v>0</v>
      </c>
      <c r="AM271" s="1">
        <f t="shared" si="170"/>
        <v>0</v>
      </c>
      <c r="AN271" s="1">
        <f t="shared" si="170"/>
        <v>0</v>
      </c>
      <c r="AO271" s="1">
        <f t="shared" si="170"/>
        <v>1</v>
      </c>
      <c r="AP271" s="1">
        <f t="shared" si="170"/>
        <v>1</v>
      </c>
      <c r="AQ271" s="1">
        <f t="shared" si="170"/>
        <v>1</v>
      </c>
      <c r="AR271" s="1">
        <f t="shared" si="170"/>
        <v>1</v>
      </c>
      <c r="AS271" s="1">
        <f t="shared" si="170"/>
        <v>1</v>
      </c>
      <c r="AT271" s="39">
        <f t="shared" si="190"/>
        <v>151090.84912297185</v>
      </c>
      <c r="AU271" s="39">
        <f t="shared" si="208"/>
        <v>151090.84912297185</v>
      </c>
      <c r="AV271" s="39">
        <f t="shared" si="165"/>
        <v>0</v>
      </c>
      <c r="AW271" s="3">
        <f t="shared" si="191"/>
        <v>197</v>
      </c>
      <c r="AX271" s="69">
        <f t="shared" si="209"/>
        <v>0</v>
      </c>
      <c r="AY271" s="75">
        <f t="shared" si="192"/>
        <v>0</v>
      </c>
      <c r="AZ271" s="75">
        <f t="shared" si="193"/>
        <v>0</v>
      </c>
      <c r="BA271" s="75">
        <f t="shared" si="194"/>
        <v>0</v>
      </c>
      <c r="BB271" s="75">
        <f t="shared" si="195"/>
        <v>0</v>
      </c>
      <c r="BD271" s="214">
        <f t="shared" si="210"/>
        <v>185649.99421790752</v>
      </c>
      <c r="BE271" s="214">
        <f t="shared" si="196"/>
        <v>903.6607343113094</v>
      </c>
      <c r="BF271" s="214">
        <f t="shared" si="197"/>
        <v>-307.19345435748841</v>
      </c>
      <c r="BG271" s="224">
        <f t="shared" si="214"/>
        <v>0</v>
      </c>
      <c r="BH271" s="19">
        <f t="shared" si="211"/>
        <v>256439.88670221835</v>
      </c>
      <c r="BI271" s="214">
        <f t="shared" si="198"/>
        <v>1248.2341154938902</v>
      </c>
      <c r="BJ271" s="214">
        <f t="shared" si="199"/>
        <v>0</v>
      </c>
      <c r="BK271" s="19">
        <f t="shared" si="215"/>
        <v>0</v>
      </c>
    </row>
    <row r="272" spans="1:63">
      <c r="A272" s="165">
        <f t="shared" si="200"/>
        <v>78.472792607802873</v>
      </c>
      <c r="B272" s="69">
        <f t="shared" si="201"/>
        <v>17</v>
      </c>
      <c r="C272" s="70">
        <f t="shared" si="202"/>
        <v>198</v>
      </c>
      <c r="D272" s="13">
        <f t="shared" si="171"/>
        <v>4.8675505653430484E-3</v>
      </c>
      <c r="E272" s="15">
        <f t="shared" si="172"/>
        <v>1</v>
      </c>
      <c r="F272" s="15">
        <f t="shared" si="203"/>
        <v>0</v>
      </c>
      <c r="G272" s="15">
        <f t="shared" si="173"/>
        <v>0</v>
      </c>
      <c r="H272" s="73">
        <f t="shared" si="174"/>
        <v>0</v>
      </c>
      <c r="I272" s="189"/>
      <c r="J272" s="189"/>
      <c r="K272" s="5">
        <f t="shared" si="216"/>
        <v>151090.84912297185</v>
      </c>
      <c r="M272" s="5">
        <f t="shared" si="175"/>
        <v>735.44234806668283</v>
      </c>
      <c r="N272" s="5">
        <f t="shared" si="176"/>
        <v>-250.00873315090453</v>
      </c>
      <c r="O272" s="5">
        <f t="shared" si="177"/>
        <v>0</v>
      </c>
      <c r="P272" s="5">
        <f t="shared" si="178"/>
        <v>0</v>
      </c>
      <c r="Q272" s="5">
        <f t="shared" si="212"/>
        <v>0</v>
      </c>
      <c r="R272" s="5">
        <f t="shared" si="204"/>
        <v>0</v>
      </c>
      <c r="S272" s="5">
        <f t="shared" si="179"/>
        <v>0</v>
      </c>
      <c r="T272" s="5">
        <f t="shared" si="180"/>
        <v>0</v>
      </c>
      <c r="U272" s="74">
        <f t="shared" si="181"/>
        <v>0</v>
      </c>
      <c r="V272" s="75">
        <f t="shared" si="182"/>
        <v>0</v>
      </c>
      <c r="W272" s="5">
        <f t="shared" si="183"/>
        <v>0</v>
      </c>
      <c r="X272" s="5">
        <f t="shared" si="184"/>
        <v>151576.28273788764</v>
      </c>
      <c r="Y272" s="5">
        <f t="shared" si="205"/>
        <v>100000</v>
      </c>
      <c r="Z272" s="215">
        <f t="shared" si="185"/>
        <v>1</v>
      </c>
      <c r="AA272" s="216">
        <f t="shared" si="206"/>
        <v>0</v>
      </c>
      <c r="AB272" s="72">
        <f t="shared" si="213"/>
        <v>29840.358821905051</v>
      </c>
      <c r="AC272" s="72">
        <f t="shared" si="186"/>
        <v>0</v>
      </c>
      <c r="AD272" s="72">
        <f t="shared" si="187"/>
        <v>0</v>
      </c>
      <c r="AE272" s="72">
        <f t="shared" si="207"/>
        <v>-31.564009675797674</v>
      </c>
      <c r="AF272" s="70">
        <f t="shared" si="188"/>
        <v>0</v>
      </c>
      <c r="AG272" s="70">
        <f t="shared" si="189"/>
        <v>1097.9649708161705</v>
      </c>
      <c r="AH272" s="1">
        <f t="shared" si="170"/>
        <v>0</v>
      </c>
      <c r="AI272" s="1">
        <f t="shared" si="170"/>
        <v>0</v>
      </c>
      <c r="AJ272" s="1">
        <f t="shared" si="170"/>
        <v>0</v>
      </c>
      <c r="AK272" s="1">
        <f t="shared" si="170"/>
        <v>0</v>
      </c>
      <c r="AL272" s="1">
        <f t="shared" si="170"/>
        <v>0</v>
      </c>
      <c r="AM272" s="1">
        <f t="shared" si="170"/>
        <v>0</v>
      </c>
      <c r="AN272" s="1">
        <f t="shared" si="170"/>
        <v>0</v>
      </c>
      <c r="AO272" s="1">
        <f t="shared" si="170"/>
        <v>1</v>
      </c>
      <c r="AP272" s="1">
        <f t="shared" si="170"/>
        <v>1</v>
      </c>
      <c r="AQ272" s="1">
        <f t="shared" si="170"/>
        <v>1</v>
      </c>
      <c r="AR272" s="1">
        <f t="shared" si="170"/>
        <v>1</v>
      </c>
      <c r="AS272" s="1">
        <f t="shared" si="170"/>
        <v>1</v>
      </c>
      <c r="AT272" s="39">
        <f t="shared" si="190"/>
        <v>151576.28273788764</v>
      </c>
      <c r="AU272" s="39">
        <f t="shared" si="208"/>
        <v>151576.28273788764</v>
      </c>
      <c r="AV272" s="39">
        <f t="shared" si="165"/>
        <v>0</v>
      </c>
      <c r="AW272" s="3">
        <f t="shared" si="191"/>
        <v>198</v>
      </c>
      <c r="AX272" s="69">
        <f t="shared" si="209"/>
        <v>0</v>
      </c>
      <c r="AY272" s="75">
        <f t="shared" si="192"/>
        <v>0</v>
      </c>
      <c r="AZ272" s="75">
        <f t="shared" si="193"/>
        <v>0</v>
      </c>
      <c r="BA272" s="75">
        <f t="shared" si="194"/>
        <v>0</v>
      </c>
      <c r="BB272" s="75">
        <f t="shared" si="195"/>
        <v>0</v>
      </c>
      <c r="BD272" s="214">
        <f t="shared" si="210"/>
        <v>186246.46149786134</v>
      </c>
      <c r="BE272" s="214">
        <f t="shared" si="196"/>
        <v>906.56406895705732</v>
      </c>
      <c r="BF272" s="214">
        <f t="shared" si="197"/>
        <v>-308.1804236537285</v>
      </c>
      <c r="BG272" s="224">
        <f t="shared" si="214"/>
        <v>0</v>
      </c>
      <c r="BH272" s="19">
        <f t="shared" si="211"/>
        <v>257688.12081771225</v>
      </c>
      <c r="BI272" s="214">
        <f t="shared" si="198"/>
        <v>1254.309958168443</v>
      </c>
      <c r="BJ272" s="214">
        <f t="shared" si="199"/>
        <v>0</v>
      </c>
      <c r="BK272" s="19">
        <f t="shared" si="215"/>
        <v>0</v>
      </c>
    </row>
    <row r="273" spans="1:63">
      <c r="A273" s="165">
        <f t="shared" si="200"/>
        <v>78.556125941136202</v>
      </c>
      <c r="B273" s="69">
        <f t="shared" si="201"/>
        <v>17</v>
      </c>
      <c r="C273" s="70">
        <f t="shared" si="202"/>
        <v>199</v>
      </c>
      <c r="D273" s="13">
        <f t="shared" si="171"/>
        <v>4.8675505653430484E-3</v>
      </c>
      <c r="E273" s="15">
        <f t="shared" si="172"/>
        <v>1</v>
      </c>
      <c r="F273" s="15">
        <f t="shared" si="203"/>
        <v>0</v>
      </c>
      <c r="G273" s="15">
        <f t="shared" si="173"/>
        <v>0</v>
      </c>
      <c r="H273" s="73">
        <f t="shared" si="174"/>
        <v>0</v>
      </c>
      <c r="I273" s="189"/>
      <c r="J273" s="189"/>
      <c r="K273" s="5">
        <f t="shared" si="216"/>
        <v>151576.28273788764</v>
      </c>
      <c r="M273" s="5">
        <f t="shared" si="175"/>
        <v>737.80522073340273</v>
      </c>
      <c r="N273" s="5">
        <f t="shared" si="176"/>
        <v>-250.81197599319731</v>
      </c>
      <c r="O273" s="5">
        <f t="shared" si="177"/>
        <v>0</v>
      </c>
      <c r="P273" s="5">
        <f t="shared" si="178"/>
        <v>0</v>
      </c>
      <c r="Q273" s="5">
        <f t="shared" si="212"/>
        <v>0</v>
      </c>
      <c r="R273" s="5">
        <f t="shared" si="204"/>
        <v>0</v>
      </c>
      <c r="S273" s="5">
        <f t="shared" si="179"/>
        <v>0</v>
      </c>
      <c r="T273" s="5">
        <f t="shared" si="180"/>
        <v>0</v>
      </c>
      <c r="U273" s="74">
        <f t="shared" si="181"/>
        <v>0</v>
      </c>
      <c r="V273" s="75">
        <f t="shared" si="182"/>
        <v>0</v>
      </c>
      <c r="W273" s="5">
        <f t="shared" si="183"/>
        <v>0</v>
      </c>
      <c r="X273" s="5">
        <f t="shared" si="184"/>
        <v>152063.27598262785</v>
      </c>
      <c r="Y273" s="5">
        <f t="shared" si="205"/>
        <v>100000</v>
      </c>
      <c r="Z273" s="215">
        <f t="shared" si="185"/>
        <v>1</v>
      </c>
      <c r="AA273" s="216">
        <f t="shared" si="206"/>
        <v>0</v>
      </c>
      <c r="AB273" s="72">
        <f t="shared" si="213"/>
        <v>29840.358821905051</v>
      </c>
      <c r="AC273" s="72">
        <f t="shared" si="186"/>
        <v>0</v>
      </c>
      <c r="AD273" s="72">
        <f t="shared" si="187"/>
        <v>0</v>
      </c>
      <c r="AE273" s="72">
        <f t="shared" si="207"/>
        <v>-31.665420392641874</v>
      </c>
      <c r="AF273" s="70">
        <f t="shared" si="188"/>
        <v>0</v>
      </c>
      <c r="AG273" s="70">
        <f t="shared" si="189"/>
        <v>1283.0224038174492</v>
      </c>
      <c r="AH273" s="1">
        <f t="shared" si="170"/>
        <v>0</v>
      </c>
      <c r="AI273" s="1">
        <f t="shared" si="170"/>
        <v>0</v>
      </c>
      <c r="AJ273" s="1">
        <f t="shared" si="170"/>
        <v>0</v>
      </c>
      <c r="AK273" s="1">
        <f t="shared" si="170"/>
        <v>0</v>
      </c>
      <c r="AL273" s="1">
        <f t="shared" si="170"/>
        <v>0</v>
      </c>
      <c r="AM273" s="1">
        <f t="shared" si="170"/>
        <v>0</v>
      </c>
      <c r="AN273" s="1">
        <f t="shared" si="170"/>
        <v>0</v>
      </c>
      <c r="AO273" s="1">
        <f t="shared" si="170"/>
        <v>1</v>
      </c>
      <c r="AP273" s="1">
        <f t="shared" si="170"/>
        <v>1</v>
      </c>
      <c r="AQ273" s="1">
        <f t="shared" si="170"/>
        <v>1</v>
      </c>
      <c r="AR273" s="1">
        <f t="shared" si="170"/>
        <v>1</v>
      </c>
      <c r="AS273" s="1">
        <f t="shared" si="170"/>
        <v>1</v>
      </c>
      <c r="AT273" s="39">
        <f t="shared" si="190"/>
        <v>152063.27598262785</v>
      </c>
      <c r="AU273" s="39">
        <f t="shared" si="208"/>
        <v>152063.27598262785</v>
      </c>
      <c r="AV273" s="39">
        <f t="shared" si="165"/>
        <v>0</v>
      </c>
      <c r="AW273" s="3">
        <f t="shared" si="191"/>
        <v>199</v>
      </c>
      <c r="AX273" s="69">
        <f t="shared" si="209"/>
        <v>0</v>
      </c>
      <c r="AY273" s="75">
        <f t="shared" si="192"/>
        <v>0</v>
      </c>
      <c r="AZ273" s="75">
        <f t="shared" si="193"/>
        <v>0</v>
      </c>
      <c r="BA273" s="75">
        <f t="shared" si="194"/>
        <v>0</v>
      </c>
      <c r="BB273" s="75">
        <f t="shared" si="195"/>
        <v>0</v>
      </c>
      <c r="BD273" s="214">
        <f t="shared" si="210"/>
        <v>186844.84514316465</v>
      </c>
      <c r="BE273" s="214">
        <f t="shared" si="196"/>
        <v>909.4767316080455</v>
      </c>
      <c r="BF273" s="214">
        <f t="shared" si="197"/>
        <v>-309.17056394328858</v>
      </c>
      <c r="BG273" s="224">
        <f t="shared" si="214"/>
        <v>0</v>
      </c>
      <c r="BH273" s="19">
        <f t="shared" si="211"/>
        <v>258942.4307758807</v>
      </c>
      <c r="BI273" s="214">
        <f t="shared" si="198"/>
        <v>1260.4153753144412</v>
      </c>
      <c r="BJ273" s="214">
        <f t="shared" si="199"/>
        <v>0</v>
      </c>
      <c r="BK273" s="19">
        <f t="shared" si="215"/>
        <v>0</v>
      </c>
    </row>
    <row r="274" spans="1:63">
      <c r="A274" s="165">
        <f t="shared" si="200"/>
        <v>78.639459274469544</v>
      </c>
      <c r="B274" s="69">
        <f t="shared" si="201"/>
        <v>17</v>
      </c>
      <c r="C274" s="70">
        <f t="shared" si="202"/>
        <v>200</v>
      </c>
      <c r="D274" s="13">
        <f t="shared" si="171"/>
        <v>4.8675505653430484E-3</v>
      </c>
      <c r="E274" s="15">
        <f t="shared" si="172"/>
        <v>1</v>
      </c>
      <c r="F274" s="15">
        <f t="shared" si="203"/>
        <v>0</v>
      </c>
      <c r="G274" s="15">
        <f t="shared" si="173"/>
        <v>0</v>
      </c>
      <c r="H274" s="73">
        <f t="shared" si="174"/>
        <v>0</v>
      </c>
      <c r="I274" s="189"/>
      <c r="J274" s="189"/>
      <c r="K274" s="5">
        <f t="shared" si="216"/>
        <v>152063.27598262785</v>
      </c>
      <c r="M274" s="5">
        <f t="shared" si="175"/>
        <v>740.17568497715615</v>
      </c>
      <c r="N274" s="5">
        <f t="shared" si="176"/>
        <v>-251.61779954159402</v>
      </c>
      <c r="O274" s="5">
        <f t="shared" si="177"/>
        <v>0</v>
      </c>
      <c r="P274" s="5">
        <f t="shared" si="178"/>
        <v>0</v>
      </c>
      <c r="Q274" s="5">
        <f t="shared" si="212"/>
        <v>0</v>
      </c>
      <c r="R274" s="5">
        <f t="shared" si="204"/>
        <v>0</v>
      </c>
      <c r="S274" s="5">
        <f t="shared" si="179"/>
        <v>0</v>
      </c>
      <c r="T274" s="5">
        <f t="shared" si="180"/>
        <v>0</v>
      </c>
      <c r="U274" s="74">
        <f t="shared" si="181"/>
        <v>0</v>
      </c>
      <c r="V274" s="75">
        <f t="shared" si="182"/>
        <v>0</v>
      </c>
      <c r="W274" s="5">
        <f t="shared" si="183"/>
        <v>0</v>
      </c>
      <c r="X274" s="5">
        <f t="shared" si="184"/>
        <v>152551.8338680634</v>
      </c>
      <c r="Y274" s="5">
        <f t="shared" si="205"/>
        <v>100000</v>
      </c>
      <c r="Z274" s="215">
        <f t="shared" si="185"/>
        <v>1</v>
      </c>
      <c r="AA274" s="216">
        <f t="shared" si="206"/>
        <v>0</v>
      </c>
      <c r="AB274" s="72">
        <f t="shared" si="213"/>
        <v>29840.358821905051</v>
      </c>
      <c r="AC274" s="72">
        <f t="shared" si="186"/>
        <v>0</v>
      </c>
      <c r="AD274" s="72">
        <f t="shared" si="187"/>
        <v>0</v>
      </c>
      <c r="AE274" s="72">
        <f t="shared" si="207"/>
        <v>-31.767156927834133</v>
      </c>
      <c r="AF274" s="70">
        <f t="shared" si="188"/>
        <v>0</v>
      </c>
      <c r="AG274" s="70">
        <f t="shared" si="189"/>
        <v>1468.6744002829582</v>
      </c>
      <c r="AH274" s="1">
        <f t="shared" si="170"/>
        <v>0</v>
      </c>
      <c r="AI274" s="1">
        <f t="shared" si="170"/>
        <v>0</v>
      </c>
      <c r="AJ274" s="1">
        <f t="shared" si="170"/>
        <v>0</v>
      </c>
      <c r="AK274" s="1">
        <f t="shared" si="170"/>
        <v>0</v>
      </c>
      <c r="AL274" s="1">
        <f t="shared" si="170"/>
        <v>0</v>
      </c>
      <c r="AM274" s="1">
        <f t="shared" si="170"/>
        <v>0</v>
      </c>
      <c r="AN274" s="1">
        <f t="shared" si="170"/>
        <v>0</v>
      </c>
      <c r="AO274" s="1">
        <f t="shared" si="170"/>
        <v>1</v>
      </c>
      <c r="AP274" s="1">
        <f t="shared" si="170"/>
        <v>1</v>
      </c>
      <c r="AQ274" s="1">
        <f t="shared" si="170"/>
        <v>1</v>
      </c>
      <c r="AR274" s="1">
        <f t="shared" si="170"/>
        <v>1</v>
      </c>
      <c r="AS274" s="1">
        <f t="shared" si="170"/>
        <v>1</v>
      </c>
      <c r="AT274" s="39">
        <f t="shared" si="190"/>
        <v>152551.8338680634</v>
      </c>
      <c r="AU274" s="39">
        <f t="shared" si="208"/>
        <v>152551.8338680634</v>
      </c>
      <c r="AV274" s="39">
        <f t="shared" si="165"/>
        <v>0</v>
      </c>
      <c r="AW274" s="3">
        <f t="shared" si="191"/>
        <v>200</v>
      </c>
      <c r="AX274" s="69">
        <f t="shared" si="209"/>
        <v>0</v>
      </c>
      <c r="AY274" s="75">
        <f t="shared" si="192"/>
        <v>0</v>
      </c>
      <c r="AZ274" s="75">
        <f t="shared" si="193"/>
        <v>0</v>
      </c>
      <c r="BA274" s="75">
        <f t="shared" si="194"/>
        <v>0</v>
      </c>
      <c r="BB274" s="75">
        <f t="shared" si="195"/>
        <v>0</v>
      </c>
      <c r="BD274" s="214">
        <f t="shared" si="210"/>
        <v>187445.15131082942</v>
      </c>
      <c r="BE274" s="214">
        <f t="shared" si="196"/>
        <v>912.39875223384092</v>
      </c>
      <c r="BF274" s="214">
        <f t="shared" si="197"/>
        <v>-310.16388541412363</v>
      </c>
      <c r="BG274" s="224">
        <f t="shared" si="214"/>
        <v>0</v>
      </c>
      <c r="BH274" s="19">
        <f t="shared" si="211"/>
        <v>260202.84615119515</v>
      </c>
      <c r="BI274" s="214">
        <f t="shared" si="198"/>
        <v>1266.5505108871203</v>
      </c>
      <c r="BJ274" s="214">
        <f t="shared" si="199"/>
        <v>0</v>
      </c>
      <c r="BK274" s="19">
        <f t="shared" si="215"/>
        <v>0</v>
      </c>
    </row>
    <row r="275" spans="1:63">
      <c r="A275" s="165">
        <f t="shared" si="200"/>
        <v>78.722792607802873</v>
      </c>
      <c r="B275" s="69">
        <f t="shared" si="201"/>
        <v>17</v>
      </c>
      <c r="C275" s="70">
        <f t="shared" si="202"/>
        <v>201</v>
      </c>
      <c r="D275" s="13">
        <f t="shared" si="171"/>
        <v>4.8675505653430484E-3</v>
      </c>
      <c r="E275" s="15">
        <f t="shared" si="172"/>
        <v>1</v>
      </c>
      <c r="F275" s="15">
        <f t="shared" si="203"/>
        <v>0</v>
      </c>
      <c r="G275" s="15">
        <f t="shared" si="173"/>
        <v>0</v>
      </c>
      <c r="H275" s="73">
        <f t="shared" si="174"/>
        <v>0</v>
      </c>
      <c r="I275" s="189"/>
      <c r="J275" s="189"/>
      <c r="K275" s="5">
        <f t="shared" si="216"/>
        <v>152551.8338680634</v>
      </c>
      <c r="M275" s="5">
        <f t="shared" si="175"/>
        <v>742.55376518861078</v>
      </c>
      <c r="N275" s="5">
        <f t="shared" si="176"/>
        <v>-252.42621208753994</v>
      </c>
      <c r="O275" s="5">
        <f t="shared" si="177"/>
        <v>0</v>
      </c>
      <c r="P275" s="5">
        <f t="shared" si="178"/>
        <v>0</v>
      </c>
      <c r="Q275" s="5">
        <f t="shared" si="212"/>
        <v>0</v>
      </c>
      <c r="R275" s="5">
        <f t="shared" si="204"/>
        <v>0</v>
      </c>
      <c r="S275" s="5">
        <f t="shared" si="179"/>
        <v>0</v>
      </c>
      <c r="T275" s="5">
        <f t="shared" si="180"/>
        <v>0</v>
      </c>
      <c r="U275" s="74">
        <f t="shared" si="181"/>
        <v>0</v>
      </c>
      <c r="V275" s="75">
        <f t="shared" si="182"/>
        <v>0</v>
      </c>
      <c r="W275" s="5">
        <f t="shared" si="183"/>
        <v>0</v>
      </c>
      <c r="X275" s="5">
        <f t="shared" si="184"/>
        <v>153041.96142116448</v>
      </c>
      <c r="Y275" s="5">
        <f t="shared" si="205"/>
        <v>100000</v>
      </c>
      <c r="Z275" s="215">
        <f t="shared" si="185"/>
        <v>1</v>
      </c>
      <c r="AA275" s="216">
        <f t="shared" si="206"/>
        <v>0</v>
      </c>
      <c r="AB275" s="72">
        <f t="shared" si="213"/>
        <v>29840.358821905051</v>
      </c>
      <c r="AC275" s="72">
        <f t="shared" si="186"/>
        <v>0</v>
      </c>
      <c r="AD275" s="72">
        <f t="shared" si="187"/>
        <v>0</v>
      </c>
      <c r="AE275" s="72">
        <f t="shared" si="207"/>
        <v>-31.869220328182916</v>
      </c>
      <c r="AF275" s="70">
        <f t="shared" si="188"/>
        <v>0</v>
      </c>
      <c r="AG275" s="70">
        <f t="shared" si="189"/>
        <v>1654.922870461367</v>
      </c>
      <c r="AH275" s="1">
        <f t="shared" ref="AH275:AS284" si="217">IF($B275&lt;=AH$74,1,0)</f>
        <v>0</v>
      </c>
      <c r="AI275" s="1">
        <f t="shared" si="217"/>
        <v>0</v>
      </c>
      <c r="AJ275" s="1">
        <f t="shared" si="217"/>
        <v>0</v>
      </c>
      <c r="AK275" s="1">
        <f t="shared" si="217"/>
        <v>0</v>
      </c>
      <c r="AL275" s="1">
        <f t="shared" si="217"/>
        <v>0</v>
      </c>
      <c r="AM275" s="1">
        <f t="shared" si="217"/>
        <v>0</v>
      </c>
      <c r="AN275" s="1">
        <f t="shared" si="217"/>
        <v>0</v>
      </c>
      <c r="AO275" s="1">
        <f t="shared" si="217"/>
        <v>1</v>
      </c>
      <c r="AP275" s="1">
        <f t="shared" si="217"/>
        <v>1</v>
      </c>
      <c r="AQ275" s="1">
        <f t="shared" si="217"/>
        <v>1</v>
      </c>
      <c r="AR275" s="1">
        <f t="shared" si="217"/>
        <v>1</v>
      </c>
      <c r="AS275" s="1">
        <f t="shared" si="217"/>
        <v>1</v>
      </c>
      <c r="AT275" s="39">
        <f t="shared" si="190"/>
        <v>153041.96142116448</v>
      </c>
      <c r="AU275" s="39">
        <f t="shared" si="208"/>
        <v>153041.96142116448</v>
      </c>
      <c r="AV275" s="39">
        <f t="shared" si="165"/>
        <v>0</v>
      </c>
      <c r="AW275" s="3">
        <f t="shared" si="191"/>
        <v>201</v>
      </c>
      <c r="AX275" s="69">
        <f t="shared" si="209"/>
        <v>0</v>
      </c>
      <c r="AY275" s="75">
        <f t="shared" si="192"/>
        <v>0</v>
      </c>
      <c r="AZ275" s="75">
        <f t="shared" si="193"/>
        <v>0</v>
      </c>
      <c r="BA275" s="75">
        <f t="shared" si="194"/>
        <v>0</v>
      </c>
      <c r="BB275" s="75">
        <f t="shared" si="195"/>
        <v>0</v>
      </c>
      <c r="BD275" s="214">
        <f t="shared" si="210"/>
        <v>188047.38617764911</v>
      </c>
      <c r="BE275" s="214">
        <f t="shared" si="196"/>
        <v>915.33016090029844</v>
      </c>
      <c r="BF275" s="214">
        <f t="shared" si="197"/>
        <v>-311.16039828692078</v>
      </c>
      <c r="BG275" s="224">
        <f t="shared" si="214"/>
        <v>0</v>
      </c>
      <c r="BH275" s="19">
        <f t="shared" si="211"/>
        <v>261469.39666208226</v>
      </c>
      <c r="BI275" s="214">
        <f t="shared" si="198"/>
        <v>1272.7155095424243</v>
      </c>
      <c r="BJ275" s="214">
        <f t="shared" si="199"/>
        <v>0</v>
      </c>
      <c r="BK275" s="19">
        <f t="shared" si="215"/>
        <v>0</v>
      </c>
    </row>
    <row r="276" spans="1:63">
      <c r="A276" s="165">
        <f t="shared" si="200"/>
        <v>78.806125941136202</v>
      </c>
      <c r="B276" s="69">
        <f t="shared" si="201"/>
        <v>17</v>
      </c>
      <c r="C276" s="70">
        <f t="shared" si="202"/>
        <v>202</v>
      </c>
      <c r="D276" s="13">
        <f t="shared" si="171"/>
        <v>4.8675505653430484E-3</v>
      </c>
      <c r="E276" s="15">
        <f t="shared" si="172"/>
        <v>1</v>
      </c>
      <c r="F276" s="15">
        <f t="shared" si="203"/>
        <v>0</v>
      </c>
      <c r="G276" s="15">
        <f t="shared" si="173"/>
        <v>0</v>
      </c>
      <c r="H276" s="73">
        <f t="shared" si="174"/>
        <v>0</v>
      </c>
      <c r="I276" s="189"/>
      <c r="J276" s="189"/>
      <c r="K276" s="5">
        <f t="shared" si="216"/>
        <v>153041.96142116448</v>
      </c>
      <c r="M276" s="5">
        <f t="shared" si="175"/>
        <v>744.93948583679821</v>
      </c>
      <c r="N276" s="5">
        <f t="shared" si="176"/>
        <v>-253.23722194911943</v>
      </c>
      <c r="O276" s="5">
        <f t="shared" si="177"/>
        <v>0</v>
      </c>
      <c r="P276" s="5">
        <f t="shared" si="178"/>
        <v>0</v>
      </c>
      <c r="Q276" s="5">
        <f t="shared" si="212"/>
        <v>0</v>
      </c>
      <c r="R276" s="5">
        <f t="shared" si="204"/>
        <v>0</v>
      </c>
      <c r="S276" s="5">
        <f t="shared" si="179"/>
        <v>0</v>
      </c>
      <c r="T276" s="5">
        <f t="shared" si="180"/>
        <v>0</v>
      </c>
      <c r="U276" s="74">
        <f t="shared" si="181"/>
        <v>0</v>
      </c>
      <c r="V276" s="75">
        <f t="shared" si="182"/>
        <v>0</v>
      </c>
      <c r="W276" s="5">
        <f t="shared" si="183"/>
        <v>0</v>
      </c>
      <c r="X276" s="5">
        <f t="shared" si="184"/>
        <v>153533.66368505216</v>
      </c>
      <c r="Y276" s="5">
        <f t="shared" si="205"/>
        <v>100000</v>
      </c>
      <c r="Z276" s="215">
        <f t="shared" si="185"/>
        <v>1</v>
      </c>
      <c r="AA276" s="216">
        <f t="shared" si="206"/>
        <v>0</v>
      </c>
      <c r="AB276" s="72">
        <f t="shared" si="213"/>
        <v>29840.358821905051</v>
      </c>
      <c r="AC276" s="72">
        <f t="shared" si="186"/>
        <v>0</v>
      </c>
      <c r="AD276" s="72">
        <f t="shared" si="187"/>
        <v>0</v>
      </c>
      <c r="AE276" s="72">
        <f t="shared" si="207"/>
        <v>-31.971611643859926</v>
      </c>
      <c r="AF276" s="70">
        <f t="shared" si="188"/>
        <v>0</v>
      </c>
      <c r="AG276" s="70">
        <f t="shared" si="189"/>
        <v>1841.7697307386879</v>
      </c>
      <c r="AH276" s="1">
        <f t="shared" si="217"/>
        <v>0</v>
      </c>
      <c r="AI276" s="1">
        <f t="shared" si="217"/>
        <v>0</v>
      </c>
      <c r="AJ276" s="1">
        <f t="shared" si="217"/>
        <v>0</v>
      </c>
      <c r="AK276" s="1">
        <f t="shared" si="217"/>
        <v>0</v>
      </c>
      <c r="AL276" s="1">
        <f t="shared" si="217"/>
        <v>0</v>
      </c>
      <c r="AM276" s="1">
        <f t="shared" si="217"/>
        <v>0</v>
      </c>
      <c r="AN276" s="1">
        <f t="shared" si="217"/>
        <v>0</v>
      </c>
      <c r="AO276" s="1">
        <f t="shared" si="217"/>
        <v>1</v>
      </c>
      <c r="AP276" s="1">
        <f t="shared" si="217"/>
        <v>1</v>
      </c>
      <c r="AQ276" s="1">
        <f t="shared" si="217"/>
        <v>1</v>
      </c>
      <c r="AR276" s="1">
        <f t="shared" si="217"/>
        <v>1</v>
      </c>
      <c r="AS276" s="1">
        <f t="shared" si="217"/>
        <v>1</v>
      </c>
      <c r="AT276" s="39">
        <f t="shared" si="190"/>
        <v>153533.66368505216</v>
      </c>
      <c r="AU276" s="39">
        <f t="shared" si="208"/>
        <v>153533.66368505216</v>
      </c>
      <c r="AV276" s="39">
        <f t="shared" si="165"/>
        <v>0</v>
      </c>
      <c r="AW276" s="3">
        <f t="shared" si="191"/>
        <v>202</v>
      </c>
      <c r="AX276" s="69">
        <f t="shared" si="209"/>
        <v>0</v>
      </c>
      <c r="AY276" s="75">
        <f t="shared" si="192"/>
        <v>0</v>
      </c>
      <c r="AZ276" s="75">
        <f t="shared" si="193"/>
        <v>0</v>
      </c>
      <c r="BA276" s="75">
        <f t="shared" si="194"/>
        <v>0</v>
      </c>
      <c r="BB276" s="75">
        <f t="shared" si="195"/>
        <v>0</v>
      </c>
      <c r="BD276" s="214">
        <f t="shared" si="210"/>
        <v>188651.55594026251</v>
      </c>
      <c r="BE276" s="214">
        <f t="shared" si="196"/>
        <v>918.27098776987054</v>
      </c>
      <c r="BF276" s="214">
        <f t="shared" si="197"/>
        <v>-312.16011281520514</v>
      </c>
      <c r="BG276" s="224">
        <f t="shared" si="214"/>
        <v>0</v>
      </c>
      <c r="BH276" s="19">
        <f t="shared" si="211"/>
        <v>262742.11217162467</v>
      </c>
      <c r="BI276" s="214">
        <f t="shared" si="198"/>
        <v>1278.9105166404183</v>
      </c>
      <c r="BJ276" s="214">
        <f t="shared" si="199"/>
        <v>0</v>
      </c>
      <c r="BK276" s="19">
        <f t="shared" si="215"/>
        <v>0</v>
      </c>
    </row>
    <row r="277" spans="1:63">
      <c r="A277" s="165">
        <f t="shared" si="200"/>
        <v>78.889459274469544</v>
      </c>
      <c r="B277" s="69">
        <f t="shared" si="201"/>
        <v>17</v>
      </c>
      <c r="C277" s="70">
        <f t="shared" si="202"/>
        <v>203</v>
      </c>
      <c r="D277" s="13">
        <f t="shared" si="171"/>
        <v>4.8675505653430484E-3</v>
      </c>
      <c r="E277" s="15">
        <f t="shared" si="172"/>
        <v>1</v>
      </c>
      <c r="F277" s="15">
        <f t="shared" si="203"/>
        <v>0</v>
      </c>
      <c r="G277" s="15">
        <f t="shared" si="173"/>
        <v>0</v>
      </c>
      <c r="H277" s="73">
        <f t="shared" si="174"/>
        <v>0</v>
      </c>
      <c r="I277" s="189"/>
      <c r="J277" s="189"/>
      <c r="K277" s="5">
        <f t="shared" si="216"/>
        <v>153533.66368505216</v>
      </c>
      <c r="M277" s="5">
        <f t="shared" si="175"/>
        <v>747.33287146936516</v>
      </c>
      <c r="N277" s="5">
        <f t="shared" si="176"/>
        <v>-254.05083747114185</v>
      </c>
      <c r="O277" s="5">
        <f t="shared" si="177"/>
        <v>0</v>
      </c>
      <c r="P277" s="5">
        <f t="shared" si="178"/>
        <v>0</v>
      </c>
      <c r="Q277" s="5">
        <f t="shared" si="212"/>
        <v>0</v>
      </c>
      <c r="R277" s="5">
        <f t="shared" si="204"/>
        <v>0</v>
      </c>
      <c r="S277" s="5">
        <f t="shared" si="179"/>
        <v>0</v>
      </c>
      <c r="T277" s="5">
        <f t="shared" si="180"/>
        <v>0</v>
      </c>
      <c r="U277" s="74">
        <f t="shared" si="181"/>
        <v>0</v>
      </c>
      <c r="V277" s="75">
        <f t="shared" si="182"/>
        <v>0</v>
      </c>
      <c r="W277" s="5">
        <f t="shared" si="183"/>
        <v>0</v>
      </c>
      <c r="X277" s="5">
        <f t="shared" si="184"/>
        <v>154026.94571905039</v>
      </c>
      <c r="Y277" s="5">
        <f t="shared" si="205"/>
        <v>100000</v>
      </c>
      <c r="Z277" s="215">
        <f t="shared" si="185"/>
        <v>1</v>
      </c>
      <c r="AA277" s="216">
        <f t="shared" si="206"/>
        <v>0</v>
      </c>
      <c r="AB277" s="72">
        <f t="shared" si="213"/>
        <v>29840.358821905051</v>
      </c>
      <c r="AC277" s="72">
        <f t="shared" si="186"/>
        <v>0</v>
      </c>
      <c r="AD277" s="72">
        <f t="shared" si="187"/>
        <v>0</v>
      </c>
      <c r="AE277" s="72">
        <f t="shared" si="207"/>
        <v>-32.074331928410921</v>
      </c>
      <c r="AF277" s="70">
        <f t="shared" si="188"/>
        <v>0</v>
      </c>
      <c r="AG277" s="70">
        <f t="shared" si="189"/>
        <v>2029.2169036580126</v>
      </c>
      <c r="AH277" s="1">
        <f t="shared" si="217"/>
        <v>0</v>
      </c>
      <c r="AI277" s="1">
        <f t="shared" si="217"/>
        <v>0</v>
      </c>
      <c r="AJ277" s="1">
        <f t="shared" si="217"/>
        <v>0</v>
      </c>
      <c r="AK277" s="1">
        <f t="shared" si="217"/>
        <v>0</v>
      </c>
      <c r="AL277" s="1">
        <f t="shared" si="217"/>
        <v>0</v>
      </c>
      <c r="AM277" s="1">
        <f t="shared" si="217"/>
        <v>0</v>
      </c>
      <c r="AN277" s="1">
        <f t="shared" si="217"/>
        <v>0</v>
      </c>
      <c r="AO277" s="1">
        <f t="shared" si="217"/>
        <v>1</v>
      </c>
      <c r="AP277" s="1">
        <f t="shared" si="217"/>
        <v>1</v>
      </c>
      <c r="AQ277" s="1">
        <f t="shared" si="217"/>
        <v>1</v>
      </c>
      <c r="AR277" s="1">
        <f t="shared" si="217"/>
        <v>1</v>
      </c>
      <c r="AS277" s="1">
        <f t="shared" si="217"/>
        <v>1</v>
      </c>
      <c r="AT277" s="39">
        <f t="shared" si="190"/>
        <v>154026.94571905039</v>
      </c>
      <c r="AU277" s="39">
        <f t="shared" si="208"/>
        <v>154026.94571905039</v>
      </c>
      <c r="AV277" s="39">
        <f t="shared" si="165"/>
        <v>0</v>
      </c>
      <c r="AW277" s="3">
        <f t="shared" si="191"/>
        <v>203</v>
      </c>
      <c r="AX277" s="69">
        <f t="shared" si="209"/>
        <v>0</v>
      </c>
      <c r="AY277" s="75">
        <f t="shared" si="192"/>
        <v>0</v>
      </c>
      <c r="AZ277" s="75">
        <f t="shared" si="193"/>
        <v>0</v>
      </c>
      <c r="BA277" s="75">
        <f t="shared" si="194"/>
        <v>0</v>
      </c>
      <c r="BB277" s="75">
        <f t="shared" si="195"/>
        <v>0</v>
      </c>
      <c r="BD277" s="214">
        <f t="shared" si="210"/>
        <v>189257.66681521718</v>
      </c>
      <c r="BE277" s="214">
        <f t="shared" si="196"/>
        <v>921.22126310191663</v>
      </c>
      <c r="BF277" s="214">
        <f t="shared" si="197"/>
        <v>-313.16303928544471</v>
      </c>
      <c r="BG277" s="224">
        <f t="shared" si="214"/>
        <v>0</v>
      </c>
      <c r="BH277" s="19">
        <f t="shared" si="211"/>
        <v>264021.02268826507</v>
      </c>
      <c r="BI277" s="214">
        <f t="shared" si="198"/>
        <v>1285.1356782487144</v>
      </c>
      <c r="BJ277" s="214">
        <f t="shared" si="199"/>
        <v>0</v>
      </c>
      <c r="BK277" s="19">
        <f t="shared" si="215"/>
        <v>0</v>
      </c>
    </row>
    <row r="278" spans="1:63">
      <c r="A278" s="165">
        <f t="shared" si="200"/>
        <v>78.972792607802873</v>
      </c>
      <c r="B278" s="69">
        <f t="shared" si="201"/>
        <v>17</v>
      </c>
      <c r="C278" s="70">
        <f t="shared" si="202"/>
        <v>204</v>
      </c>
      <c r="D278" s="13">
        <f t="shared" si="171"/>
        <v>4.8675505653430484E-3</v>
      </c>
      <c r="E278" s="15">
        <f t="shared" si="172"/>
        <v>1</v>
      </c>
      <c r="F278" s="15">
        <f t="shared" si="203"/>
        <v>0</v>
      </c>
      <c r="G278" s="15">
        <f t="shared" si="173"/>
        <v>0</v>
      </c>
      <c r="H278" s="73">
        <f t="shared" si="174"/>
        <v>0</v>
      </c>
      <c r="I278" s="189"/>
      <c r="J278" s="189"/>
      <c r="K278" s="5">
        <f t="shared" si="216"/>
        <v>154026.94571905039</v>
      </c>
      <c r="M278" s="5">
        <f t="shared" si="175"/>
        <v>749.73394671282676</v>
      </c>
      <c r="N278" s="5">
        <f t="shared" si="176"/>
        <v>-254.86706702522702</v>
      </c>
      <c r="O278" s="5">
        <f t="shared" si="177"/>
        <v>0</v>
      </c>
      <c r="P278" s="5">
        <f t="shared" si="178"/>
        <v>0</v>
      </c>
      <c r="Q278" s="5">
        <f t="shared" si="212"/>
        <v>0</v>
      </c>
      <c r="R278" s="5">
        <f t="shared" si="204"/>
        <v>0</v>
      </c>
      <c r="S278" s="5">
        <f t="shared" si="179"/>
        <v>0</v>
      </c>
      <c r="T278" s="5">
        <f t="shared" si="180"/>
        <v>0</v>
      </c>
      <c r="U278" s="74">
        <f t="shared" si="181"/>
        <v>0</v>
      </c>
      <c r="V278" s="75">
        <f t="shared" si="182"/>
        <v>0</v>
      </c>
      <c r="W278" s="5">
        <f t="shared" si="183"/>
        <v>0</v>
      </c>
      <c r="X278" s="5">
        <f t="shared" si="184"/>
        <v>154521.812598738</v>
      </c>
      <c r="Y278" s="5">
        <f t="shared" si="205"/>
        <v>100000</v>
      </c>
      <c r="Z278" s="215">
        <f t="shared" si="185"/>
        <v>1</v>
      </c>
      <c r="AA278" s="216">
        <f t="shared" si="206"/>
        <v>0</v>
      </c>
      <c r="AB278" s="72">
        <f t="shared" si="213"/>
        <v>29840.358821905051</v>
      </c>
      <c r="AC278" s="72">
        <f t="shared" si="186"/>
        <v>0</v>
      </c>
      <c r="AD278" s="72">
        <f t="shared" si="187"/>
        <v>0</v>
      </c>
      <c r="AE278" s="72">
        <f t="shared" si="207"/>
        <v>-32.17738223876654</v>
      </c>
      <c r="AF278" s="70">
        <f t="shared" si="188"/>
        <v>0</v>
      </c>
      <c r="AG278" s="70">
        <f t="shared" si="189"/>
        <v>2217.2663179393094</v>
      </c>
      <c r="AH278" s="1">
        <f t="shared" si="217"/>
        <v>0</v>
      </c>
      <c r="AI278" s="1">
        <f t="shared" si="217"/>
        <v>0</v>
      </c>
      <c r="AJ278" s="1">
        <f t="shared" si="217"/>
        <v>0</v>
      </c>
      <c r="AK278" s="1">
        <f t="shared" si="217"/>
        <v>0</v>
      </c>
      <c r="AL278" s="1">
        <f t="shared" si="217"/>
        <v>0</v>
      </c>
      <c r="AM278" s="1">
        <f t="shared" si="217"/>
        <v>0</v>
      </c>
      <c r="AN278" s="1">
        <f t="shared" si="217"/>
        <v>0</v>
      </c>
      <c r="AO278" s="1">
        <f t="shared" si="217"/>
        <v>1</v>
      </c>
      <c r="AP278" s="1">
        <f t="shared" si="217"/>
        <v>1</v>
      </c>
      <c r="AQ278" s="1">
        <f t="shared" si="217"/>
        <v>1</v>
      </c>
      <c r="AR278" s="1">
        <f t="shared" si="217"/>
        <v>1</v>
      </c>
      <c r="AS278" s="1">
        <f t="shared" si="217"/>
        <v>1</v>
      </c>
      <c r="AT278" s="39">
        <f t="shared" si="190"/>
        <v>154521.812598738</v>
      </c>
      <c r="AU278" s="39">
        <f t="shared" si="208"/>
        <v>154521.812598738</v>
      </c>
      <c r="AV278" s="39">
        <f t="shared" si="165"/>
        <v>0</v>
      </c>
      <c r="AW278" s="3">
        <f t="shared" si="191"/>
        <v>204</v>
      </c>
      <c r="AX278" s="69">
        <f t="shared" si="209"/>
        <v>0</v>
      </c>
      <c r="AY278" s="75">
        <f t="shared" si="192"/>
        <v>0</v>
      </c>
      <c r="AZ278" s="75">
        <f t="shared" si="193"/>
        <v>0</v>
      </c>
      <c r="BA278" s="75">
        <f t="shared" si="194"/>
        <v>0</v>
      </c>
      <c r="BB278" s="75">
        <f t="shared" si="195"/>
        <v>0</v>
      </c>
      <c r="BD278" s="214">
        <f t="shared" si="210"/>
        <v>189865.72503903363</v>
      </c>
      <c r="BE278" s="214">
        <f t="shared" si="196"/>
        <v>924.18101725301597</v>
      </c>
      <c r="BF278" s="214">
        <f t="shared" si="197"/>
        <v>-314.16918801715656</v>
      </c>
      <c r="BG278" s="224">
        <f t="shared" si="214"/>
        <v>0</v>
      </c>
      <c r="BH278" s="19">
        <f t="shared" si="211"/>
        <v>265306.15836651379</v>
      </c>
      <c r="BI278" s="214">
        <f t="shared" si="198"/>
        <v>1291.3911411459164</v>
      </c>
      <c r="BJ278" s="214">
        <f t="shared" si="199"/>
        <v>0</v>
      </c>
      <c r="BK278" s="19">
        <f t="shared" si="215"/>
        <v>0</v>
      </c>
    </row>
    <row r="279" spans="1:63">
      <c r="A279" s="165">
        <f t="shared" si="200"/>
        <v>79.056125941136202</v>
      </c>
      <c r="B279" s="69">
        <f t="shared" si="201"/>
        <v>18</v>
      </c>
      <c r="C279" s="70">
        <f t="shared" si="202"/>
        <v>205</v>
      </c>
      <c r="D279" s="13">
        <f t="shared" si="171"/>
        <v>4.8675505653430484E-3</v>
      </c>
      <c r="E279" s="15">
        <f t="shared" si="172"/>
        <v>1</v>
      </c>
      <c r="F279" s="15">
        <f t="shared" si="203"/>
        <v>0</v>
      </c>
      <c r="G279" s="15">
        <f t="shared" si="173"/>
        <v>0</v>
      </c>
      <c r="H279" s="73">
        <f t="shared" si="174"/>
        <v>0</v>
      </c>
      <c r="I279" s="189"/>
      <c r="J279" s="189"/>
      <c r="K279" s="5">
        <f t="shared" si="216"/>
        <v>154521.812598738</v>
      </c>
      <c r="M279" s="5">
        <f t="shared" si="175"/>
        <v>752.14273627281977</v>
      </c>
      <c r="N279" s="5">
        <f t="shared" si="176"/>
        <v>-255.68591900989188</v>
      </c>
      <c r="O279" s="5">
        <f t="shared" si="177"/>
        <v>0</v>
      </c>
      <c r="P279" s="5">
        <f t="shared" si="178"/>
        <v>0</v>
      </c>
      <c r="Q279" s="5">
        <f t="shared" si="212"/>
        <v>0</v>
      </c>
      <c r="R279" s="5">
        <f t="shared" si="204"/>
        <v>0</v>
      </c>
      <c r="S279" s="5">
        <f t="shared" si="179"/>
        <v>0</v>
      </c>
      <c r="T279" s="5">
        <f t="shared" si="180"/>
        <v>0</v>
      </c>
      <c r="U279" s="74">
        <f t="shared" si="181"/>
        <v>0</v>
      </c>
      <c r="V279" s="75">
        <f t="shared" si="182"/>
        <v>0</v>
      </c>
      <c r="W279" s="5">
        <f t="shared" si="183"/>
        <v>0</v>
      </c>
      <c r="X279" s="5">
        <f t="shared" si="184"/>
        <v>155018.26941600093</v>
      </c>
      <c r="Y279" s="5">
        <f t="shared" si="205"/>
        <v>100000</v>
      </c>
      <c r="Z279" s="215">
        <f t="shared" si="185"/>
        <v>1</v>
      </c>
      <c r="AA279" s="216">
        <f t="shared" si="206"/>
        <v>0</v>
      </c>
      <c r="AB279" s="72">
        <f t="shared" si="213"/>
        <v>29840.358821905051</v>
      </c>
      <c r="AC279" s="72">
        <f t="shared" si="186"/>
        <v>0</v>
      </c>
      <c r="AD279" s="72">
        <f t="shared" si="187"/>
        <v>0</v>
      </c>
      <c r="AE279" s="72">
        <f t="shared" si="207"/>
        <v>-32.280763635253223</v>
      </c>
      <c r="AF279" s="70">
        <f t="shared" si="188"/>
        <v>0</v>
      </c>
      <c r="AG279" s="70">
        <f t="shared" si="189"/>
        <v>2405.9199084992179</v>
      </c>
      <c r="AH279" s="1">
        <f t="shared" si="217"/>
        <v>0</v>
      </c>
      <c r="AI279" s="1">
        <f t="shared" si="217"/>
        <v>0</v>
      </c>
      <c r="AJ279" s="1">
        <f t="shared" si="217"/>
        <v>0</v>
      </c>
      <c r="AK279" s="1">
        <f t="shared" si="217"/>
        <v>0</v>
      </c>
      <c r="AL279" s="1">
        <f t="shared" si="217"/>
        <v>0</v>
      </c>
      <c r="AM279" s="1">
        <f t="shared" si="217"/>
        <v>0</v>
      </c>
      <c r="AN279" s="1">
        <f t="shared" si="217"/>
        <v>0</v>
      </c>
      <c r="AO279" s="1">
        <f t="shared" si="217"/>
        <v>1</v>
      </c>
      <c r="AP279" s="1">
        <f t="shared" si="217"/>
        <v>1</v>
      </c>
      <c r="AQ279" s="1">
        <f t="shared" si="217"/>
        <v>1</v>
      </c>
      <c r="AR279" s="1">
        <f t="shared" si="217"/>
        <v>1</v>
      </c>
      <c r="AS279" s="1">
        <f t="shared" si="217"/>
        <v>1</v>
      </c>
      <c r="AT279" s="39">
        <f t="shared" si="190"/>
        <v>155018.26941600093</v>
      </c>
      <c r="AU279" s="39">
        <f t="shared" si="208"/>
        <v>155018.26941600093</v>
      </c>
      <c r="AV279" s="39">
        <f t="shared" ref="AV279:AV342" si="218">IF(W279=0,0,IF(W279&gt;W267,"Y","N"))</f>
        <v>0</v>
      </c>
      <c r="AW279" s="3">
        <f t="shared" si="191"/>
        <v>205</v>
      </c>
      <c r="AX279" s="69">
        <f t="shared" si="209"/>
        <v>0</v>
      </c>
      <c r="AY279" s="75">
        <f t="shared" si="192"/>
        <v>0</v>
      </c>
      <c r="AZ279" s="75">
        <f t="shared" si="193"/>
        <v>0</v>
      </c>
      <c r="BA279" s="75">
        <f t="shared" si="194"/>
        <v>0</v>
      </c>
      <c r="BB279" s="75">
        <f t="shared" si="195"/>
        <v>0</v>
      </c>
      <c r="BD279" s="214">
        <f t="shared" si="210"/>
        <v>190475.73686826951</v>
      </c>
      <c r="BE279" s="214">
        <f t="shared" si="196"/>
        <v>927.15028067727894</v>
      </c>
      <c r="BF279" s="214">
        <f t="shared" si="197"/>
        <v>-315.17856936301297</v>
      </c>
      <c r="BG279" s="224">
        <f t="shared" si="214"/>
        <v>0</v>
      </c>
      <c r="BH279" s="19">
        <f t="shared" si="211"/>
        <v>266597.54950765969</v>
      </c>
      <c r="BI279" s="214">
        <f t="shared" si="198"/>
        <v>1297.6770528250802</v>
      </c>
      <c r="BJ279" s="214">
        <f t="shared" si="199"/>
        <v>0</v>
      </c>
      <c r="BK279" s="19">
        <f t="shared" si="215"/>
        <v>0</v>
      </c>
    </row>
    <row r="280" spans="1:63">
      <c r="A280" s="165">
        <f t="shared" si="200"/>
        <v>79.139459274469544</v>
      </c>
      <c r="B280" s="69">
        <f t="shared" si="201"/>
        <v>18</v>
      </c>
      <c r="C280" s="70">
        <f t="shared" si="202"/>
        <v>206</v>
      </c>
      <c r="D280" s="13">
        <f t="shared" si="171"/>
        <v>4.8675505653430484E-3</v>
      </c>
      <c r="E280" s="15">
        <f t="shared" si="172"/>
        <v>1</v>
      </c>
      <c r="F280" s="15">
        <f t="shared" si="203"/>
        <v>0</v>
      </c>
      <c r="G280" s="15">
        <f t="shared" si="173"/>
        <v>0</v>
      </c>
      <c r="H280" s="73">
        <f t="shared" si="174"/>
        <v>0</v>
      </c>
      <c r="I280" s="189"/>
      <c r="J280" s="189"/>
      <c r="K280" s="5">
        <f t="shared" si="216"/>
        <v>155018.26941600093</v>
      </c>
      <c r="M280" s="5">
        <f t="shared" si="175"/>
        <v>754.55926493435629</v>
      </c>
      <c r="N280" s="5">
        <f t="shared" si="176"/>
        <v>-256.50740185063631</v>
      </c>
      <c r="O280" s="5">
        <f t="shared" si="177"/>
        <v>0</v>
      </c>
      <c r="P280" s="5">
        <f t="shared" si="178"/>
        <v>0</v>
      </c>
      <c r="Q280" s="5">
        <f t="shared" si="212"/>
        <v>0</v>
      </c>
      <c r="R280" s="5">
        <f t="shared" si="204"/>
        <v>0</v>
      </c>
      <c r="S280" s="5">
        <f t="shared" si="179"/>
        <v>0</v>
      </c>
      <c r="T280" s="5">
        <f t="shared" si="180"/>
        <v>0</v>
      </c>
      <c r="U280" s="74">
        <f t="shared" si="181"/>
        <v>0</v>
      </c>
      <c r="V280" s="75">
        <f t="shared" si="182"/>
        <v>0</v>
      </c>
      <c r="W280" s="5">
        <f t="shared" si="183"/>
        <v>0</v>
      </c>
      <c r="X280" s="5">
        <f t="shared" si="184"/>
        <v>155516.32127908466</v>
      </c>
      <c r="Y280" s="5">
        <f t="shared" si="205"/>
        <v>100000</v>
      </c>
      <c r="Z280" s="215">
        <f t="shared" si="185"/>
        <v>1</v>
      </c>
      <c r="AA280" s="216">
        <f t="shared" si="206"/>
        <v>0</v>
      </c>
      <c r="AB280" s="72">
        <f t="shared" si="213"/>
        <v>29840.358821905051</v>
      </c>
      <c r="AC280" s="72">
        <f t="shared" si="186"/>
        <v>0</v>
      </c>
      <c r="AD280" s="72">
        <f t="shared" si="187"/>
        <v>0</v>
      </c>
      <c r="AE280" s="72">
        <f t="shared" si="207"/>
        <v>-32.384477181604055</v>
      </c>
      <c r="AF280" s="70">
        <f t="shared" si="188"/>
        <v>0</v>
      </c>
      <c r="AG280" s="70">
        <f t="shared" si="189"/>
        <v>2595.1796164710358</v>
      </c>
      <c r="AH280" s="1">
        <f t="shared" si="217"/>
        <v>0</v>
      </c>
      <c r="AI280" s="1">
        <f t="shared" si="217"/>
        <v>0</v>
      </c>
      <c r="AJ280" s="1">
        <f t="shared" si="217"/>
        <v>0</v>
      </c>
      <c r="AK280" s="1">
        <f t="shared" si="217"/>
        <v>0</v>
      </c>
      <c r="AL280" s="1">
        <f t="shared" si="217"/>
        <v>0</v>
      </c>
      <c r="AM280" s="1">
        <f t="shared" si="217"/>
        <v>0</v>
      </c>
      <c r="AN280" s="1">
        <f t="shared" si="217"/>
        <v>0</v>
      </c>
      <c r="AO280" s="1">
        <f t="shared" si="217"/>
        <v>1</v>
      </c>
      <c r="AP280" s="1">
        <f t="shared" si="217"/>
        <v>1</v>
      </c>
      <c r="AQ280" s="1">
        <f t="shared" si="217"/>
        <v>1</v>
      </c>
      <c r="AR280" s="1">
        <f t="shared" si="217"/>
        <v>1</v>
      </c>
      <c r="AS280" s="1">
        <f t="shared" si="217"/>
        <v>1</v>
      </c>
      <c r="AT280" s="39">
        <f t="shared" si="190"/>
        <v>155516.32127908466</v>
      </c>
      <c r="AU280" s="39">
        <f t="shared" si="208"/>
        <v>155516.32127908466</v>
      </c>
      <c r="AV280" s="39">
        <f t="shared" si="218"/>
        <v>0</v>
      </c>
      <c r="AW280" s="3">
        <f t="shared" si="191"/>
        <v>206</v>
      </c>
      <c r="AX280" s="69">
        <f t="shared" si="209"/>
        <v>0</v>
      </c>
      <c r="AY280" s="75">
        <f t="shared" si="192"/>
        <v>0</v>
      </c>
      <c r="AZ280" s="75">
        <f t="shared" si="193"/>
        <v>0</v>
      </c>
      <c r="BA280" s="75">
        <f t="shared" si="194"/>
        <v>0</v>
      </c>
      <c r="BB280" s="75">
        <f t="shared" si="195"/>
        <v>0</v>
      </c>
      <c r="BD280" s="214">
        <f t="shared" si="210"/>
        <v>191087.70857958376</v>
      </c>
      <c r="BE280" s="214">
        <f t="shared" si="196"/>
        <v>930.12908392666066</v>
      </c>
      <c r="BF280" s="214">
        <f t="shared" si="197"/>
        <v>-316.19119370894765</v>
      </c>
      <c r="BG280" s="224">
        <f t="shared" si="214"/>
        <v>0</v>
      </c>
      <c r="BH280" s="19">
        <f t="shared" si="211"/>
        <v>267895.22656048479</v>
      </c>
      <c r="BI280" s="214">
        <f t="shared" si="198"/>
        <v>1303.9935614971919</v>
      </c>
      <c r="BJ280" s="214">
        <f t="shared" si="199"/>
        <v>0</v>
      </c>
      <c r="BK280" s="19">
        <f t="shared" si="215"/>
        <v>0</v>
      </c>
    </row>
    <row r="281" spans="1:63">
      <c r="A281" s="165">
        <f t="shared" si="200"/>
        <v>79.222792607802873</v>
      </c>
      <c r="B281" s="69">
        <f t="shared" si="201"/>
        <v>18</v>
      </c>
      <c r="C281" s="70">
        <f t="shared" si="202"/>
        <v>207</v>
      </c>
      <c r="D281" s="13">
        <f t="shared" si="171"/>
        <v>4.8675505653430484E-3</v>
      </c>
      <c r="E281" s="15">
        <f t="shared" si="172"/>
        <v>1</v>
      </c>
      <c r="F281" s="15">
        <f t="shared" si="203"/>
        <v>0</v>
      </c>
      <c r="G281" s="15">
        <f t="shared" si="173"/>
        <v>0</v>
      </c>
      <c r="H281" s="73">
        <f t="shared" si="174"/>
        <v>0</v>
      </c>
      <c r="I281" s="189"/>
      <c r="J281" s="189"/>
      <c r="K281" s="5">
        <f t="shared" si="216"/>
        <v>155516.32127908466</v>
      </c>
      <c r="M281" s="5">
        <f t="shared" si="175"/>
        <v>756.98355756207968</v>
      </c>
      <c r="N281" s="5">
        <f t="shared" si="176"/>
        <v>-257.33152400003047</v>
      </c>
      <c r="O281" s="5">
        <f t="shared" si="177"/>
        <v>0</v>
      </c>
      <c r="P281" s="5">
        <f t="shared" si="178"/>
        <v>0</v>
      </c>
      <c r="Q281" s="5">
        <f t="shared" si="212"/>
        <v>0</v>
      </c>
      <c r="R281" s="5">
        <f t="shared" si="204"/>
        <v>0</v>
      </c>
      <c r="S281" s="5">
        <f t="shared" si="179"/>
        <v>0</v>
      </c>
      <c r="T281" s="5">
        <f t="shared" si="180"/>
        <v>0</v>
      </c>
      <c r="U281" s="74">
        <f t="shared" si="181"/>
        <v>0</v>
      </c>
      <c r="V281" s="75">
        <f t="shared" si="182"/>
        <v>0</v>
      </c>
      <c r="W281" s="5">
        <f t="shared" si="183"/>
        <v>0</v>
      </c>
      <c r="X281" s="5">
        <f t="shared" si="184"/>
        <v>156015.9733126467</v>
      </c>
      <c r="Y281" s="5">
        <f t="shared" si="205"/>
        <v>100000</v>
      </c>
      <c r="Z281" s="215">
        <f t="shared" si="185"/>
        <v>1</v>
      </c>
      <c r="AA281" s="216">
        <f t="shared" si="206"/>
        <v>0</v>
      </c>
      <c r="AB281" s="72">
        <f t="shared" si="213"/>
        <v>29840.358821905051</v>
      </c>
      <c r="AC281" s="72">
        <f t="shared" si="186"/>
        <v>0</v>
      </c>
      <c r="AD281" s="72">
        <f t="shared" si="187"/>
        <v>0</v>
      </c>
      <c r="AE281" s="72">
        <f t="shared" si="207"/>
        <v>-32.488523944969785</v>
      </c>
      <c r="AF281" s="70">
        <f t="shared" si="188"/>
        <v>0</v>
      </c>
      <c r="AG281" s="70">
        <f t="shared" si="189"/>
        <v>2785.0473892246118</v>
      </c>
      <c r="AH281" s="1">
        <f t="shared" si="217"/>
        <v>0</v>
      </c>
      <c r="AI281" s="1">
        <f t="shared" si="217"/>
        <v>0</v>
      </c>
      <c r="AJ281" s="1">
        <f t="shared" si="217"/>
        <v>0</v>
      </c>
      <c r="AK281" s="1">
        <f t="shared" si="217"/>
        <v>0</v>
      </c>
      <c r="AL281" s="1">
        <f t="shared" si="217"/>
        <v>0</v>
      </c>
      <c r="AM281" s="1">
        <f t="shared" si="217"/>
        <v>0</v>
      </c>
      <c r="AN281" s="1">
        <f t="shared" si="217"/>
        <v>0</v>
      </c>
      <c r="AO281" s="1">
        <f t="shared" si="217"/>
        <v>1</v>
      </c>
      <c r="AP281" s="1">
        <f t="shared" si="217"/>
        <v>1</v>
      </c>
      <c r="AQ281" s="1">
        <f t="shared" si="217"/>
        <v>1</v>
      </c>
      <c r="AR281" s="1">
        <f t="shared" si="217"/>
        <v>1</v>
      </c>
      <c r="AS281" s="1">
        <f t="shared" si="217"/>
        <v>1</v>
      </c>
      <c r="AT281" s="39">
        <f t="shared" si="190"/>
        <v>156015.9733126467</v>
      </c>
      <c r="AU281" s="39">
        <f t="shared" si="208"/>
        <v>156015.9733126467</v>
      </c>
      <c r="AV281" s="39">
        <f t="shared" si="218"/>
        <v>0</v>
      </c>
      <c r="AW281" s="3">
        <f t="shared" si="191"/>
        <v>207</v>
      </c>
      <c r="AX281" s="69">
        <f t="shared" si="209"/>
        <v>0</v>
      </c>
      <c r="AY281" s="75">
        <f t="shared" si="192"/>
        <v>0</v>
      </c>
      <c r="AZ281" s="75">
        <f t="shared" si="193"/>
        <v>0</v>
      </c>
      <c r="BA281" s="75">
        <f t="shared" si="194"/>
        <v>0</v>
      </c>
      <c r="BB281" s="75">
        <f t="shared" si="195"/>
        <v>0</v>
      </c>
      <c r="BD281" s="214">
        <f t="shared" si="210"/>
        <v>191701.64646980149</v>
      </c>
      <c r="BE281" s="214">
        <f t="shared" si="196"/>
        <v>933.11745765127546</v>
      </c>
      <c r="BF281" s="214">
        <f t="shared" si="197"/>
        <v>-317.20707147426322</v>
      </c>
      <c r="BG281" s="224">
        <f t="shared" si="214"/>
        <v>0</v>
      </c>
      <c r="BH281" s="19">
        <f t="shared" si="211"/>
        <v>269199.22012198198</v>
      </c>
      <c r="BI281" s="214">
        <f t="shared" si="198"/>
        <v>1310.3408160946612</v>
      </c>
      <c r="BJ281" s="214">
        <f t="shared" si="199"/>
        <v>0</v>
      </c>
      <c r="BK281" s="19">
        <f t="shared" si="215"/>
        <v>0</v>
      </c>
    </row>
    <row r="282" spans="1:63">
      <c r="A282" s="165">
        <f t="shared" si="200"/>
        <v>79.306125941136202</v>
      </c>
      <c r="B282" s="69">
        <f t="shared" si="201"/>
        <v>18</v>
      </c>
      <c r="C282" s="70">
        <f t="shared" si="202"/>
        <v>208</v>
      </c>
      <c r="D282" s="13">
        <f t="shared" si="171"/>
        <v>4.8675505653430484E-3</v>
      </c>
      <c r="E282" s="15">
        <f t="shared" si="172"/>
        <v>1</v>
      </c>
      <c r="F282" s="15">
        <f t="shared" si="203"/>
        <v>0</v>
      </c>
      <c r="G282" s="15">
        <f t="shared" si="173"/>
        <v>0</v>
      </c>
      <c r="H282" s="73">
        <f t="shared" si="174"/>
        <v>0</v>
      </c>
      <c r="I282" s="189"/>
      <c r="J282" s="189"/>
      <c r="K282" s="5">
        <f t="shared" si="216"/>
        <v>156015.9733126467</v>
      </c>
      <c r="M282" s="5">
        <f t="shared" si="175"/>
        <v>759.41563910051946</v>
      </c>
      <c r="N282" s="5">
        <f t="shared" si="176"/>
        <v>-258.1582939378012</v>
      </c>
      <c r="O282" s="5">
        <f t="shared" si="177"/>
        <v>0</v>
      </c>
      <c r="P282" s="5">
        <f t="shared" si="178"/>
        <v>0</v>
      </c>
      <c r="Q282" s="5">
        <f t="shared" si="212"/>
        <v>0</v>
      </c>
      <c r="R282" s="5">
        <f t="shared" si="204"/>
        <v>0</v>
      </c>
      <c r="S282" s="5">
        <f t="shared" si="179"/>
        <v>0</v>
      </c>
      <c r="T282" s="5">
        <f t="shared" si="180"/>
        <v>0</v>
      </c>
      <c r="U282" s="74">
        <f t="shared" si="181"/>
        <v>0</v>
      </c>
      <c r="V282" s="75">
        <f t="shared" si="182"/>
        <v>0</v>
      </c>
      <c r="W282" s="5">
        <f t="shared" si="183"/>
        <v>0</v>
      </c>
      <c r="X282" s="5">
        <f t="shared" si="184"/>
        <v>156517.23065780941</v>
      </c>
      <c r="Y282" s="5">
        <f t="shared" si="205"/>
        <v>100000</v>
      </c>
      <c r="Z282" s="215">
        <f t="shared" si="185"/>
        <v>1</v>
      </c>
      <c r="AA282" s="216">
        <f t="shared" si="206"/>
        <v>0</v>
      </c>
      <c r="AB282" s="72">
        <f t="shared" si="213"/>
        <v>29840.358821905051</v>
      </c>
      <c r="AC282" s="72">
        <f t="shared" si="186"/>
        <v>0</v>
      </c>
      <c r="AD282" s="72">
        <f t="shared" si="187"/>
        <v>0</v>
      </c>
      <c r="AE282" s="72">
        <f t="shared" si="207"/>
        <v>-32.592904995929722</v>
      </c>
      <c r="AF282" s="70">
        <f t="shared" si="188"/>
        <v>0</v>
      </c>
      <c r="AG282" s="70">
        <f t="shared" si="189"/>
        <v>2975.5251803864448</v>
      </c>
      <c r="AH282" s="1">
        <f t="shared" si="217"/>
        <v>0</v>
      </c>
      <c r="AI282" s="1">
        <f t="shared" si="217"/>
        <v>0</v>
      </c>
      <c r="AJ282" s="1">
        <f t="shared" si="217"/>
        <v>0</v>
      </c>
      <c r="AK282" s="1">
        <f t="shared" si="217"/>
        <v>0</v>
      </c>
      <c r="AL282" s="1">
        <f t="shared" si="217"/>
        <v>0</v>
      </c>
      <c r="AM282" s="1">
        <f t="shared" si="217"/>
        <v>0</v>
      </c>
      <c r="AN282" s="1">
        <f t="shared" si="217"/>
        <v>0</v>
      </c>
      <c r="AO282" s="1">
        <f t="shared" si="217"/>
        <v>1</v>
      </c>
      <c r="AP282" s="1">
        <f t="shared" si="217"/>
        <v>1</v>
      </c>
      <c r="AQ282" s="1">
        <f t="shared" si="217"/>
        <v>1</v>
      </c>
      <c r="AR282" s="1">
        <f t="shared" si="217"/>
        <v>1</v>
      </c>
      <c r="AS282" s="1">
        <f t="shared" si="217"/>
        <v>1</v>
      </c>
      <c r="AT282" s="39">
        <f t="shared" si="190"/>
        <v>156517.23065780941</v>
      </c>
      <c r="AU282" s="39">
        <f t="shared" si="208"/>
        <v>156517.23065780941</v>
      </c>
      <c r="AV282" s="39">
        <f t="shared" si="218"/>
        <v>0</v>
      </c>
      <c r="AW282" s="3">
        <f t="shared" si="191"/>
        <v>208</v>
      </c>
      <c r="AX282" s="69">
        <f t="shared" si="209"/>
        <v>0</v>
      </c>
      <c r="AY282" s="75">
        <f t="shared" si="192"/>
        <v>0</v>
      </c>
      <c r="AZ282" s="75">
        <f t="shared" si="193"/>
        <v>0</v>
      </c>
      <c r="BA282" s="75">
        <f t="shared" si="194"/>
        <v>0</v>
      </c>
      <c r="BB282" s="75">
        <f t="shared" si="195"/>
        <v>0</v>
      </c>
      <c r="BD282" s="214">
        <f t="shared" si="210"/>
        <v>192317.5568559785</v>
      </c>
      <c r="BE282" s="214">
        <f t="shared" si="196"/>
        <v>936.11543259971199</v>
      </c>
      <c r="BF282" s="214">
        <f t="shared" si="197"/>
        <v>-318.22621311173771</v>
      </c>
      <c r="BG282" s="224">
        <f t="shared" si="214"/>
        <v>0</v>
      </c>
      <c r="BH282" s="19">
        <f t="shared" si="211"/>
        <v>270509.56093807664</v>
      </c>
      <c r="BI282" s="214">
        <f t="shared" si="198"/>
        <v>1316.7189662748347</v>
      </c>
      <c r="BJ282" s="214">
        <f t="shared" si="199"/>
        <v>0</v>
      </c>
      <c r="BK282" s="19">
        <f t="shared" si="215"/>
        <v>0</v>
      </c>
    </row>
    <row r="283" spans="1:63">
      <c r="A283" s="165">
        <f t="shared" si="200"/>
        <v>79.389459274469544</v>
      </c>
      <c r="B283" s="69">
        <f t="shared" si="201"/>
        <v>18</v>
      </c>
      <c r="C283" s="70">
        <f t="shared" si="202"/>
        <v>209</v>
      </c>
      <c r="D283" s="13">
        <f t="shared" si="171"/>
        <v>4.8675505653430484E-3</v>
      </c>
      <c r="E283" s="15">
        <f t="shared" si="172"/>
        <v>1</v>
      </c>
      <c r="F283" s="15">
        <f t="shared" si="203"/>
        <v>0</v>
      </c>
      <c r="G283" s="15">
        <f t="shared" si="173"/>
        <v>0</v>
      </c>
      <c r="H283" s="73">
        <f t="shared" si="174"/>
        <v>0</v>
      </c>
      <c r="I283" s="189"/>
      <c r="J283" s="189"/>
      <c r="K283" s="5">
        <f t="shared" si="216"/>
        <v>156517.23065780941</v>
      </c>
      <c r="M283" s="5">
        <f t="shared" si="175"/>
        <v>761.85553457434855</v>
      </c>
      <c r="N283" s="5">
        <f t="shared" si="176"/>
        <v>-258.98772017091954</v>
      </c>
      <c r="O283" s="5">
        <f t="shared" si="177"/>
        <v>0</v>
      </c>
      <c r="P283" s="5">
        <f t="shared" si="178"/>
        <v>0</v>
      </c>
      <c r="Q283" s="5">
        <f t="shared" si="212"/>
        <v>0</v>
      </c>
      <c r="R283" s="5">
        <f t="shared" si="204"/>
        <v>0</v>
      </c>
      <c r="S283" s="5">
        <f t="shared" si="179"/>
        <v>0</v>
      </c>
      <c r="T283" s="5">
        <f t="shared" si="180"/>
        <v>0</v>
      </c>
      <c r="U283" s="74">
        <f t="shared" si="181"/>
        <v>0</v>
      </c>
      <c r="V283" s="75">
        <f t="shared" si="182"/>
        <v>0</v>
      </c>
      <c r="W283" s="5">
        <f t="shared" si="183"/>
        <v>0</v>
      </c>
      <c r="X283" s="5">
        <f t="shared" si="184"/>
        <v>157020.09847221282</v>
      </c>
      <c r="Y283" s="5">
        <f t="shared" si="205"/>
        <v>100000</v>
      </c>
      <c r="Z283" s="215">
        <f t="shared" si="185"/>
        <v>1</v>
      </c>
      <c r="AA283" s="216">
        <f t="shared" si="206"/>
        <v>0</v>
      </c>
      <c r="AB283" s="72">
        <f t="shared" si="213"/>
        <v>29840.358821905051</v>
      </c>
      <c r="AC283" s="72">
        <f t="shared" si="186"/>
        <v>0</v>
      </c>
      <c r="AD283" s="72">
        <f t="shared" si="187"/>
        <v>0</v>
      </c>
      <c r="AE283" s="72">
        <f t="shared" si="207"/>
        <v>-32.697621408502812</v>
      </c>
      <c r="AF283" s="70">
        <f t="shared" si="188"/>
        <v>0</v>
      </c>
      <c r="AG283" s="70">
        <f t="shared" si="189"/>
        <v>3166.614949859737</v>
      </c>
      <c r="AH283" s="1">
        <f t="shared" si="217"/>
        <v>0</v>
      </c>
      <c r="AI283" s="1">
        <f t="shared" si="217"/>
        <v>0</v>
      </c>
      <c r="AJ283" s="1">
        <f t="shared" si="217"/>
        <v>0</v>
      </c>
      <c r="AK283" s="1">
        <f t="shared" si="217"/>
        <v>0</v>
      </c>
      <c r="AL283" s="1">
        <f t="shared" si="217"/>
        <v>0</v>
      </c>
      <c r="AM283" s="1">
        <f t="shared" si="217"/>
        <v>0</v>
      </c>
      <c r="AN283" s="1">
        <f t="shared" si="217"/>
        <v>0</v>
      </c>
      <c r="AO283" s="1">
        <f t="shared" si="217"/>
        <v>1</v>
      </c>
      <c r="AP283" s="1">
        <f t="shared" si="217"/>
        <v>1</v>
      </c>
      <c r="AQ283" s="1">
        <f t="shared" si="217"/>
        <v>1</v>
      </c>
      <c r="AR283" s="1">
        <f t="shared" si="217"/>
        <v>1</v>
      </c>
      <c r="AS283" s="1">
        <f t="shared" si="217"/>
        <v>1</v>
      </c>
      <c r="AT283" s="39">
        <f t="shared" si="190"/>
        <v>157020.09847221282</v>
      </c>
      <c r="AU283" s="39">
        <f t="shared" si="208"/>
        <v>157020.09847221282</v>
      </c>
      <c r="AV283" s="39">
        <f t="shared" si="218"/>
        <v>0</v>
      </c>
      <c r="AW283" s="3">
        <f t="shared" si="191"/>
        <v>209</v>
      </c>
      <c r="AX283" s="69">
        <f t="shared" si="209"/>
        <v>0</v>
      </c>
      <c r="AY283" s="75">
        <f t="shared" si="192"/>
        <v>0</v>
      </c>
      <c r="AZ283" s="75">
        <f t="shared" si="193"/>
        <v>0</v>
      </c>
      <c r="BA283" s="75">
        <f t="shared" si="194"/>
        <v>0</v>
      </c>
      <c r="BB283" s="75">
        <f t="shared" si="195"/>
        <v>0</v>
      </c>
      <c r="BD283" s="214">
        <f t="shared" si="210"/>
        <v>192935.44607546646</v>
      </c>
      <c r="BE283" s="214">
        <f t="shared" si="196"/>
        <v>939.12303961935004</v>
      </c>
      <c r="BF283" s="214">
        <f t="shared" si="197"/>
        <v>-319.24862910773265</v>
      </c>
      <c r="BG283" s="224">
        <f t="shared" si="214"/>
        <v>0</v>
      </c>
      <c r="BH283" s="19">
        <f t="shared" si="211"/>
        <v>271826.27990435145</v>
      </c>
      <c r="BI283" s="214">
        <f t="shared" si="198"/>
        <v>1323.1281624235237</v>
      </c>
      <c r="BJ283" s="214">
        <f t="shared" si="199"/>
        <v>0</v>
      </c>
      <c r="BK283" s="19">
        <f t="shared" si="215"/>
        <v>0</v>
      </c>
    </row>
    <row r="284" spans="1:63">
      <c r="A284" s="165">
        <f t="shared" si="200"/>
        <v>79.472792607802873</v>
      </c>
      <c r="B284" s="69">
        <f t="shared" si="201"/>
        <v>18</v>
      </c>
      <c r="C284" s="70">
        <f t="shared" si="202"/>
        <v>210</v>
      </c>
      <c r="D284" s="13">
        <f t="shared" si="171"/>
        <v>4.8675505653430484E-3</v>
      </c>
      <c r="E284" s="15">
        <f t="shared" si="172"/>
        <v>1</v>
      </c>
      <c r="F284" s="15">
        <f t="shared" si="203"/>
        <v>0</v>
      </c>
      <c r="G284" s="15">
        <f t="shared" si="173"/>
        <v>0</v>
      </c>
      <c r="H284" s="73">
        <f t="shared" si="174"/>
        <v>0</v>
      </c>
      <c r="I284" s="189"/>
      <c r="J284" s="189"/>
      <c r="K284" s="5">
        <f t="shared" si="216"/>
        <v>157020.09847221282</v>
      </c>
      <c r="M284" s="5">
        <f t="shared" si="175"/>
        <v>764.3032690886406</v>
      </c>
      <c r="N284" s="5">
        <f t="shared" si="176"/>
        <v>-259.8198112336882</v>
      </c>
      <c r="O284" s="5">
        <f t="shared" si="177"/>
        <v>0</v>
      </c>
      <c r="P284" s="5">
        <f t="shared" si="178"/>
        <v>0</v>
      </c>
      <c r="Q284" s="5">
        <f t="shared" si="212"/>
        <v>0</v>
      </c>
      <c r="R284" s="5">
        <f t="shared" si="204"/>
        <v>0</v>
      </c>
      <c r="S284" s="5">
        <f t="shared" si="179"/>
        <v>0</v>
      </c>
      <c r="T284" s="5">
        <f t="shared" si="180"/>
        <v>0</v>
      </c>
      <c r="U284" s="74">
        <f t="shared" si="181"/>
        <v>0</v>
      </c>
      <c r="V284" s="75">
        <f t="shared" si="182"/>
        <v>0</v>
      </c>
      <c r="W284" s="5">
        <f t="shared" si="183"/>
        <v>0</v>
      </c>
      <c r="X284" s="5">
        <f t="shared" si="184"/>
        <v>157524.58193006777</v>
      </c>
      <c r="Y284" s="5">
        <f t="shared" si="205"/>
        <v>100000</v>
      </c>
      <c r="Z284" s="215">
        <f t="shared" si="185"/>
        <v>1</v>
      </c>
      <c r="AA284" s="216">
        <f t="shared" si="206"/>
        <v>0</v>
      </c>
      <c r="AB284" s="72">
        <f t="shared" si="213"/>
        <v>29840.358821905051</v>
      </c>
      <c r="AC284" s="72">
        <f t="shared" si="186"/>
        <v>0</v>
      </c>
      <c r="AD284" s="72">
        <f t="shared" si="187"/>
        <v>0</v>
      </c>
      <c r="AE284" s="72">
        <f t="shared" si="207"/>
        <v>-32.802674260158689</v>
      </c>
      <c r="AF284" s="70">
        <f t="shared" si="188"/>
        <v>0</v>
      </c>
      <c r="AG284" s="70">
        <f t="shared" si="189"/>
        <v>3358.3186638446205</v>
      </c>
      <c r="AH284" s="1">
        <f t="shared" si="217"/>
        <v>0</v>
      </c>
      <c r="AI284" s="1">
        <f t="shared" si="217"/>
        <v>0</v>
      </c>
      <c r="AJ284" s="1">
        <f t="shared" si="217"/>
        <v>0</v>
      </c>
      <c r="AK284" s="1">
        <f t="shared" si="217"/>
        <v>0</v>
      </c>
      <c r="AL284" s="1">
        <f t="shared" si="217"/>
        <v>0</v>
      </c>
      <c r="AM284" s="1">
        <f t="shared" si="217"/>
        <v>0</v>
      </c>
      <c r="AN284" s="1">
        <f t="shared" si="217"/>
        <v>0</v>
      </c>
      <c r="AO284" s="1">
        <f t="shared" si="217"/>
        <v>1</v>
      </c>
      <c r="AP284" s="1">
        <f t="shared" si="217"/>
        <v>1</v>
      </c>
      <c r="AQ284" s="1">
        <f t="shared" si="217"/>
        <v>1</v>
      </c>
      <c r="AR284" s="1">
        <f t="shared" si="217"/>
        <v>1</v>
      </c>
      <c r="AS284" s="1">
        <f t="shared" si="217"/>
        <v>1</v>
      </c>
      <c r="AT284" s="39">
        <f t="shared" si="190"/>
        <v>157524.58193006777</v>
      </c>
      <c r="AU284" s="39">
        <f t="shared" si="208"/>
        <v>157524.58193006777</v>
      </c>
      <c r="AV284" s="39">
        <f t="shared" si="218"/>
        <v>0</v>
      </c>
      <c r="AW284" s="3">
        <f t="shared" si="191"/>
        <v>210</v>
      </c>
      <c r="AX284" s="69">
        <f t="shared" si="209"/>
        <v>0</v>
      </c>
      <c r="AY284" s="75">
        <f t="shared" si="192"/>
        <v>0</v>
      </c>
      <c r="AZ284" s="75">
        <f t="shared" si="193"/>
        <v>0</v>
      </c>
      <c r="BA284" s="75">
        <f t="shared" si="194"/>
        <v>0</v>
      </c>
      <c r="BB284" s="75">
        <f t="shared" si="195"/>
        <v>0</v>
      </c>
      <c r="BD284" s="214">
        <f t="shared" si="210"/>
        <v>193555.3204859781</v>
      </c>
      <c r="BE284" s="214">
        <f t="shared" si="196"/>
        <v>942.14030965667757</v>
      </c>
      <c r="BF284" s="214">
        <f t="shared" si="197"/>
        <v>-320.2743299823008</v>
      </c>
      <c r="BG284" s="224">
        <f t="shared" si="214"/>
        <v>0</v>
      </c>
      <c r="BH284" s="19">
        <f t="shared" si="211"/>
        <v>273149.40806677495</v>
      </c>
      <c r="BI284" s="214">
        <f t="shared" si="198"/>
        <v>1329.5685556585495</v>
      </c>
      <c r="BJ284" s="214">
        <f t="shared" si="199"/>
        <v>0</v>
      </c>
      <c r="BK284" s="19">
        <f t="shared" si="215"/>
        <v>0</v>
      </c>
    </row>
    <row r="285" spans="1:63">
      <c r="A285" s="165">
        <f t="shared" si="200"/>
        <v>79.556125941136202</v>
      </c>
      <c r="B285" s="69">
        <f t="shared" si="201"/>
        <v>18</v>
      </c>
      <c r="C285" s="70">
        <f t="shared" si="202"/>
        <v>211</v>
      </c>
      <c r="D285" s="13">
        <f t="shared" si="171"/>
        <v>4.8675505653430484E-3</v>
      </c>
      <c r="E285" s="15">
        <f t="shared" si="172"/>
        <v>1</v>
      </c>
      <c r="F285" s="15">
        <f t="shared" si="203"/>
        <v>0</v>
      </c>
      <c r="G285" s="15">
        <f t="shared" si="173"/>
        <v>0</v>
      </c>
      <c r="H285" s="73">
        <f t="shared" si="174"/>
        <v>0</v>
      </c>
      <c r="I285" s="189"/>
      <c r="J285" s="189"/>
      <c r="K285" s="5">
        <f t="shared" si="216"/>
        <v>157524.58193006777</v>
      </c>
      <c r="M285" s="5">
        <f t="shared" si="175"/>
        <v>766.75886782912869</v>
      </c>
      <c r="N285" s="5">
        <f t="shared" si="176"/>
        <v>-260.65457568782961</v>
      </c>
      <c r="O285" s="5">
        <f t="shared" si="177"/>
        <v>0</v>
      </c>
      <c r="P285" s="5">
        <f t="shared" si="178"/>
        <v>0</v>
      </c>
      <c r="Q285" s="5">
        <f t="shared" si="212"/>
        <v>0</v>
      </c>
      <c r="R285" s="5">
        <f t="shared" si="204"/>
        <v>0</v>
      </c>
      <c r="S285" s="5">
        <f t="shared" si="179"/>
        <v>0</v>
      </c>
      <c r="T285" s="5">
        <f t="shared" si="180"/>
        <v>0</v>
      </c>
      <c r="U285" s="74">
        <f t="shared" si="181"/>
        <v>0</v>
      </c>
      <c r="V285" s="75">
        <f t="shared" si="182"/>
        <v>0</v>
      </c>
      <c r="W285" s="5">
        <f t="shared" si="183"/>
        <v>0</v>
      </c>
      <c r="X285" s="5">
        <f t="shared" si="184"/>
        <v>158030.68622220907</v>
      </c>
      <c r="Y285" s="5">
        <f t="shared" si="205"/>
        <v>100000</v>
      </c>
      <c r="Z285" s="215">
        <f t="shared" si="185"/>
        <v>1</v>
      </c>
      <c r="AA285" s="216">
        <f t="shared" si="206"/>
        <v>0</v>
      </c>
      <c r="AB285" s="72">
        <f t="shared" si="213"/>
        <v>29840.358821905051</v>
      </c>
      <c r="AC285" s="72">
        <f t="shared" si="186"/>
        <v>0</v>
      </c>
      <c r="AD285" s="72">
        <f t="shared" si="187"/>
        <v>0</v>
      </c>
      <c r="AE285" s="72">
        <f t="shared" si="207"/>
        <v>-32.908064631828736</v>
      </c>
      <c r="AF285" s="70">
        <f t="shared" si="188"/>
        <v>0</v>
      </c>
      <c r="AG285" s="70">
        <f t="shared" si="189"/>
        <v>3550.6382948583123</v>
      </c>
      <c r="AH285" s="1">
        <f t="shared" ref="AH285:AS294" si="219">IF($B285&lt;=AH$74,1,0)</f>
        <v>0</v>
      </c>
      <c r="AI285" s="1">
        <f t="shared" si="219"/>
        <v>0</v>
      </c>
      <c r="AJ285" s="1">
        <f t="shared" si="219"/>
        <v>0</v>
      </c>
      <c r="AK285" s="1">
        <f t="shared" si="219"/>
        <v>0</v>
      </c>
      <c r="AL285" s="1">
        <f t="shared" si="219"/>
        <v>0</v>
      </c>
      <c r="AM285" s="1">
        <f t="shared" si="219"/>
        <v>0</v>
      </c>
      <c r="AN285" s="1">
        <f t="shared" si="219"/>
        <v>0</v>
      </c>
      <c r="AO285" s="1">
        <f t="shared" si="219"/>
        <v>1</v>
      </c>
      <c r="AP285" s="1">
        <f t="shared" si="219"/>
        <v>1</v>
      </c>
      <c r="AQ285" s="1">
        <f t="shared" si="219"/>
        <v>1</v>
      </c>
      <c r="AR285" s="1">
        <f t="shared" si="219"/>
        <v>1</v>
      </c>
      <c r="AS285" s="1">
        <f t="shared" si="219"/>
        <v>1</v>
      </c>
      <c r="AT285" s="39">
        <f t="shared" si="190"/>
        <v>158030.68622220907</v>
      </c>
      <c r="AU285" s="39">
        <f t="shared" si="208"/>
        <v>158030.68622220907</v>
      </c>
      <c r="AV285" s="39">
        <f t="shared" si="218"/>
        <v>0</v>
      </c>
      <c r="AW285" s="3">
        <f t="shared" si="191"/>
        <v>211</v>
      </c>
      <c r="AX285" s="69">
        <f t="shared" si="209"/>
        <v>0</v>
      </c>
      <c r="AY285" s="75">
        <f t="shared" si="192"/>
        <v>0</v>
      </c>
      <c r="AZ285" s="75">
        <f t="shared" si="193"/>
        <v>0</v>
      </c>
      <c r="BA285" s="75">
        <f t="shared" si="194"/>
        <v>0</v>
      </c>
      <c r="BB285" s="75">
        <f t="shared" si="195"/>
        <v>0</v>
      </c>
      <c r="BD285" s="214">
        <f t="shared" si="210"/>
        <v>194177.18646565248</v>
      </c>
      <c r="BE285" s="214">
        <f t="shared" si="196"/>
        <v>945.16727375760934</v>
      </c>
      <c r="BF285" s="214">
        <f t="shared" si="197"/>
        <v>-321.30332628929426</v>
      </c>
      <c r="BG285" s="224">
        <f t="shared" si="214"/>
        <v>0</v>
      </c>
      <c r="BH285" s="19">
        <f t="shared" si="211"/>
        <v>274478.97662243352</v>
      </c>
      <c r="BI285" s="214">
        <f t="shared" si="198"/>
        <v>1336.0402978333077</v>
      </c>
      <c r="BJ285" s="214">
        <f t="shared" si="199"/>
        <v>0</v>
      </c>
      <c r="BK285" s="19">
        <f t="shared" si="215"/>
        <v>0</v>
      </c>
    </row>
    <row r="286" spans="1:63">
      <c r="A286" s="165">
        <f t="shared" si="200"/>
        <v>79.639459274469544</v>
      </c>
      <c r="B286" s="69">
        <f t="shared" si="201"/>
        <v>18</v>
      </c>
      <c r="C286" s="70">
        <f t="shared" si="202"/>
        <v>212</v>
      </c>
      <c r="D286" s="13">
        <f t="shared" si="171"/>
        <v>4.8675505653430484E-3</v>
      </c>
      <c r="E286" s="15">
        <f t="shared" si="172"/>
        <v>1</v>
      </c>
      <c r="F286" s="15">
        <f t="shared" si="203"/>
        <v>0</v>
      </c>
      <c r="G286" s="15">
        <f t="shared" si="173"/>
        <v>0</v>
      </c>
      <c r="H286" s="73">
        <f t="shared" si="174"/>
        <v>0</v>
      </c>
      <c r="I286" s="189"/>
      <c r="J286" s="189"/>
      <c r="K286" s="5">
        <f t="shared" si="216"/>
        <v>158030.68622220907</v>
      </c>
      <c r="M286" s="5">
        <f t="shared" si="175"/>
        <v>769.22235606246363</v>
      </c>
      <c r="N286" s="5">
        <f t="shared" si="176"/>
        <v>-261.49202212257364</v>
      </c>
      <c r="O286" s="5">
        <f t="shared" si="177"/>
        <v>0</v>
      </c>
      <c r="P286" s="5">
        <f t="shared" si="178"/>
        <v>0</v>
      </c>
      <c r="Q286" s="5">
        <f t="shared" si="212"/>
        <v>0</v>
      </c>
      <c r="R286" s="5">
        <f t="shared" si="204"/>
        <v>0</v>
      </c>
      <c r="S286" s="5">
        <f t="shared" si="179"/>
        <v>0</v>
      </c>
      <c r="T286" s="5">
        <f t="shared" si="180"/>
        <v>0</v>
      </c>
      <c r="U286" s="74">
        <f t="shared" si="181"/>
        <v>0</v>
      </c>
      <c r="V286" s="75">
        <f t="shared" si="182"/>
        <v>0</v>
      </c>
      <c r="W286" s="5">
        <f t="shared" si="183"/>
        <v>0</v>
      </c>
      <c r="X286" s="5">
        <f t="shared" si="184"/>
        <v>158538.41655614896</v>
      </c>
      <c r="Y286" s="5">
        <f t="shared" si="205"/>
        <v>100000</v>
      </c>
      <c r="Z286" s="215">
        <f t="shared" si="185"/>
        <v>1</v>
      </c>
      <c r="AA286" s="216">
        <f t="shared" si="206"/>
        <v>0</v>
      </c>
      <c r="AB286" s="72">
        <f t="shared" si="213"/>
        <v>29840.358821905051</v>
      </c>
      <c r="AC286" s="72">
        <f t="shared" si="186"/>
        <v>0</v>
      </c>
      <c r="AD286" s="72">
        <f t="shared" si="187"/>
        <v>0</v>
      </c>
      <c r="AE286" s="72">
        <f t="shared" si="207"/>
        <v>-33.013793607917222</v>
      </c>
      <c r="AF286" s="70">
        <f t="shared" si="188"/>
        <v>0</v>
      </c>
      <c r="AG286" s="70">
        <f t="shared" si="189"/>
        <v>3743.5758217554758</v>
      </c>
      <c r="AH286" s="1">
        <f t="shared" si="219"/>
        <v>0</v>
      </c>
      <c r="AI286" s="1">
        <f t="shared" si="219"/>
        <v>0</v>
      </c>
      <c r="AJ286" s="1">
        <f t="shared" si="219"/>
        <v>0</v>
      </c>
      <c r="AK286" s="1">
        <f t="shared" si="219"/>
        <v>0</v>
      </c>
      <c r="AL286" s="1">
        <f t="shared" si="219"/>
        <v>0</v>
      </c>
      <c r="AM286" s="1">
        <f t="shared" si="219"/>
        <v>0</v>
      </c>
      <c r="AN286" s="1">
        <f t="shared" si="219"/>
        <v>0</v>
      </c>
      <c r="AO286" s="1">
        <f t="shared" si="219"/>
        <v>1</v>
      </c>
      <c r="AP286" s="1">
        <f t="shared" si="219"/>
        <v>1</v>
      </c>
      <c r="AQ286" s="1">
        <f t="shared" si="219"/>
        <v>1</v>
      </c>
      <c r="AR286" s="1">
        <f t="shared" si="219"/>
        <v>1</v>
      </c>
      <c r="AS286" s="1">
        <f t="shared" si="219"/>
        <v>1</v>
      </c>
      <c r="AT286" s="39">
        <f t="shared" si="190"/>
        <v>158538.41655614896</v>
      </c>
      <c r="AU286" s="39">
        <f t="shared" si="208"/>
        <v>158538.41655614896</v>
      </c>
      <c r="AV286" s="39">
        <f t="shared" si="218"/>
        <v>0</v>
      </c>
      <c r="AW286" s="3">
        <f t="shared" si="191"/>
        <v>212</v>
      </c>
      <c r="AX286" s="69">
        <f t="shared" si="209"/>
        <v>0</v>
      </c>
      <c r="AY286" s="75">
        <f t="shared" si="192"/>
        <v>0</v>
      </c>
      <c r="AZ286" s="75">
        <f t="shared" si="193"/>
        <v>0</v>
      </c>
      <c r="BA286" s="75">
        <f t="shared" si="194"/>
        <v>0</v>
      </c>
      <c r="BB286" s="75">
        <f t="shared" si="195"/>
        <v>0</v>
      </c>
      <c r="BD286" s="214">
        <f t="shared" si="210"/>
        <v>194801.0504131208</v>
      </c>
      <c r="BE286" s="214">
        <f t="shared" si="196"/>
        <v>948.20396306780583</v>
      </c>
      <c r="BF286" s="214">
        <f t="shared" si="197"/>
        <v>-322.33562861647312</v>
      </c>
      <c r="BG286" s="224">
        <f t="shared" si="214"/>
        <v>0</v>
      </c>
      <c r="BH286" s="19">
        <f t="shared" si="211"/>
        <v>275815.01692026685</v>
      </c>
      <c r="BI286" s="214">
        <f t="shared" si="198"/>
        <v>1342.5435415403474</v>
      </c>
      <c r="BJ286" s="214">
        <f t="shared" si="199"/>
        <v>0</v>
      </c>
      <c r="BK286" s="19">
        <f t="shared" si="215"/>
        <v>0</v>
      </c>
    </row>
    <row r="287" spans="1:63">
      <c r="A287" s="165">
        <f t="shared" si="200"/>
        <v>79.722792607802873</v>
      </c>
      <c r="B287" s="69">
        <f t="shared" si="201"/>
        <v>18</v>
      </c>
      <c r="C287" s="70">
        <f t="shared" si="202"/>
        <v>213</v>
      </c>
      <c r="D287" s="13">
        <f t="shared" si="171"/>
        <v>4.8675505653430484E-3</v>
      </c>
      <c r="E287" s="15">
        <f t="shared" si="172"/>
        <v>1</v>
      </c>
      <c r="F287" s="15">
        <f t="shared" si="203"/>
        <v>0</v>
      </c>
      <c r="G287" s="15">
        <f t="shared" si="173"/>
        <v>0</v>
      </c>
      <c r="H287" s="73">
        <f t="shared" si="174"/>
        <v>0</v>
      </c>
      <c r="I287" s="189"/>
      <c r="J287" s="189"/>
      <c r="K287" s="5">
        <f t="shared" si="216"/>
        <v>158538.41655614896</v>
      </c>
      <c r="M287" s="5">
        <f t="shared" si="175"/>
        <v>771.69375913647457</v>
      </c>
      <c r="N287" s="5">
        <f t="shared" si="176"/>
        <v>-262.33215915474619</v>
      </c>
      <c r="O287" s="5">
        <f t="shared" si="177"/>
        <v>0</v>
      </c>
      <c r="P287" s="5">
        <f t="shared" si="178"/>
        <v>0</v>
      </c>
      <c r="Q287" s="5">
        <f t="shared" si="212"/>
        <v>0</v>
      </c>
      <c r="R287" s="5">
        <f t="shared" si="204"/>
        <v>0</v>
      </c>
      <c r="S287" s="5">
        <f t="shared" si="179"/>
        <v>0</v>
      </c>
      <c r="T287" s="5">
        <f t="shared" si="180"/>
        <v>0</v>
      </c>
      <c r="U287" s="74">
        <f t="shared" si="181"/>
        <v>0</v>
      </c>
      <c r="V287" s="75">
        <f t="shared" si="182"/>
        <v>0</v>
      </c>
      <c r="W287" s="5">
        <f t="shared" si="183"/>
        <v>0</v>
      </c>
      <c r="X287" s="5">
        <f t="shared" si="184"/>
        <v>159047.77815613069</v>
      </c>
      <c r="Y287" s="5">
        <f t="shared" si="205"/>
        <v>100000</v>
      </c>
      <c r="Z287" s="215">
        <f t="shared" si="185"/>
        <v>1</v>
      </c>
      <c r="AA287" s="216">
        <f t="shared" si="206"/>
        <v>0</v>
      </c>
      <c r="AB287" s="72">
        <f t="shared" si="213"/>
        <v>29840.358821905051</v>
      </c>
      <c r="AC287" s="72">
        <f t="shared" si="186"/>
        <v>0</v>
      </c>
      <c r="AD287" s="72">
        <f t="shared" si="187"/>
        <v>0</v>
      </c>
      <c r="AE287" s="72">
        <f t="shared" si="207"/>
        <v>-33.119862276312432</v>
      </c>
      <c r="AF287" s="70">
        <f t="shared" si="188"/>
        <v>0</v>
      </c>
      <c r="AG287" s="70">
        <f t="shared" si="189"/>
        <v>3937.1332297485278</v>
      </c>
      <c r="AH287" s="1">
        <f t="shared" si="219"/>
        <v>0</v>
      </c>
      <c r="AI287" s="1">
        <f t="shared" si="219"/>
        <v>0</v>
      </c>
      <c r="AJ287" s="1">
        <f t="shared" si="219"/>
        <v>0</v>
      </c>
      <c r="AK287" s="1">
        <f t="shared" si="219"/>
        <v>0</v>
      </c>
      <c r="AL287" s="1">
        <f t="shared" si="219"/>
        <v>0</v>
      </c>
      <c r="AM287" s="1">
        <f t="shared" si="219"/>
        <v>0</v>
      </c>
      <c r="AN287" s="1">
        <f t="shared" si="219"/>
        <v>0</v>
      </c>
      <c r="AO287" s="1">
        <f t="shared" si="219"/>
        <v>1</v>
      </c>
      <c r="AP287" s="1">
        <f t="shared" si="219"/>
        <v>1</v>
      </c>
      <c r="AQ287" s="1">
        <f t="shared" si="219"/>
        <v>1</v>
      </c>
      <c r="AR287" s="1">
        <f t="shared" si="219"/>
        <v>1</v>
      </c>
      <c r="AS287" s="1">
        <f t="shared" si="219"/>
        <v>1</v>
      </c>
      <c r="AT287" s="39">
        <f t="shared" si="190"/>
        <v>159047.77815613069</v>
      </c>
      <c r="AU287" s="39">
        <f t="shared" si="208"/>
        <v>159047.77815613069</v>
      </c>
      <c r="AV287" s="39">
        <f t="shared" si="218"/>
        <v>0</v>
      </c>
      <c r="AW287" s="3">
        <f t="shared" si="191"/>
        <v>213</v>
      </c>
      <c r="AX287" s="69">
        <f t="shared" si="209"/>
        <v>0</v>
      </c>
      <c r="AY287" s="75">
        <f t="shared" si="192"/>
        <v>0</v>
      </c>
      <c r="AZ287" s="75">
        <f t="shared" si="193"/>
        <v>0</v>
      </c>
      <c r="BA287" s="75">
        <f t="shared" si="194"/>
        <v>0</v>
      </c>
      <c r="BB287" s="75">
        <f t="shared" si="195"/>
        <v>0</v>
      </c>
      <c r="BD287" s="214">
        <f t="shared" si="210"/>
        <v>195426.91874757214</v>
      </c>
      <c r="BE287" s="214">
        <f t="shared" si="196"/>
        <v>951.25040883299471</v>
      </c>
      <c r="BF287" s="214">
        <f t="shared" si="197"/>
        <v>-323.37124758561458</v>
      </c>
      <c r="BG287" s="224">
        <f t="shared" si="214"/>
        <v>0</v>
      </c>
      <c r="BH287" s="19">
        <f t="shared" si="211"/>
        <v>277157.56046180718</v>
      </c>
      <c r="BI287" s="214">
        <f t="shared" si="198"/>
        <v>1349.0784401149697</v>
      </c>
      <c r="BJ287" s="214">
        <f t="shared" si="199"/>
        <v>0</v>
      </c>
      <c r="BK287" s="19">
        <f t="shared" si="215"/>
        <v>0</v>
      </c>
    </row>
    <row r="288" spans="1:63">
      <c r="A288" s="165">
        <f t="shared" si="200"/>
        <v>79.806125941136202</v>
      </c>
      <c r="B288" s="69">
        <f t="shared" si="201"/>
        <v>18</v>
      </c>
      <c r="C288" s="70">
        <f t="shared" si="202"/>
        <v>214</v>
      </c>
      <c r="D288" s="13">
        <f t="shared" si="171"/>
        <v>4.8675505653430484E-3</v>
      </c>
      <c r="E288" s="15">
        <f t="shared" si="172"/>
        <v>1</v>
      </c>
      <c r="F288" s="15">
        <f t="shared" si="203"/>
        <v>0</v>
      </c>
      <c r="G288" s="15">
        <f t="shared" si="173"/>
        <v>0</v>
      </c>
      <c r="H288" s="73">
        <f t="shared" si="174"/>
        <v>0</v>
      </c>
      <c r="I288" s="189"/>
      <c r="J288" s="189"/>
      <c r="K288" s="5">
        <f t="shared" si="216"/>
        <v>159047.77815613069</v>
      </c>
      <c r="M288" s="5">
        <f t="shared" si="175"/>
        <v>774.17310248042975</v>
      </c>
      <c r="N288" s="5">
        <f t="shared" si="176"/>
        <v>-263.1749954288577</v>
      </c>
      <c r="O288" s="5">
        <f t="shared" si="177"/>
        <v>0</v>
      </c>
      <c r="P288" s="5">
        <f t="shared" si="178"/>
        <v>0</v>
      </c>
      <c r="Q288" s="5">
        <f t="shared" si="212"/>
        <v>0</v>
      </c>
      <c r="R288" s="5">
        <f t="shared" si="204"/>
        <v>0</v>
      </c>
      <c r="S288" s="5">
        <f t="shared" si="179"/>
        <v>0</v>
      </c>
      <c r="T288" s="5">
        <f t="shared" si="180"/>
        <v>0</v>
      </c>
      <c r="U288" s="74">
        <f t="shared" si="181"/>
        <v>0</v>
      </c>
      <c r="V288" s="75">
        <f t="shared" si="182"/>
        <v>0</v>
      </c>
      <c r="W288" s="5">
        <f t="shared" si="183"/>
        <v>0</v>
      </c>
      <c r="X288" s="5">
        <f t="shared" si="184"/>
        <v>159558.77626318226</v>
      </c>
      <c r="Y288" s="5">
        <f t="shared" si="205"/>
        <v>100000</v>
      </c>
      <c r="Z288" s="215">
        <f t="shared" si="185"/>
        <v>1</v>
      </c>
      <c r="AA288" s="216">
        <f t="shared" si="206"/>
        <v>0</v>
      </c>
      <c r="AB288" s="72">
        <f t="shared" si="213"/>
        <v>29840.358821905051</v>
      </c>
      <c r="AC288" s="72">
        <f t="shared" si="186"/>
        <v>0</v>
      </c>
      <c r="AD288" s="72">
        <f t="shared" si="187"/>
        <v>0</v>
      </c>
      <c r="AE288" s="72">
        <f t="shared" si="207"/>
        <v>-33.22627172839789</v>
      </c>
      <c r="AF288" s="70">
        <f t="shared" si="188"/>
        <v>0</v>
      </c>
      <c r="AG288" s="70">
        <f t="shared" si="189"/>
        <v>4131.3125104281207</v>
      </c>
      <c r="AH288" s="1">
        <f t="shared" si="219"/>
        <v>0</v>
      </c>
      <c r="AI288" s="1">
        <f t="shared" si="219"/>
        <v>0</v>
      </c>
      <c r="AJ288" s="1">
        <f t="shared" si="219"/>
        <v>0</v>
      </c>
      <c r="AK288" s="1">
        <f t="shared" si="219"/>
        <v>0</v>
      </c>
      <c r="AL288" s="1">
        <f t="shared" si="219"/>
        <v>0</v>
      </c>
      <c r="AM288" s="1">
        <f t="shared" si="219"/>
        <v>0</v>
      </c>
      <c r="AN288" s="1">
        <f t="shared" si="219"/>
        <v>0</v>
      </c>
      <c r="AO288" s="1">
        <f t="shared" si="219"/>
        <v>1</v>
      </c>
      <c r="AP288" s="1">
        <f t="shared" si="219"/>
        <v>1</v>
      </c>
      <c r="AQ288" s="1">
        <f t="shared" si="219"/>
        <v>1</v>
      </c>
      <c r="AR288" s="1">
        <f t="shared" si="219"/>
        <v>1</v>
      </c>
      <c r="AS288" s="1">
        <f t="shared" si="219"/>
        <v>1</v>
      </c>
      <c r="AT288" s="39">
        <f t="shared" si="190"/>
        <v>159558.77626318226</v>
      </c>
      <c r="AU288" s="39">
        <f t="shared" si="208"/>
        <v>159558.77626318226</v>
      </c>
      <c r="AV288" s="39">
        <f t="shared" si="218"/>
        <v>0</v>
      </c>
      <c r="AW288" s="3">
        <f t="shared" si="191"/>
        <v>214</v>
      </c>
      <c r="AX288" s="69">
        <f t="shared" si="209"/>
        <v>0</v>
      </c>
      <c r="AY288" s="75">
        <f t="shared" si="192"/>
        <v>0</v>
      </c>
      <c r="AZ288" s="75">
        <f t="shared" si="193"/>
        <v>0</v>
      </c>
      <c r="BA288" s="75">
        <f t="shared" si="194"/>
        <v>0</v>
      </c>
      <c r="BB288" s="75">
        <f t="shared" si="195"/>
        <v>0</v>
      </c>
      <c r="BD288" s="214">
        <f t="shared" si="210"/>
        <v>196054.79790881954</v>
      </c>
      <c r="BE288" s="214">
        <f t="shared" si="196"/>
        <v>954.30664239929172</v>
      </c>
      <c r="BF288" s="214">
        <f t="shared" si="197"/>
        <v>-324.41019385262217</v>
      </c>
      <c r="BG288" s="224">
        <f t="shared" si="214"/>
        <v>0</v>
      </c>
      <c r="BH288" s="19">
        <f t="shared" si="211"/>
        <v>278506.63890192215</v>
      </c>
      <c r="BI288" s="214">
        <f t="shared" si="198"/>
        <v>1355.6451476388434</v>
      </c>
      <c r="BJ288" s="214">
        <f t="shared" si="199"/>
        <v>0</v>
      </c>
      <c r="BK288" s="19">
        <f t="shared" si="215"/>
        <v>0</v>
      </c>
    </row>
    <row r="289" spans="1:63">
      <c r="A289" s="165">
        <f t="shared" si="200"/>
        <v>79.889459274469544</v>
      </c>
      <c r="B289" s="69">
        <f t="shared" si="201"/>
        <v>18</v>
      </c>
      <c r="C289" s="70">
        <f t="shared" si="202"/>
        <v>215</v>
      </c>
      <c r="D289" s="13">
        <f t="shared" si="171"/>
        <v>4.8675505653430484E-3</v>
      </c>
      <c r="E289" s="15">
        <f t="shared" si="172"/>
        <v>1</v>
      </c>
      <c r="F289" s="15">
        <f t="shared" si="203"/>
        <v>0</v>
      </c>
      <c r="G289" s="15">
        <f t="shared" si="173"/>
        <v>0</v>
      </c>
      <c r="H289" s="73">
        <f t="shared" si="174"/>
        <v>0</v>
      </c>
      <c r="I289" s="189"/>
      <c r="J289" s="189"/>
      <c r="K289" s="5">
        <f t="shared" si="216"/>
        <v>159558.77626318226</v>
      </c>
      <c r="M289" s="5">
        <f t="shared" si="175"/>
        <v>776.66041160529778</v>
      </c>
      <c r="N289" s="5">
        <f t="shared" si="176"/>
        <v>-264.02053961719236</v>
      </c>
      <c r="O289" s="5">
        <f t="shared" si="177"/>
        <v>0</v>
      </c>
      <c r="P289" s="5">
        <f t="shared" si="178"/>
        <v>0</v>
      </c>
      <c r="Q289" s="5">
        <f t="shared" si="212"/>
        <v>0</v>
      </c>
      <c r="R289" s="5">
        <f t="shared" si="204"/>
        <v>0</v>
      </c>
      <c r="S289" s="5">
        <f t="shared" si="179"/>
        <v>0</v>
      </c>
      <c r="T289" s="5">
        <f t="shared" si="180"/>
        <v>0</v>
      </c>
      <c r="U289" s="74">
        <f t="shared" si="181"/>
        <v>0</v>
      </c>
      <c r="V289" s="75">
        <f t="shared" si="182"/>
        <v>0</v>
      </c>
      <c r="W289" s="5">
        <f t="shared" si="183"/>
        <v>0</v>
      </c>
      <c r="X289" s="5">
        <f t="shared" si="184"/>
        <v>160071.41613517035</v>
      </c>
      <c r="Y289" s="5">
        <f t="shared" si="205"/>
        <v>100000</v>
      </c>
      <c r="Z289" s="215">
        <f t="shared" si="185"/>
        <v>1</v>
      </c>
      <c r="AA289" s="216">
        <f t="shared" si="206"/>
        <v>0</v>
      </c>
      <c r="AB289" s="72">
        <f t="shared" si="213"/>
        <v>29840.358821905051</v>
      </c>
      <c r="AC289" s="72">
        <f t="shared" si="186"/>
        <v>0</v>
      </c>
      <c r="AD289" s="72">
        <f t="shared" si="187"/>
        <v>0</v>
      </c>
      <c r="AE289" s="72">
        <f t="shared" si="207"/>
        <v>-33.333023059063613</v>
      </c>
      <c r="AF289" s="70">
        <f t="shared" si="188"/>
        <v>0</v>
      </c>
      <c r="AG289" s="70">
        <f t="shared" si="189"/>
        <v>4326.1156617836023</v>
      </c>
      <c r="AH289" s="1">
        <f t="shared" si="219"/>
        <v>0</v>
      </c>
      <c r="AI289" s="1">
        <f t="shared" si="219"/>
        <v>0</v>
      </c>
      <c r="AJ289" s="1">
        <f t="shared" si="219"/>
        <v>0</v>
      </c>
      <c r="AK289" s="1">
        <f t="shared" si="219"/>
        <v>0</v>
      </c>
      <c r="AL289" s="1">
        <f t="shared" si="219"/>
        <v>0</v>
      </c>
      <c r="AM289" s="1">
        <f t="shared" si="219"/>
        <v>0</v>
      </c>
      <c r="AN289" s="1">
        <f t="shared" si="219"/>
        <v>0</v>
      </c>
      <c r="AO289" s="1">
        <f t="shared" si="219"/>
        <v>1</v>
      </c>
      <c r="AP289" s="1">
        <f t="shared" si="219"/>
        <v>1</v>
      </c>
      <c r="AQ289" s="1">
        <f t="shared" si="219"/>
        <v>1</v>
      </c>
      <c r="AR289" s="1">
        <f t="shared" si="219"/>
        <v>1</v>
      </c>
      <c r="AS289" s="1">
        <f t="shared" si="219"/>
        <v>1</v>
      </c>
      <c r="AT289" s="39">
        <f t="shared" si="190"/>
        <v>160071.41613517035</v>
      </c>
      <c r="AU289" s="39">
        <f t="shared" si="208"/>
        <v>160071.41613517035</v>
      </c>
      <c r="AV289" s="39">
        <f t="shared" si="218"/>
        <v>0</v>
      </c>
      <c r="AW289" s="3">
        <f t="shared" si="191"/>
        <v>215</v>
      </c>
      <c r="AX289" s="69">
        <f t="shared" si="209"/>
        <v>0</v>
      </c>
      <c r="AY289" s="75">
        <f t="shared" si="192"/>
        <v>0</v>
      </c>
      <c r="AZ289" s="75">
        <f t="shared" si="193"/>
        <v>0</v>
      </c>
      <c r="BA289" s="75">
        <f t="shared" si="194"/>
        <v>0</v>
      </c>
      <c r="BB289" s="75">
        <f t="shared" si="195"/>
        <v>0</v>
      </c>
      <c r="BD289" s="214">
        <f t="shared" si="210"/>
        <v>196684.69435736621</v>
      </c>
      <c r="BE289" s="214">
        <f t="shared" si="196"/>
        <v>957.37269521352255</v>
      </c>
      <c r="BF289" s="214">
        <f t="shared" si="197"/>
        <v>-325.4524781076351</v>
      </c>
      <c r="BG289" s="224">
        <f t="shared" si="214"/>
        <v>0</v>
      </c>
      <c r="BH289" s="19">
        <f t="shared" si="211"/>
        <v>279862.28404956101</v>
      </c>
      <c r="BI289" s="214">
        <f t="shared" si="198"/>
        <v>1362.2438189436375</v>
      </c>
      <c r="BJ289" s="214">
        <f t="shared" si="199"/>
        <v>0</v>
      </c>
      <c r="BK289" s="19">
        <f t="shared" si="215"/>
        <v>0</v>
      </c>
    </row>
    <row r="290" spans="1:63">
      <c r="A290" s="165">
        <f t="shared" si="200"/>
        <v>79.972792607802873</v>
      </c>
      <c r="B290" s="69">
        <f t="shared" si="201"/>
        <v>18</v>
      </c>
      <c r="C290" s="70">
        <f t="shared" si="202"/>
        <v>216</v>
      </c>
      <c r="D290" s="13">
        <f t="shared" si="171"/>
        <v>4.8675505653430484E-3</v>
      </c>
      <c r="E290" s="15">
        <f t="shared" si="172"/>
        <v>1</v>
      </c>
      <c r="F290" s="15">
        <f t="shared" si="203"/>
        <v>0</v>
      </c>
      <c r="G290" s="15">
        <f t="shared" si="173"/>
        <v>0</v>
      </c>
      <c r="H290" s="73">
        <f t="shared" si="174"/>
        <v>0</v>
      </c>
      <c r="I290" s="189"/>
      <c r="J290" s="189"/>
      <c r="K290" s="5">
        <f t="shared" si="216"/>
        <v>160071.41613517035</v>
      </c>
      <c r="M290" s="5">
        <f t="shared" si="175"/>
        <v>779.15571210401083</v>
      </c>
      <c r="N290" s="5">
        <f t="shared" si="176"/>
        <v>-264.86880041989701</v>
      </c>
      <c r="O290" s="5">
        <f t="shared" si="177"/>
        <v>0</v>
      </c>
      <c r="P290" s="5">
        <f t="shared" si="178"/>
        <v>0</v>
      </c>
      <c r="Q290" s="5">
        <f t="shared" si="212"/>
        <v>0</v>
      </c>
      <c r="R290" s="5">
        <f t="shared" si="204"/>
        <v>0</v>
      </c>
      <c r="S290" s="5">
        <f t="shared" si="179"/>
        <v>0</v>
      </c>
      <c r="T290" s="5">
        <f t="shared" si="180"/>
        <v>0</v>
      </c>
      <c r="U290" s="74">
        <f t="shared" si="181"/>
        <v>0</v>
      </c>
      <c r="V290" s="75">
        <f t="shared" si="182"/>
        <v>0</v>
      </c>
      <c r="W290" s="5">
        <f t="shared" si="183"/>
        <v>0</v>
      </c>
      <c r="X290" s="5">
        <f t="shared" si="184"/>
        <v>160585.70304685447</v>
      </c>
      <c r="Y290" s="5">
        <f t="shared" si="205"/>
        <v>100000</v>
      </c>
      <c r="Z290" s="215">
        <f t="shared" si="185"/>
        <v>1</v>
      </c>
      <c r="AA290" s="216">
        <f t="shared" si="206"/>
        <v>0</v>
      </c>
      <c r="AB290" s="72">
        <f t="shared" si="213"/>
        <v>29840.358821905051</v>
      </c>
      <c r="AC290" s="72">
        <f t="shared" si="186"/>
        <v>0</v>
      </c>
      <c r="AD290" s="72">
        <f t="shared" si="187"/>
        <v>0</v>
      </c>
      <c r="AE290" s="72">
        <f t="shared" si="207"/>
        <v>-33.440117366717288</v>
      </c>
      <c r="AF290" s="70">
        <f t="shared" si="188"/>
        <v>0</v>
      </c>
      <c r="AG290" s="70">
        <f t="shared" si="189"/>
        <v>4521.5446882235628</v>
      </c>
      <c r="AH290" s="1">
        <f t="shared" si="219"/>
        <v>0</v>
      </c>
      <c r="AI290" s="1">
        <f t="shared" si="219"/>
        <v>0</v>
      </c>
      <c r="AJ290" s="1">
        <f t="shared" si="219"/>
        <v>0</v>
      </c>
      <c r="AK290" s="1">
        <f t="shared" si="219"/>
        <v>0</v>
      </c>
      <c r="AL290" s="1">
        <f t="shared" si="219"/>
        <v>0</v>
      </c>
      <c r="AM290" s="1">
        <f t="shared" si="219"/>
        <v>0</v>
      </c>
      <c r="AN290" s="1">
        <f t="shared" si="219"/>
        <v>0</v>
      </c>
      <c r="AO290" s="1">
        <f t="shared" si="219"/>
        <v>1</v>
      </c>
      <c r="AP290" s="1">
        <f t="shared" si="219"/>
        <v>1</v>
      </c>
      <c r="AQ290" s="1">
        <f t="shared" si="219"/>
        <v>1</v>
      </c>
      <c r="AR290" s="1">
        <f t="shared" si="219"/>
        <v>1</v>
      </c>
      <c r="AS290" s="1">
        <f t="shared" si="219"/>
        <v>1</v>
      </c>
      <c r="AT290" s="39">
        <f t="shared" si="190"/>
        <v>160585.70304685447</v>
      </c>
      <c r="AU290" s="39">
        <f t="shared" si="208"/>
        <v>160585.70304685447</v>
      </c>
      <c r="AV290" s="39">
        <f t="shared" si="218"/>
        <v>0</v>
      </c>
      <c r="AW290" s="3">
        <f t="shared" si="191"/>
        <v>216</v>
      </c>
      <c r="AX290" s="69">
        <f t="shared" si="209"/>
        <v>0</v>
      </c>
      <c r="AY290" s="75">
        <f t="shared" si="192"/>
        <v>0</v>
      </c>
      <c r="AZ290" s="75">
        <f t="shared" si="193"/>
        <v>0</v>
      </c>
      <c r="BA290" s="75">
        <f t="shared" si="194"/>
        <v>0</v>
      </c>
      <c r="BB290" s="75">
        <f t="shared" si="195"/>
        <v>0</v>
      </c>
      <c r="BD290" s="214">
        <f t="shared" si="210"/>
        <v>197316.6145744721</v>
      </c>
      <c r="BE290" s="214">
        <f t="shared" si="196"/>
        <v>960.44859882354808</v>
      </c>
      <c r="BF290" s="214">
        <f t="shared" si="197"/>
        <v>-326.4981110751387</v>
      </c>
      <c r="BG290" s="224">
        <f t="shared" si="214"/>
        <v>0</v>
      </c>
      <c r="BH290" s="19">
        <f t="shared" si="211"/>
        <v>281224.52786850464</v>
      </c>
      <c r="BI290" s="214">
        <f t="shared" si="198"/>
        <v>1368.8746096146717</v>
      </c>
      <c r="BJ290" s="214">
        <f t="shared" si="199"/>
        <v>0</v>
      </c>
      <c r="BK290" s="19">
        <f t="shared" si="215"/>
        <v>0</v>
      </c>
    </row>
    <row r="291" spans="1:63">
      <c r="A291" s="165">
        <f t="shared" si="200"/>
        <v>80.056125941136202</v>
      </c>
      <c r="B291" s="69">
        <f t="shared" si="201"/>
        <v>19</v>
      </c>
      <c r="C291" s="70">
        <f t="shared" si="202"/>
        <v>217</v>
      </c>
      <c r="D291" s="13">
        <f t="shared" si="171"/>
        <v>4.8675505653430484E-3</v>
      </c>
      <c r="E291" s="15">
        <f t="shared" si="172"/>
        <v>1</v>
      </c>
      <c r="F291" s="15">
        <f t="shared" si="203"/>
        <v>0</v>
      </c>
      <c r="G291" s="15">
        <f t="shared" si="173"/>
        <v>0</v>
      </c>
      <c r="H291" s="73">
        <f t="shared" si="174"/>
        <v>0</v>
      </c>
      <c r="I291" s="189"/>
      <c r="J291" s="189"/>
      <c r="K291" s="5">
        <f t="shared" si="216"/>
        <v>160585.70304685447</v>
      </c>
      <c r="M291" s="5">
        <f t="shared" si="175"/>
        <v>781.65902965172734</v>
      </c>
      <c r="N291" s="5">
        <f t="shared" si="176"/>
        <v>-265.7197865650711</v>
      </c>
      <c r="O291" s="5">
        <f t="shared" si="177"/>
        <v>0</v>
      </c>
      <c r="P291" s="5">
        <f t="shared" si="178"/>
        <v>0</v>
      </c>
      <c r="Q291" s="5">
        <f t="shared" si="212"/>
        <v>0</v>
      </c>
      <c r="R291" s="5">
        <f t="shared" si="204"/>
        <v>0</v>
      </c>
      <c r="S291" s="5">
        <f t="shared" si="179"/>
        <v>0</v>
      </c>
      <c r="T291" s="5">
        <f t="shared" si="180"/>
        <v>0</v>
      </c>
      <c r="U291" s="74">
        <f t="shared" si="181"/>
        <v>0</v>
      </c>
      <c r="V291" s="75">
        <f t="shared" si="182"/>
        <v>0</v>
      </c>
      <c r="W291" s="5">
        <f t="shared" si="183"/>
        <v>0</v>
      </c>
      <c r="X291" s="5">
        <f t="shared" si="184"/>
        <v>161101.64228994111</v>
      </c>
      <c r="Y291" s="5">
        <f t="shared" si="205"/>
        <v>100000</v>
      </c>
      <c r="Z291" s="215">
        <f t="shared" si="185"/>
        <v>1</v>
      </c>
      <c r="AA291" s="216">
        <f t="shared" si="206"/>
        <v>0</v>
      </c>
      <c r="AB291" s="72">
        <f t="shared" si="213"/>
        <v>29840.358821905051</v>
      </c>
      <c r="AC291" s="72">
        <f t="shared" si="186"/>
        <v>0</v>
      </c>
      <c r="AD291" s="72">
        <f t="shared" si="187"/>
        <v>0</v>
      </c>
      <c r="AE291" s="72">
        <f t="shared" si="207"/>
        <v>-33.547555753295697</v>
      </c>
      <c r="AF291" s="70">
        <f t="shared" si="188"/>
        <v>0</v>
      </c>
      <c r="AG291" s="70">
        <f t="shared" si="189"/>
        <v>4717.6016005964921</v>
      </c>
      <c r="AH291" s="1">
        <f t="shared" si="219"/>
        <v>0</v>
      </c>
      <c r="AI291" s="1">
        <f t="shared" si="219"/>
        <v>0</v>
      </c>
      <c r="AJ291" s="1">
        <f t="shared" si="219"/>
        <v>0</v>
      </c>
      <c r="AK291" s="1">
        <f t="shared" si="219"/>
        <v>0</v>
      </c>
      <c r="AL291" s="1">
        <f t="shared" si="219"/>
        <v>0</v>
      </c>
      <c r="AM291" s="1">
        <f t="shared" si="219"/>
        <v>0</v>
      </c>
      <c r="AN291" s="1">
        <f t="shared" si="219"/>
        <v>0</v>
      </c>
      <c r="AO291" s="1">
        <f t="shared" si="219"/>
        <v>1</v>
      </c>
      <c r="AP291" s="1">
        <f t="shared" si="219"/>
        <v>1</v>
      </c>
      <c r="AQ291" s="1">
        <f t="shared" si="219"/>
        <v>1</v>
      </c>
      <c r="AR291" s="1">
        <f t="shared" si="219"/>
        <v>1</v>
      </c>
      <c r="AS291" s="1">
        <f t="shared" si="219"/>
        <v>1</v>
      </c>
      <c r="AT291" s="39">
        <f t="shared" si="190"/>
        <v>161101.64228994111</v>
      </c>
      <c r="AU291" s="39">
        <f t="shared" si="208"/>
        <v>161101.64228994111</v>
      </c>
      <c r="AV291" s="39">
        <f t="shared" si="218"/>
        <v>0</v>
      </c>
      <c r="AW291" s="3">
        <f t="shared" si="191"/>
        <v>217</v>
      </c>
      <c r="AX291" s="69">
        <f t="shared" si="209"/>
        <v>0</v>
      </c>
      <c r="AY291" s="75">
        <f t="shared" si="192"/>
        <v>0</v>
      </c>
      <c r="AZ291" s="75">
        <f t="shared" si="193"/>
        <v>0</v>
      </c>
      <c r="BA291" s="75">
        <f t="shared" si="194"/>
        <v>0</v>
      </c>
      <c r="BB291" s="75">
        <f t="shared" si="195"/>
        <v>0</v>
      </c>
      <c r="BD291" s="214">
        <f t="shared" si="210"/>
        <v>197950.5650622205</v>
      </c>
      <c r="BE291" s="214">
        <f t="shared" si="196"/>
        <v>963.53438487858728</v>
      </c>
      <c r="BF291" s="214">
        <f t="shared" si="197"/>
        <v>-327.54710351407442</v>
      </c>
      <c r="BG291" s="224">
        <f t="shared" si="214"/>
        <v>0</v>
      </c>
      <c r="BH291" s="19">
        <f t="shared" si="211"/>
        <v>282593.4024781193</v>
      </c>
      <c r="BI291" s="214">
        <f t="shared" si="198"/>
        <v>1375.5376759945852</v>
      </c>
      <c r="BJ291" s="214">
        <f t="shared" si="199"/>
        <v>0</v>
      </c>
      <c r="BK291" s="19">
        <f t="shared" si="215"/>
        <v>0</v>
      </c>
    </row>
    <row r="292" spans="1:63">
      <c r="A292" s="165">
        <f t="shared" si="200"/>
        <v>80.139459274469544</v>
      </c>
      <c r="B292" s="69">
        <f t="shared" si="201"/>
        <v>19</v>
      </c>
      <c r="C292" s="70">
        <f t="shared" si="202"/>
        <v>218</v>
      </c>
      <c r="D292" s="13">
        <f t="shared" si="171"/>
        <v>4.8675505653430484E-3</v>
      </c>
      <c r="E292" s="15">
        <f t="shared" si="172"/>
        <v>1</v>
      </c>
      <c r="F292" s="15">
        <f t="shared" si="203"/>
        <v>0</v>
      </c>
      <c r="G292" s="15">
        <f t="shared" si="173"/>
        <v>0</v>
      </c>
      <c r="H292" s="73">
        <f t="shared" si="174"/>
        <v>0</v>
      </c>
      <c r="I292" s="189"/>
      <c r="J292" s="189"/>
      <c r="K292" s="5">
        <f t="shared" si="216"/>
        <v>161101.64228994111</v>
      </c>
      <c r="M292" s="5">
        <f t="shared" si="175"/>
        <v>784.17039000609645</v>
      </c>
      <c r="N292" s="5">
        <f t="shared" si="176"/>
        <v>-266.573506808856</v>
      </c>
      <c r="O292" s="5">
        <f t="shared" si="177"/>
        <v>0</v>
      </c>
      <c r="P292" s="5">
        <f t="shared" si="178"/>
        <v>0</v>
      </c>
      <c r="Q292" s="5">
        <f t="shared" si="212"/>
        <v>0</v>
      </c>
      <c r="R292" s="5">
        <f t="shared" si="204"/>
        <v>0</v>
      </c>
      <c r="S292" s="5">
        <f t="shared" si="179"/>
        <v>0</v>
      </c>
      <c r="T292" s="5">
        <f t="shared" si="180"/>
        <v>0</v>
      </c>
      <c r="U292" s="74">
        <f t="shared" si="181"/>
        <v>0</v>
      </c>
      <c r="V292" s="75">
        <f t="shared" si="182"/>
        <v>0</v>
      </c>
      <c r="W292" s="5">
        <f t="shared" si="183"/>
        <v>0</v>
      </c>
      <c r="X292" s="5">
        <f t="shared" si="184"/>
        <v>161619.23917313834</v>
      </c>
      <c r="Y292" s="5">
        <f t="shared" si="205"/>
        <v>100000</v>
      </c>
      <c r="Z292" s="215">
        <f t="shared" si="185"/>
        <v>1</v>
      </c>
      <c r="AA292" s="216">
        <f t="shared" si="206"/>
        <v>0</v>
      </c>
      <c r="AB292" s="72">
        <f t="shared" si="213"/>
        <v>29840.358821905051</v>
      </c>
      <c r="AC292" s="72">
        <f t="shared" si="186"/>
        <v>0</v>
      </c>
      <c r="AD292" s="72">
        <f t="shared" si="187"/>
        <v>0</v>
      </c>
      <c r="AE292" s="72">
        <f t="shared" si="207"/>
        <v>-33.655339324275943</v>
      </c>
      <c r="AF292" s="70">
        <f t="shared" si="188"/>
        <v>0</v>
      </c>
      <c r="AG292" s="70">
        <f t="shared" si="189"/>
        <v>4914.2884162114351</v>
      </c>
      <c r="AH292" s="1">
        <f t="shared" si="219"/>
        <v>0</v>
      </c>
      <c r="AI292" s="1">
        <f t="shared" si="219"/>
        <v>0</v>
      </c>
      <c r="AJ292" s="1">
        <f t="shared" si="219"/>
        <v>0</v>
      </c>
      <c r="AK292" s="1">
        <f t="shared" si="219"/>
        <v>0</v>
      </c>
      <c r="AL292" s="1">
        <f t="shared" si="219"/>
        <v>0</v>
      </c>
      <c r="AM292" s="1">
        <f t="shared" si="219"/>
        <v>0</v>
      </c>
      <c r="AN292" s="1">
        <f t="shared" si="219"/>
        <v>0</v>
      </c>
      <c r="AO292" s="1">
        <f t="shared" si="219"/>
        <v>1</v>
      </c>
      <c r="AP292" s="1">
        <f t="shared" si="219"/>
        <v>1</v>
      </c>
      <c r="AQ292" s="1">
        <f t="shared" si="219"/>
        <v>1</v>
      </c>
      <c r="AR292" s="1">
        <f t="shared" si="219"/>
        <v>1</v>
      </c>
      <c r="AS292" s="1">
        <f t="shared" si="219"/>
        <v>1</v>
      </c>
      <c r="AT292" s="39">
        <f t="shared" si="190"/>
        <v>161619.23917313834</v>
      </c>
      <c r="AU292" s="39">
        <f t="shared" si="208"/>
        <v>161619.23917313834</v>
      </c>
      <c r="AV292" s="39">
        <f t="shared" si="218"/>
        <v>0</v>
      </c>
      <c r="AW292" s="3">
        <f t="shared" si="191"/>
        <v>218</v>
      </c>
      <c r="AX292" s="69">
        <f t="shared" si="209"/>
        <v>0</v>
      </c>
      <c r="AY292" s="75">
        <f t="shared" si="192"/>
        <v>0</v>
      </c>
      <c r="AZ292" s="75">
        <f t="shared" si="193"/>
        <v>0</v>
      </c>
      <c r="BA292" s="75">
        <f t="shared" si="194"/>
        <v>0</v>
      </c>
      <c r="BB292" s="75">
        <f t="shared" si="195"/>
        <v>0</v>
      </c>
      <c r="BD292" s="214">
        <f t="shared" si="210"/>
        <v>198586.552343585</v>
      </c>
      <c r="BE292" s="214">
        <f t="shared" si="196"/>
        <v>966.63008512954411</v>
      </c>
      <c r="BF292" s="214">
        <f t="shared" si="197"/>
        <v>-328.59946621795075</v>
      </c>
      <c r="BG292" s="224">
        <f t="shared" si="214"/>
        <v>0</v>
      </c>
      <c r="BH292" s="19">
        <f t="shared" si="211"/>
        <v>283968.94015411386</v>
      </c>
      <c r="BI292" s="214">
        <f t="shared" si="198"/>
        <v>1382.2331751870233</v>
      </c>
      <c r="BJ292" s="214">
        <f t="shared" si="199"/>
        <v>0</v>
      </c>
      <c r="BK292" s="19">
        <f t="shared" si="215"/>
        <v>0</v>
      </c>
    </row>
    <row r="293" spans="1:63">
      <c r="A293" s="165">
        <f t="shared" si="200"/>
        <v>80.222792607802873</v>
      </c>
      <c r="B293" s="69">
        <f t="shared" si="201"/>
        <v>19</v>
      </c>
      <c r="C293" s="70">
        <f t="shared" si="202"/>
        <v>219</v>
      </c>
      <c r="D293" s="13">
        <f t="shared" si="171"/>
        <v>4.8675505653430484E-3</v>
      </c>
      <c r="E293" s="15">
        <f t="shared" si="172"/>
        <v>1</v>
      </c>
      <c r="F293" s="15">
        <f t="shared" si="203"/>
        <v>0</v>
      </c>
      <c r="G293" s="15">
        <f t="shared" si="173"/>
        <v>0</v>
      </c>
      <c r="H293" s="73">
        <f t="shared" si="174"/>
        <v>0</v>
      </c>
      <c r="I293" s="189"/>
      <c r="J293" s="189"/>
      <c r="K293" s="5">
        <f t="shared" si="216"/>
        <v>161619.23917313834</v>
      </c>
      <c r="M293" s="5">
        <f t="shared" si="175"/>
        <v>786.68981900752283</v>
      </c>
      <c r="N293" s="5">
        <f t="shared" si="176"/>
        <v>-267.42996993552538</v>
      </c>
      <c r="O293" s="5">
        <f t="shared" si="177"/>
        <v>0</v>
      </c>
      <c r="P293" s="5">
        <f t="shared" si="178"/>
        <v>0</v>
      </c>
      <c r="Q293" s="5">
        <f t="shared" si="212"/>
        <v>0</v>
      </c>
      <c r="R293" s="5">
        <f t="shared" si="204"/>
        <v>0</v>
      </c>
      <c r="S293" s="5">
        <f t="shared" si="179"/>
        <v>0</v>
      </c>
      <c r="T293" s="5">
        <f t="shared" si="180"/>
        <v>0</v>
      </c>
      <c r="U293" s="74">
        <f t="shared" si="181"/>
        <v>0</v>
      </c>
      <c r="V293" s="75">
        <f t="shared" si="182"/>
        <v>0</v>
      </c>
      <c r="W293" s="5">
        <f t="shared" si="183"/>
        <v>0</v>
      </c>
      <c r="X293" s="5">
        <f t="shared" si="184"/>
        <v>162138.49902221034</v>
      </c>
      <c r="Y293" s="5">
        <f t="shared" si="205"/>
        <v>100000</v>
      </c>
      <c r="Z293" s="215">
        <f t="shared" si="185"/>
        <v>1</v>
      </c>
      <c r="AA293" s="216">
        <f t="shared" si="206"/>
        <v>0</v>
      </c>
      <c r="AB293" s="72">
        <f t="shared" si="213"/>
        <v>29840.358821905051</v>
      </c>
      <c r="AC293" s="72">
        <f t="shared" si="186"/>
        <v>0</v>
      </c>
      <c r="AD293" s="72">
        <f t="shared" si="187"/>
        <v>0</v>
      </c>
      <c r="AE293" s="72">
        <f t="shared" si="207"/>
        <v>-33.763469188686877</v>
      </c>
      <c r="AF293" s="70">
        <f t="shared" si="188"/>
        <v>0</v>
      </c>
      <c r="AG293" s="70">
        <f t="shared" si="189"/>
        <v>5111.6071588587947</v>
      </c>
      <c r="AH293" s="1">
        <f t="shared" si="219"/>
        <v>0</v>
      </c>
      <c r="AI293" s="1">
        <f t="shared" si="219"/>
        <v>0</v>
      </c>
      <c r="AJ293" s="1">
        <f t="shared" si="219"/>
        <v>0</v>
      </c>
      <c r="AK293" s="1">
        <f t="shared" si="219"/>
        <v>0</v>
      </c>
      <c r="AL293" s="1">
        <f t="shared" si="219"/>
        <v>0</v>
      </c>
      <c r="AM293" s="1">
        <f t="shared" si="219"/>
        <v>0</v>
      </c>
      <c r="AN293" s="1">
        <f t="shared" si="219"/>
        <v>0</v>
      </c>
      <c r="AO293" s="1">
        <f t="shared" si="219"/>
        <v>1</v>
      </c>
      <c r="AP293" s="1">
        <f t="shared" si="219"/>
        <v>1</v>
      </c>
      <c r="AQ293" s="1">
        <f t="shared" si="219"/>
        <v>1</v>
      </c>
      <c r="AR293" s="1">
        <f t="shared" si="219"/>
        <v>1</v>
      </c>
      <c r="AS293" s="1">
        <f t="shared" si="219"/>
        <v>1</v>
      </c>
      <c r="AT293" s="39">
        <f t="shared" si="190"/>
        <v>162138.49902221034</v>
      </c>
      <c r="AU293" s="39">
        <f t="shared" si="208"/>
        <v>162138.49902221034</v>
      </c>
      <c r="AV293" s="39">
        <f t="shared" si="218"/>
        <v>0</v>
      </c>
      <c r="AW293" s="3">
        <f t="shared" si="191"/>
        <v>219</v>
      </c>
      <c r="AX293" s="69">
        <f t="shared" si="209"/>
        <v>0</v>
      </c>
      <c r="AY293" s="75">
        <f t="shared" si="192"/>
        <v>0</v>
      </c>
      <c r="AZ293" s="75">
        <f t="shared" si="193"/>
        <v>0</v>
      </c>
      <c r="BA293" s="75">
        <f t="shared" si="194"/>
        <v>0</v>
      </c>
      <c r="BB293" s="75">
        <f t="shared" si="195"/>
        <v>0</v>
      </c>
      <c r="BD293" s="214">
        <f t="shared" si="210"/>
        <v>199224.58296249661</v>
      </c>
      <c r="BE293" s="214">
        <f t="shared" si="196"/>
        <v>969.73573142933344</v>
      </c>
      <c r="BF293" s="214">
        <f t="shared" si="197"/>
        <v>-329.65521001495438</v>
      </c>
      <c r="BG293" s="224">
        <f t="shared" si="214"/>
        <v>0</v>
      </c>
      <c r="BH293" s="19">
        <f t="shared" si="211"/>
        <v>285351.17332930089</v>
      </c>
      <c r="BI293" s="214">
        <f t="shared" si="198"/>
        <v>1388.9612650603408</v>
      </c>
      <c r="BJ293" s="214">
        <f t="shared" si="199"/>
        <v>0</v>
      </c>
      <c r="BK293" s="19">
        <f t="shared" si="215"/>
        <v>0</v>
      </c>
    </row>
    <row r="294" spans="1:63">
      <c r="A294" s="165">
        <f t="shared" si="200"/>
        <v>80.306125941136202</v>
      </c>
      <c r="B294" s="69">
        <f t="shared" si="201"/>
        <v>19</v>
      </c>
      <c r="C294" s="70">
        <f t="shared" si="202"/>
        <v>220</v>
      </c>
      <c r="D294" s="13">
        <f t="shared" si="171"/>
        <v>4.8675505653430484E-3</v>
      </c>
      <c r="E294" s="15">
        <f t="shared" si="172"/>
        <v>1</v>
      </c>
      <c r="F294" s="15">
        <f t="shared" si="203"/>
        <v>0</v>
      </c>
      <c r="G294" s="15">
        <f t="shared" si="173"/>
        <v>0</v>
      </c>
      <c r="H294" s="73">
        <f t="shared" si="174"/>
        <v>0</v>
      </c>
      <c r="I294" s="189"/>
      <c r="J294" s="189"/>
      <c r="K294" s="5">
        <f t="shared" si="216"/>
        <v>162138.49902221034</v>
      </c>
      <c r="M294" s="5">
        <f t="shared" si="175"/>
        <v>789.21734257943319</v>
      </c>
      <c r="N294" s="5">
        <f t="shared" si="176"/>
        <v>-268.2891847575757</v>
      </c>
      <c r="O294" s="5">
        <f t="shared" si="177"/>
        <v>0</v>
      </c>
      <c r="P294" s="5">
        <f t="shared" si="178"/>
        <v>0</v>
      </c>
      <c r="Q294" s="5">
        <f t="shared" si="212"/>
        <v>0</v>
      </c>
      <c r="R294" s="5">
        <f t="shared" si="204"/>
        <v>0</v>
      </c>
      <c r="S294" s="5">
        <f t="shared" si="179"/>
        <v>0</v>
      </c>
      <c r="T294" s="5">
        <f t="shared" si="180"/>
        <v>0</v>
      </c>
      <c r="U294" s="74">
        <f t="shared" si="181"/>
        <v>0</v>
      </c>
      <c r="V294" s="75">
        <f t="shared" si="182"/>
        <v>0</v>
      </c>
      <c r="W294" s="5">
        <f t="shared" si="183"/>
        <v>0</v>
      </c>
      <c r="X294" s="5">
        <f t="shared" si="184"/>
        <v>162659.42718003222</v>
      </c>
      <c r="Y294" s="5">
        <f t="shared" si="205"/>
        <v>100000</v>
      </c>
      <c r="Z294" s="215">
        <f t="shared" si="185"/>
        <v>1</v>
      </c>
      <c r="AA294" s="216">
        <f t="shared" si="206"/>
        <v>0</v>
      </c>
      <c r="AB294" s="72">
        <f t="shared" si="213"/>
        <v>29840.358821905051</v>
      </c>
      <c r="AC294" s="72">
        <f t="shared" si="186"/>
        <v>0</v>
      </c>
      <c r="AD294" s="72">
        <f t="shared" si="187"/>
        <v>0</v>
      </c>
      <c r="AE294" s="72">
        <f t="shared" si="207"/>
        <v>-33.871946459120522</v>
      </c>
      <c r="AF294" s="70">
        <f t="shared" si="188"/>
        <v>0</v>
      </c>
      <c r="AG294" s="70">
        <f t="shared" si="189"/>
        <v>5309.5598588311113</v>
      </c>
      <c r="AH294" s="1">
        <f t="shared" si="219"/>
        <v>0</v>
      </c>
      <c r="AI294" s="1">
        <f t="shared" si="219"/>
        <v>0</v>
      </c>
      <c r="AJ294" s="1">
        <f t="shared" si="219"/>
        <v>0</v>
      </c>
      <c r="AK294" s="1">
        <f t="shared" si="219"/>
        <v>0</v>
      </c>
      <c r="AL294" s="1">
        <f t="shared" si="219"/>
        <v>0</v>
      </c>
      <c r="AM294" s="1">
        <f t="shared" si="219"/>
        <v>0</v>
      </c>
      <c r="AN294" s="1">
        <f t="shared" si="219"/>
        <v>0</v>
      </c>
      <c r="AO294" s="1">
        <f t="shared" si="219"/>
        <v>1</v>
      </c>
      <c r="AP294" s="1">
        <f t="shared" si="219"/>
        <v>1</v>
      </c>
      <c r="AQ294" s="1">
        <f t="shared" si="219"/>
        <v>1</v>
      </c>
      <c r="AR294" s="1">
        <f t="shared" si="219"/>
        <v>1</v>
      </c>
      <c r="AS294" s="1">
        <f t="shared" si="219"/>
        <v>1</v>
      </c>
      <c r="AT294" s="39">
        <f t="shared" si="190"/>
        <v>162659.42718003222</v>
      </c>
      <c r="AU294" s="39">
        <f t="shared" si="208"/>
        <v>162659.42718003222</v>
      </c>
      <c r="AV294" s="39">
        <f t="shared" si="218"/>
        <v>0</v>
      </c>
      <c r="AW294" s="3">
        <f t="shared" si="191"/>
        <v>220</v>
      </c>
      <c r="AX294" s="69">
        <f t="shared" si="209"/>
        <v>0</v>
      </c>
      <c r="AY294" s="75">
        <f t="shared" si="192"/>
        <v>0</v>
      </c>
      <c r="AZ294" s="75">
        <f t="shared" si="193"/>
        <v>0</v>
      </c>
      <c r="BA294" s="75">
        <f t="shared" si="194"/>
        <v>0</v>
      </c>
      <c r="BB294" s="75">
        <f t="shared" si="195"/>
        <v>0</v>
      </c>
      <c r="BD294" s="214">
        <f t="shared" si="210"/>
        <v>199864.66348391099</v>
      </c>
      <c r="BE294" s="214">
        <f t="shared" si="196"/>
        <v>972.85135573320906</v>
      </c>
      <c r="BF294" s="214">
        <f t="shared" si="197"/>
        <v>-330.71434576806098</v>
      </c>
      <c r="BG294" s="224">
        <f t="shared" si="214"/>
        <v>0</v>
      </c>
      <c r="BH294" s="19">
        <f t="shared" si="211"/>
        <v>286740.13459436124</v>
      </c>
      <c r="BI294" s="214">
        <f t="shared" si="198"/>
        <v>1395.7221042513249</v>
      </c>
      <c r="BJ294" s="214">
        <f t="shared" si="199"/>
        <v>0</v>
      </c>
      <c r="BK294" s="19">
        <f t="shared" si="215"/>
        <v>0</v>
      </c>
    </row>
    <row r="295" spans="1:63">
      <c r="A295" s="165">
        <f t="shared" si="200"/>
        <v>80.389459274469544</v>
      </c>
      <c r="B295" s="69">
        <f t="shared" si="201"/>
        <v>19</v>
      </c>
      <c r="C295" s="70">
        <f t="shared" si="202"/>
        <v>221</v>
      </c>
      <c r="D295" s="13">
        <f t="shared" si="171"/>
        <v>4.8675505653430484E-3</v>
      </c>
      <c r="E295" s="15">
        <f t="shared" si="172"/>
        <v>1</v>
      </c>
      <c r="F295" s="15">
        <f t="shared" si="203"/>
        <v>0</v>
      </c>
      <c r="G295" s="15">
        <f t="shared" si="173"/>
        <v>0</v>
      </c>
      <c r="H295" s="73">
        <f t="shared" si="174"/>
        <v>0</v>
      </c>
      <c r="I295" s="189"/>
      <c r="J295" s="189"/>
      <c r="K295" s="5">
        <f t="shared" si="216"/>
        <v>162659.42718003222</v>
      </c>
      <c r="M295" s="5">
        <f t="shared" si="175"/>
        <v>791.75298672854228</v>
      </c>
      <c r="N295" s="5">
        <f t="shared" si="176"/>
        <v>-269.15116011581648</v>
      </c>
      <c r="O295" s="5">
        <f t="shared" si="177"/>
        <v>0</v>
      </c>
      <c r="P295" s="5">
        <f t="shared" si="178"/>
        <v>0</v>
      </c>
      <c r="Q295" s="5">
        <f t="shared" si="212"/>
        <v>0</v>
      </c>
      <c r="R295" s="5">
        <f t="shared" si="204"/>
        <v>0</v>
      </c>
      <c r="S295" s="5">
        <f t="shared" si="179"/>
        <v>0</v>
      </c>
      <c r="T295" s="5">
        <f t="shared" si="180"/>
        <v>0</v>
      </c>
      <c r="U295" s="74">
        <f t="shared" si="181"/>
        <v>0</v>
      </c>
      <c r="V295" s="75">
        <f t="shared" si="182"/>
        <v>0</v>
      </c>
      <c r="W295" s="5">
        <f t="shared" si="183"/>
        <v>0</v>
      </c>
      <c r="X295" s="5">
        <f t="shared" si="184"/>
        <v>163182.02900664494</v>
      </c>
      <c r="Y295" s="5">
        <f t="shared" si="205"/>
        <v>100000</v>
      </c>
      <c r="Z295" s="215">
        <f t="shared" si="185"/>
        <v>1</v>
      </c>
      <c r="AA295" s="216">
        <f t="shared" si="206"/>
        <v>0</v>
      </c>
      <c r="AB295" s="72">
        <f t="shared" si="213"/>
        <v>29840.358821905051</v>
      </c>
      <c r="AC295" s="72">
        <f t="shared" si="186"/>
        <v>0</v>
      </c>
      <c r="AD295" s="72">
        <f t="shared" si="187"/>
        <v>0</v>
      </c>
      <c r="AE295" s="72">
        <f t="shared" si="207"/>
        <v>-33.980772251743488</v>
      </c>
      <c r="AF295" s="70">
        <f t="shared" si="188"/>
        <v>0</v>
      </c>
      <c r="AG295" s="70">
        <f t="shared" si="189"/>
        <v>5508.1485529439451</v>
      </c>
      <c r="AH295" s="1">
        <f t="shared" ref="AH295:AS304" si="220">IF($B295&lt;=AH$74,1,0)</f>
        <v>0</v>
      </c>
      <c r="AI295" s="1">
        <f t="shared" si="220"/>
        <v>0</v>
      </c>
      <c r="AJ295" s="1">
        <f t="shared" si="220"/>
        <v>0</v>
      </c>
      <c r="AK295" s="1">
        <f t="shared" si="220"/>
        <v>0</v>
      </c>
      <c r="AL295" s="1">
        <f t="shared" si="220"/>
        <v>0</v>
      </c>
      <c r="AM295" s="1">
        <f t="shared" si="220"/>
        <v>0</v>
      </c>
      <c r="AN295" s="1">
        <f t="shared" si="220"/>
        <v>0</v>
      </c>
      <c r="AO295" s="1">
        <f t="shared" si="220"/>
        <v>1</v>
      </c>
      <c r="AP295" s="1">
        <f t="shared" si="220"/>
        <v>1</v>
      </c>
      <c r="AQ295" s="1">
        <f t="shared" si="220"/>
        <v>1</v>
      </c>
      <c r="AR295" s="1">
        <f t="shared" si="220"/>
        <v>1</v>
      </c>
      <c r="AS295" s="1">
        <f t="shared" si="220"/>
        <v>1</v>
      </c>
      <c r="AT295" s="39">
        <f t="shared" si="190"/>
        <v>163182.02900664494</v>
      </c>
      <c r="AU295" s="39">
        <f t="shared" si="208"/>
        <v>163182.02900664494</v>
      </c>
      <c r="AV295" s="39">
        <f t="shared" si="218"/>
        <v>0</v>
      </c>
      <c r="AW295" s="3">
        <f t="shared" si="191"/>
        <v>221</v>
      </c>
      <c r="AX295" s="69">
        <f t="shared" si="209"/>
        <v>0</v>
      </c>
      <c r="AY295" s="75">
        <f t="shared" si="192"/>
        <v>0</v>
      </c>
      <c r="AZ295" s="75">
        <f t="shared" si="193"/>
        <v>0</v>
      </c>
      <c r="BA295" s="75">
        <f t="shared" si="194"/>
        <v>0</v>
      </c>
      <c r="BB295" s="75">
        <f t="shared" si="195"/>
        <v>0</v>
      </c>
      <c r="BD295" s="214">
        <f t="shared" si="210"/>
        <v>200506.80049387613</v>
      </c>
      <c r="BE295" s="214">
        <f t="shared" si="196"/>
        <v>975.97699009909252</v>
      </c>
      <c r="BF295" s="214">
        <f t="shared" si="197"/>
        <v>-331.7768843751478</v>
      </c>
      <c r="BG295" s="224">
        <f t="shared" si="214"/>
        <v>0</v>
      </c>
      <c r="BH295" s="19">
        <f t="shared" si="211"/>
        <v>288135.85669861257</v>
      </c>
      <c r="BI295" s="214">
        <f t="shared" si="198"/>
        <v>1402.5158521689352</v>
      </c>
      <c r="BJ295" s="214">
        <f t="shared" si="199"/>
        <v>0</v>
      </c>
      <c r="BK295" s="19">
        <f t="shared" si="215"/>
        <v>0</v>
      </c>
    </row>
    <row r="296" spans="1:63">
      <c r="A296" s="165">
        <f t="shared" si="200"/>
        <v>80.472792607802873</v>
      </c>
      <c r="B296" s="69">
        <f t="shared" si="201"/>
        <v>19</v>
      </c>
      <c r="C296" s="70">
        <f t="shared" si="202"/>
        <v>222</v>
      </c>
      <c r="D296" s="13">
        <f t="shared" si="171"/>
        <v>4.8675505653430484E-3</v>
      </c>
      <c r="E296" s="15">
        <f t="shared" si="172"/>
        <v>1</v>
      </c>
      <c r="F296" s="15">
        <f t="shared" si="203"/>
        <v>0</v>
      </c>
      <c r="G296" s="15">
        <f t="shared" si="173"/>
        <v>0</v>
      </c>
      <c r="H296" s="73">
        <f t="shared" si="174"/>
        <v>0</v>
      </c>
      <c r="I296" s="189"/>
      <c r="J296" s="189"/>
      <c r="K296" s="5">
        <f t="shared" si="216"/>
        <v>163182.02900664494</v>
      </c>
      <c r="M296" s="5">
        <f t="shared" si="175"/>
        <v>794.29677754512034</v>
      </c>
      <c r="N296" s="5">
        <f t="shared" si="176"/>
        <v>-270.01590487946169</v>
      </c>
      <c r="O296" s="5">
        <f t="shared" si="177"/>
        <v>0</v>
      </c>
      <c r="P296" s="5">
        <f t="shared" si="178"/>
        <v>0</v>
      </c>
      <c r="Q296" s="5">
        <f t="shared" si="212"/>
        <v>0</v>
      </c>
      <c r="R296" s="5">
        <f t="shared" si="204"/>
        <v>0</v>
      </c>
      <c r="S296" s="5">
        <f t="shared" si="179"/>
        <v>0</v>
      </c>
      <c r="T296" s="5">
        <f t="shared" si="180"/>
        <v>0</v>
      </c>
      <c r="U296" s="74">
        <f t="shared" si="181"/>
        <v>0</v>
      </c>
      <c r="V296" s="75">
        <f t="shared" si="182"/>
        <v>0</v>
      </c>
      <c r="W296" s="5">
        <f t="shared" si="183"/>
        <v>0</v>
      </c>
      <c r="X296" s="5">
        <f t="shared" si="184"/>
        <v>163706.3098793106</v>
      </c>
      <c r="Y296" s="5">
        <f t="shared" si="205"/>
        <v>100000</v>
      </c>
      <c r="Z296" s="215">
        <f t="shared" si="185"/>
        <v>1</v>
      </c>
      <c r="AA296" s="216">
        <f t="shared" si="206"/>
        <v>0</v>
      </c>
      <c r="AB296" s="72">
        <f t="shared" si="213"/>
        <v>29840.358821905051</v>
      </c>
      <c r="AC296" s="72">
        <f t="shared" si="186"/>
        <v>0</v>
      </c>
      <c r="AD296" s="72">
        <f t="shared" si="187"/>
        <v>0</v>
      </c>
      <c r="AE296" s="72">
        <f t="shared" si="207"/>
        <v>-34.089947686308477</v>
      </c>
      <c r="AF296" s="70">
        <f t="shared" si="188"/>
        <v>0</v>
      </c>
      <c r="AG296" s="70">
        <f t="shared" si="189"/>
        <v>5707.3752845568961</v>
      </c>
      <c r="AH296" s="1">
        <f t="shared" si="220"/>
        <v>0</v>
      </c>
      <c r="AI296" s="1">
        <f t="shared" si="220"/>
        <v>0</v>
      </c>
      <c r="AJ296" s="1">
        <f t="shared" si="220"/>
        <v>0</v>
      </c>
      <c r="AK296" s="1">
        <f t="shared" si="220"/>
        <v>0</v>
      </c>
      <c r="AL296" s="1">
        <f t="shared" si="220"/>
        <v>0</v>
      </c>
      <c r="AM296" s="1">
        <f t="shared" si="220"/>
        <v>0</v>
      </c>
      <c r="AN296" s="1">
        <f t="shared" si="220"/>
        <v>0</v>
      </c>
      <c r="AO296" s="1">
        <f t="shared" si="220"/>
        <v>1</v>
      </c>
      <c r="AP296" s="1">
        <f t="shared" si="220"/>
        <v>1</v>
      </c>
      <c r="AQ296" s="1">
        <f t="shared" si="220"/>
        <v>1</v>
      </c>
      <c r="AR296" s="1">
        <f t="shared" si="220"/>
        <v>1</v>
      </c>
      <c r="AS296" s="1">
        <f t="shared" si="220"/>
        <v>1</v>
      </c>
      <c r="AT296" s="39">
        <f t="shared" si="190"/>
        <v>163706.3098793106</v>
      </c>
      <c r="AU296" s="39">
        <f t="shared" si="208"/>
        <v>163706.3098793106</v>
      </c>
      <c r="AV296" s="39">
        <f t="shared" si="218"/>
        <v>0</v>
      </c>
      <c r="AW296" s="3">
        <f t="shared" si="191"/>
        <v>222</v>
      </c>
      <c r="AX296" s="69">
        <f t="shared" si="209"/>
        <v>0</v>
      </c>
      <c r="AY296" s="75">
        <f t="shared" si="192"/>
        <v>0</v>
      </c>
      <c r="AZ296" s="75">
        <f t="shared" si="193"/>
        <v>0</v>
      </c>
      <c r="BA296" s="75">
        <f t="shared" si="194"/>
        <v>0</v>
      </c>
      <c r="BB296" s="75">
        <f t="shared" si="195"/>
        <v>0</v>
      </c>
      <c r="BD296" s="214">
        <f t="shared" si="210"/>
        <v>201151.00059960008</v>
      </c>
      <c r="BE296" s="214">
        <f t="shared" si="196"/>
        <v>979.11266668790324</v>
      </c>
      <c r="BF296" s="214">
        <f t="shared" si="197"/>
        <v>-332.84283676910547</v>
      </c>
      <c r="BG296" s="224">
        <f t="shared" si="214"/>
        <v>0</v>
      </c>
      <c r="BH296" s="19">
        <f t="shared" si="211"/>
        <v>289538.37255078153</v>
      </c>
      <c r="BI296" s="214">
        <f t="shared" si="198"/>
        <v>1409.3426689980629</v>
      </c>
      <c r="BJ296" s="214">
        <f t="shared" si="199"/>
        <v>0</v>
      </c>
      <c r="BK296" s="19">
        <f t="shared" si="215"/>
        <v>0</v>
      </c>
    </row>
    <row r="297" spans="1:63">
      <c r="A297" s="165">
        <f t="shared" si="200"/>
        <v>80.556125941136202</v>
      </c>
      <c r="B297" s="69">
        <f t="shared" si="201"/>
        <v>19</v>
      </c>
      <c r="C297" s="70">
        <f t="shared" si="202"/>
        <v>223</v>
      </c>
      <c r="D297" s="13">
        <f t="shared" si="171"/>
        <v>4.8675505653430484E-3</v>
      </c>
      <c r="E297" s="15">
        <f t="shared" si="172"/>
        <v>1</v>
      </c>
      <c r="F297" s="15">
        <f t="shared" si="203"/>
        <v>0</v>
      </c>
      <c r="G297" s="15">
        <f t="shared" si="173"/>
        <v>0</v>
      </c>
      <c r="H297" s="73">
        <f t="shared" si="174"/>
        <v>0</v>
      </c>
      <c r="I297" s="189"/>
      <c r="J297" s="189"/>
      <c r="K297" s="5">
        <f t="shared" si="216"/>
        <v>163706.3098793106</v>
      </c>
      <c r="M297" s="5">
        <f t="shared" si="175"/>
        <v>796.84874120326265</v>
      </c>
      <c r="N297" s="5">
        <f t="shared" si="176"/>
        <v>-270.88342794622076</v>
      </c>
      <c r="O297" s="5">
        <f t="shared" si="177"/>
        <v>0</v>
      </c>
      <c r="P297" s="5">
        <f t="shared" si="178"/>
        <v>0</v>
      </c>
      <c r="Q297" s="5">
        <f t="shared" si="212"/>
        <v>0</v>
      </c>
      <c r="R297" s="5">
        <f t="shared" si="204"/>
        <v>0</v>
      </c>
      <c r="S297" s="5">
        <f t="shared" si="179"/>
        <v>0</v>
      </c>
      <c r="T297" s="5">
        <f t="shared" si="180"/>
        <v>0</v>
      </c>
      <c r="U297" s="74">
        <f t="shared" si="181"/>
        <v>0</v>
      </c>
      <c r="V297" s="75">
        <f t="shared" si="182"/>
        <v>0</v>
      </c>
      <c r="W297" s="5">
        <f t="shared" si="183"/>
        <v>0</v>
      </c>
      <c r="X297" s="5">
        <f t="shared" si="184"/>
        <v>164232.27519256764</v>
      </c>
      <c r="Y297" s="5">
        <f t="shared" si="205"/>
        <v>100000</v>
      </c>
      <c r="Z297" s="215">
        <f t="shared" si="185"/>
        <v>1</v>
      </c>
      <c r="AA297" s="216">
        <f t="shared" si="206"/>
        <v>0</v>
      </c>
      <c r="AB297" s="72">
        <f t="shared" si="213"/>
        <v>29840.358821905051</v>
      </c>
      <c r="AC297" s="72">
        <f t="shared" si="186"/>
        <v>0</v>
      </c>
      <c r="AD297" s="72">
        <f t="shared" si="187"/>
        <v>0</v>
      </c>
      <c r="AE297" s="72">
        <f t="shared" si="207"/>
        <v>-34.199473886165798</v>
      </c>
      <c r="AF297" s="70">
        <f t="shared" si="188"/>
        <v>0</v>
      </c>
      <c r="AG297" s="70">
        <f t="shared" si="189"/>
        <v>5907.2421035945736</v>
      </c>
      <c r="AH297" s="1">
        <f t="shared" si="220"/>
        <v>0</v>
      </c>
      <c r="AI297" s="1">
        <f t="shared" si="220"/>
        <v>0</v>
      </c>
      <c r="AJ297" s="1">
        <f t="shared" si="220"/>
        <v>0</v>
      </c>
      <c r="AK297" s="1">
        <f t="shared" si="220"/>
        <v>0</v>
      </c>
      <c r="AL297" s="1">
        <f t="shared" si="220"/>
        <v>0</v>
      </c>
      <c r="AM297" s="1">
        <f t="shared" si="220"/>
        <v>0</v>
      </c>
      <c r="AN297" s="1">
        <f t="shared" si="220"/>
        <v>0</v>
      </c>
      <c r="AO297" s="1">
        <f t="shared" si="220"/>
        <v>1</v>
      </c>
      <c r="AP297" s="1">
        <f t="shared" si="220"/>
        <v>1</v>
      </c>
      <c r="AQ297" s="1">
        <f t="shared" si="220"/>
        <v>1</v>
      </c>
      <c r="AR297" s="1">
        <f t="shared" si="220"/>
        <v>1</v>
      </c>
      <c r="AS297" s="1">
        <f t="shared" si="220"/>
        <v>1</v>
      </c>
      <c r="AT297" s="39">
        <f t="shared" si="190"/>
        <v>164232.27519256764</v>
      </c>
      <c r="AU297" s="39">
        <f t="shared" si="208"/>
        <v>164232.27519256764</v>
      </c>
      <c r="AV297" s="39">
        <f t="shared" si="218"/>
        <v>0</v>
      </c>
      <c r="AW297" s="3">
        <f t="shared" si="191"/>
        <v>223</v>
      </c>
      <c r="AX297" s="69">
        <f t="shared" si="209"/>
        <v>0</v>
      </c>
      <c r="AY297" s="75">
        <f t="shared" si="192"/>
        <v>0</v>
      </c>
      <c r="AZ297" s="75">
        <f t="shared" si="193"/>
        <v>0</v>
      </c>
      <c r="BA297" s="75">
        <f t="shared" si="194"/>
        <v>0</v>
      </c>
      <c r="BB297" s="75">
        <f t="shared" si="195"/>
        <v>0</v>
      </c>
      <c r="BD297" s="214">
        <f t="shared" si="210"/>
        <v>201797.27042951889</v>
      </c>
      <c r="BE297" s="214">
        <f t="shared" si="196"/>
        <v>982.2584177638887</v>
      </c>
      <c r="BF297" s="214">
        <f t="shared" si="197"/>
        <v>-333.91221391795017</v>
      </c>
      <c r="BG297" s="224">
        <f t="shared" si="214"/>
        <v>0</v>
      </c>
      <c r="BH297" s="19">
        <f t="shared" si="211"/>
        <v>290947.71521977958</v>
      </c>
      <c r="BI297" s="214">
        <f t="shared" si="198"/>
        <v>1416.2027157033062</v>
      </c>
      <c r="BJ297" s="214">
        <f t="shared" si="199"/>
        <v>0</v>
      </c>
      <c r="BK297" s="19">
        <f t="shared" si="215"/>
        <v>0</v>
      </c>
    </row>
    <row r="298" spans="1:63">
      <c r="A298" s="165">
        <f t="shared" si="200"/>
        <v>80.639459274469544</v>
      </c>
      <c r="B298" s="69">
        <f t="shared" si="201"/>
        <v>19</v>
      </c>
      <c r="C298" s="70">
        <f t="shared" si="202"/>
        <v>224</v>
      </c>
      <c r="D298" s="13">
        <f t="shared" si="171"/>
        <v>4.8675505653430484E-3</v>
      </c>
      <c r="E298" s="15">
        <f t="shared" si="172"/>
        <v>1</v>
      </c>
      <c r="F298" s="15">
        <f t="shared" si="203"/>
        <v>0</v>
      </c>
      <c r="G298" s="15">
        <f t="shared" si="173"/>
        <v>0</v>
      </c>
      <c r="H298" s="73">
        <f t="shared" si="174"/>
        <v>0</v>
      </c>
      <c r="I298" s="189"/>
      <c r="J298" s="189"/>
      <c r="K298" s="5">
        <f t="shared" si="216"/>
        <v>164232.27519256764</v>
      </c>
      <c r="M298" s="5">
        <f t="shared" si="175"/>
        <v>799.40890396115776</v>
      </c>
      <c r="N298" s="5">
        <f t="shared" si="176"/>
        <v>-271.75373824239023</v>
      </c>
      <c r="O298" s="5">
        <f t="shared" si="177"/>
        <v>0</v>
      </c>
      <c r="P298" s="5">
        <f t="shared" si="178"/>
        <v>0</v>
      </c>
      <c r="Q298" s="5">
        <f t="shared" si="212"/>
        <v>0</v>
      </c>
      <c r="R298" s="5">
        <f t="shared" si="204"/>
        <v>0</v>
      </c>
      <c r="S298" s="5">
        <f t="shared" si="179"/>
        <v>0</v>
      </c>
      <c r="T298" s="5">
        <f t="shared" si="180"/>
        <v>0</v>
      </c>
      <c r="U298" s="74">
        <f t="shared" si="181"/>
        <v>0</v>
      </c>
      <c r="V298" s="75">
        <f t="shared" si="182"/>
        <v>0</v>
      </c>
      <c r="W298" s="5">
        <f t="shared" si="183"/>
        <v>0</v>
      </c>
      <c r="X298" s="5">
        <f t="shared" si="184"/>
        <v>164759.93035828642</v>
      </c>
      <c r="Y298" s="5">
        <f t="shared" si="205"/>
        <v>100000</v>
      </c>
      <c r="Z298" s="215">
        <f t="shared" si="185"/>
        <v>1</v>
      </c>
      <c r="AA298" s="216">
        <f t="shared" si="206"/>
        <v>0</v>
      </c>
      <c r="AB298" s="72">
        <f t="shared" si="213"/>
        <v>29840.358821905051</v>
      </c>
      <c r="AC298" s="72">
        <f t="shared" si="186"/>
        <v>0</v>
      </c>
      <c r="AD298" s="72">
        <f t="shared" si="187"/>
        <v>0</v>
      </c>
      <c r="AE298" s="72">
        <f t="shared" si="207"/>
        <v>-34.309351978274925</v>
      </c>
      <c r="AF298" s="70">
        <f t="shared" si="188"/>
        <v>0</v>
      </c>
      <c r="AG298" s="70">
        <f t="shared" si="189"/>
        <v>6107.7510665677037</v>
      </c>
      <c r="AH298" s="1">
        <f t="shared" si="220"/>
        <v>0</v>
      </c>
      <c r="AI298" s="1">
        <f t="shared" si="220"/>
        <v>0</v>
      </c>
      <c r="AJ298" s="1">
        <f t="shared" si="220"/>
        <v>0</v>
      </c>
      <c r="AK298" s="1">
        <f t="shared" si="220"/>
        <v>0</v>
      </c>
      <c r="AL298" s="1">
        <f t="shared" si="220"/>
        <v>0</v>
      </c>
      <c r="AM298" s="1">
        <f t="shared" si="220"/>
        <v>0</v>
      </c>
      <c r="AN298" s="1">
        <f t="shared" si="220"/>
        <v>0</v>
      </c>
      <c r="AO298" s="1">
        <f t="shared" si="220"/>
        <v>1</v>
      </c>
      <c r="AP298" s="1">
        <f t="shared" si="220"/>
        <v>1</v>
      </c>
      <c r="AQ298" s="1">
        <f t="shared" si="220"/>
        <v>1</v>
      </c>
      <c r="AR298" s="1">
        <f t="shared" si="220"/>
        <v>1</v>
      </c>
      <c r="AS298" s="1">
        <f t="shared" si="220"/>
        <v>1</v>
      </c>
      <c r="AT298" s="39">
        <f t="shared" si="190"/>
        <v>164759.93035828642</v>
      </c>
      <c r="AU298" s="39">
        <f t="shared" si="208"/>
        <v>164759.93035828642</v>
      </c>
      <c r="AV298" s="39">
        <f t="shared" si="218"/>
        <v>0</v>
      </c>
      <c r="AW298" s="3">
        <f t="shared" si="191"/>
        <v>224</v>
      </c>
      <c r="AX298" s="69">
        <f t="shared" si="209"/>
        <v>0</v>
      </c>
      <c r="AY298" s="75">
        <f t="shared" si="192"/>
        <v>0</v>
      </c>
      <c r="AZ298" s="75">
        <f t="shared" si="193"/>
        <v>0</v>
      </c>
      <c r="BA298" s="75">
        <f t="shared" si="194"/>
        <v>0</v>
      </c>
      <c r="BB298" s="75">
        <f t="shared" si="195"/>
        <v>0</v>
      </c>
      <c r="BD298" s="214">
        <f t="shared" si="210"/>
        <v>202445.61663336484</v>
      </c>
      <c r="BE298" s="214">
        <f t="shared" si="196"/>
        <v>985.41427569495704</v>
      </c>
      <c r="BF298" s="214">
        <f t="shared" si="197"/>
        <v>-334.98502682493699</v>
      </c>
      <c r="BG298" s="224">
        <f t="shared" si="214"/>
        <v>0</v>
      </c>
      <c r="BH298" s="19">
        <f t="shared" si="211"/>
        <v>292363.91793548287</v>
      </c>
      <c r="BI298" s="214">
        <f t="shared" si="198"/>
        <v>1423.0961540327683</v>
      </c>
      <c r="BJ298" s="214">
        <f t="shared" si="199"/>
        <v>0</v>
      </c>
      <c r="BK298" s="19">
        <f t="shared" si="215"/>
        <v>0</v>
      </c>
    </row>
    <row r="299" spans="1:63">
      <c r="A299" s="165">
        <f t="shared" si="200"/>
        <v>80.722792607802873</v>
      </c>
      <c r="B299" s="69">
        <f t="shared" si="201"/>
        <v>19</v>
      </c>
      <c r="C299" s="70">
        <f t="shared" si="202"/>
        <v>225</v>
      </c>
      <c r="D299" s="13">
        <f t="shared" si="171"/>
        <v>4.8675505653430484E-3</v>
      </c>
      <c r="E299" s="15">
        <f t="shared" si="172"/>
        <v>1</v>
      </c>
      <c r="F299" s="15">
        <f t="shared" si="203"/>
        <v>0</v>
      </c>
      <c r="G299" s="15">
        <f t="shared" si="173"/>
        <v>0</v>
      </c>
      <c r="H299" s="73">
        <f t="shared" si="174"/>
        <v>0</v>
      </c>
      <c r="I299" s="189"/>
      <c r="J299" s="189"/>
      <c r="K299" s="5">
        <f t="shared" si="216"/>
        <v>164759.93035828642</v>
      </c>
      <c r="M299" s="5">
        <f t="shared" si="175"/>
        <v>801.97729216135838</v>
      </c>
      <c r="N299" s="5">
        <f t="shared" si="176"/>
        <v>-272.62684472294563</v>
      </c>
      <c r="O299" s="5">
        <f t="shared" si="177"/>
        <v>0</v>
      </c>
      <c r="P299" s="5">
        <f t="shared" si="178"/>
        <v>0</v>
      </c>
      <c r="Q299" s="5">
        <f t="shared" si="212"/>
        <v>0</v>
      </c>
      <c r="R299" s="5">
        <f t="shared" si="204"/>
        <v>0</v>
      </c>
      <c r="S299" s="5">
        <f t="shared" si="179"/>
        <v>0</v>
      </c>
      <c r="T299" s="5">
        <f t="shared" si="180"/>
        <v>0</v>
      </c>
      <c r="U299" s="74">
        <f t="shared" si="181"/>
        <v>0</v>
      </c>
      <c r="V299" s="75">
        <f t="shared" si="182"/>
        <v>0</v>
      </c>
      <c r="W299" s="5">
        <f t="shared" si="183"/>
        <v>0</v>
      </c>
      <c r="X299" s="5">
        <f t="shared" si="184"/>
        <v>165289.28080572482</v>
      </c>
      <c r="Y299" s="5">
        <f t="shared" si="205"/>
        <v>100000</v>
      </c>
      <c r="Z299" s="215">
        <f t="shared" si="185"/>
        <v>1</v>
      </c>
      <c r="AA299" s="216">
        <f t="shared" si="206"/>
        <v>0</v>
      </c>
      <c r="AB299" s="72">
        <f t="shared" si="213"/>
        <v>29840.358821905051</v>
      </c>
      <c r="AC299" s="72">
        <f t="shared" si="186"/>
        <v>0</v>
      </c>
      <c r="AD299" s="72">
        <f t="shared" si="187"/>
        <v>0</v>
      </c>
      <c r="AE299" s="72">
        <f t="shared" si="207"/>
        <v>-34.419583093216083</v>
      </c>
      <c r="AF299" s="70">
        <f t="shared" si="188"/>
        <v>0</v>
      </c>
      <c r="AG299" s="70">
        <f t="shared" si="189"/>
        <v>6308.9042365942951</v>
      </c>
      <c r="AH299" s="1">
        <f t="shared" si="220"/>
        <v>0</v>
      </c>
      <c r="AI299" s="1">
        <f t="shared" si="220"/>
        <v>0</v>
      </c>
      <c r="AJ299" s="1">
        <f t="shared" si="220"/>
        <v>0</v>
      </c>
      <c r="AK299" s="1">
        <f t="shared" si="220"/>
        <v>0</v>
      </c>
      <c r="AL299" s="1">
        <f t="shared" si="220"/>
        <v>0</v>
      </c>
      <c r="AM299" s="1">
        <f t="shared" si="220"/>
        <v>0</v>
      </c>
      <c r="AN299" s="1">
        <f t="shared" si="220"/>
        <v>0</v>
      </c>
      <c r="AO299" s="1">
        <f t="shared" si="220"/>
        <v>1</v>
      </c>
      <c r="AP299" s="1">
        <f t="shared" si="220"/>
        <v>1</v>
      </c>
      <c r="AQ299" s="1">
        <f t="shared" si="220"/>
        <v>1</v>
      </c>
      <c r="AR299" s="1">
        <f t="shared" si="220"/>
        <v>1</v>
      </c>
      <c r="AS299" s="1">
        <f t="shared" si="220"/>
        <v>1</v>
      </c>
      <c r="AT299" s="39">
        <f t="shared" si="190"/>
        <v>165289.28080572482</v>
      </c>
      <c r="AU299" s="39">
        <f t="shared" si="208"/>
        <v>165289.28080572482</v>
      </c>
      <c r="AV299" s="39">
        <f t="shared" si="218"/>
        <v>0</v>
      </c>
      <c r="AW299" s="3">
        <f t="shared" si="191"/>
        <v>225</v>
      </c>
      <c r="AX299" s="69">
        <f t="shared" si="209"/>
        <v>0</v>
      </c>
      <c r="AY299" s="75">
        <f t="shared" si="192"/>
        <v>0</v>
      </c>
      <c r="AZ299" s="75">
        <f t="shared" si="193"/>
        <v>0</v>
      </c>
      <c r="BA299" s="75">
        <f t="shared" si="194"/>
        <v>0</v>
      </c>
      <c r="BB299" s="75">
        <f t="shared" si="195"/>
        <v>0</v>
      </c>
      <c r="BD299" s="214">
        <f t="shared" si="210"/>
        <v>203096.04588223487</v>
      </c>
      <c r="BE299" s="214">
        <f t="shared" si="196"/>
        <v>988.58027295301008</v>
      </c>
      <c r="BF299" s="214">
        <f t="shared" si="197"/>
        <v>-336.06128652867289</v>
      </c>
      <c r="BG299" s="224">
        <f t="shared" si="214"/>
        <v>0</v>
      </c>
      <c r="BH299" s="19">
        <f t="shared" si="211"/>
        <v>293787.01408951561</v>
      </c>
      <c r="BI299" s="214">
        <f t="shared" si="198"/>
        <v>1430.0231465218678</v>
      </c>
      <c r="BJ299" s="214">
        <f t="shared" si="199"/>
        <v>0</v>
      </c>
      <c r="BK299" s="19">
        <f t="shared" si="215"/>
        <v>0</v>
      </c>
    </row>
    <row r="300" spans="1:63">
      <c r="A300" s="165">
        <f t="shared" si="200"/>
        <v>80.806125941136202</v>
      </c>
      <c r="B300" s="69">
        <f t="shared" si="201"/>
        <v>19</v>
      </c>
      <c r="C300" s="70">
        <f t="shared" si="202"/>
        <v>226</v>
      </c>
      <c r="D300" s="13">
        <f t="shared" si="171"/>
        <v>4.8675505653430484E-3</v>
      </c>
      <c r="E300" s="15">
        <f t="shared" si="172"/>
        <v>1</v>
      </c>
      <c r="F300" s="15">
        <f t="shared" si="203"/>
        <v>0</v>
      </c>
      <c r="G300" s="15">
        <f t="shared" si="173"/>
        <v>0</v>
      </c>
      <c r="H300" s="73">
        <f t="shared" si="174"/>
        <v>0</v>
      </c>
      <c r="I300" s="189"/>
      <c r="J300" s="189"/>
      <c r="K300" s="5">
        <f t="shared" si="216"/>
        <v>165289.28080572482</v>
      </c>
      <c r="M300" s="5">
        <f t="shared" si="175"/>
        <v>804.5539322310517</v>
      </c>
      <c r="N300" s="5">
        <f t="shared" si="176"/>
        <v>-273.50275637163338</v>
      </c>
      <c r="O300" s="5">
        <f t="shared" si="177"/>
        <v>0</v>
      </c>
      <c r="P300" s="5">
        <f t="shared" si="178"/>
        <v>0</v>
      </c>
      <c r="Q300" s="5">
        <f t="shared" si="212"/>
        <v>0</v>
      </c>
      <c r="R300" s="5">
        <f t="shared" si="204"/>
        <v>0</v>
      </c>
      <c r="S300" s="5">
        <f t="shared" si="179"/>
        <v>0</v>
      </c>
      <c r="T300" s="5">
        <f t="shared" si="180"/>
        <v>0</v>
      </c>
      <c r="U300" s="74">
        <f t="shared" si="181"/>
        <v>0</v>
      </c>
      <c r="V300" s="75">
        <f t="shared" si="182"/>
        <v>0</v>
      </c>
      <c r="W300" s="5">
        <f t="shared" si="183"/>
        <v>0</v>
      </c>
      <c r="X300" s="5">
        <f t="shared" si="184"/>
        <v>165820.33198158426</v>
      </c>
      <c r="Y300" s="5">
        <f t="shared" si="205"/>
        <v>100000</v>
      </c>
      <c r="Z300" s="215">
        <f t="shared" si="185"/>
        <v>1</v>
      </c>
      <c r="AA300" s="216">
        <f t="shared" si="206"/>
        <v>0</v>
      </c>
      <c r="AB300" s="72">
        <f t="shared" si="213"/>
        <v>29840.358821905051</v>
      </c>
      <c r="AC300" s="72">
        <f t="shared" si="186"/>
        <v>0</v>
      </c>
      <c r="AD300" s="72">
        <f t="shared" si="187"/>
        <v>0</v>
      </c>
      <c r="AE300" s="72">
        <f t="shared" si="207"/>
        <v>-34.530168365201909</v>
      </c>
      <c r="AF300" s="70">
        <f t="shared" si="188"/>
        <v>0</v>
      </c>
      <c r="AG300" s="70">
        <f t="shared" si="189"/>
        <v>6510.7036834208848</v>
      </c>
      <c r="AH300" s="1">
        <f t="shared" si="220"/>
        <v>0</v>
      </c>
      <c r="AI300" s="1">
        <f t="shared" si="220"/>
        <v>0</v>
      </c>
      <c r="AJ300" s="1">
        <f t="shared" si="220"/>
        <v>0</v>
      </c>
      <c r="AK300" s="1">
        <f t="shared" si="220"/>
        <v>0</v>
      </c>
      <c r="AL300" s="1">
        <f t="shared" si="220"/>
        <v>0</v>
      </c>
      <c r="AM300" s="1">
        <f t="shared" si="220"/>
        <v>0</v>
      </c>
      <c r="AN300" s="1">
        <f t="shared" si="220"/>
        <v>0</v>
      </c>
      <c r="AO300" s="1">
        <f t="shared" si="220"/>
        <v>1</v>
      </c>
      <c r="AP300" s="1">
        <f t="shared" si="220"/>
        <v>1</v>
      </c>
      <c r="AQ300" s="1">
        <f t="shared" si="220"/>
        <v>1</v>
      </c>
      <c r="AR300" s="1">
        <f t="shared" si="220"/>
        <v>1</v>
      </c>
      <c r="AS300" s="1">
        <f t="shared" si="220"/>
        <v>1</v>
      </c>
      <c r="AT300" s="39">
        <f t="shared" si="190"/>
        <v>165820.33198158426</v>
      </c>
      <c r="AU300" s="39">
        <f t="shared" si="208"/>
        <v>165820.33198158426</v>
      </c>
      <c r="AV300" s="39">
        <f t="shared" si="218"/>
        <v>0</v>
      </c>
      <c r="AW300" s="3">
        <f t="shared" si="191"/>
        <v>226</v>
      </c>
      <c r="AX300" s="69">
        <f t="shared" si="209"/>
        <v>0</v>
      </c>
      <c r="AY300" s="75">
        <f t="shared" si="192"/>
        <v>0</v>
      </c>
      <c r="AZ300" s="75">
        <f t="shared" si="193"/>
        <v>0</v>
      </c>
      <c r="BA300" s="75">
        <f t="shared" si="194"/>
        <v>0</v>
      </c>
      <c r="BB300" s="75">
        <f t="shared" si="195"/>
        <v>0</v>
      </c>
      <c r="BD300" s="214">
        <f t="shared" si="210"/>
        <v>203748.56486865919</v>
      </c>
      <c r="BE300" s="214">
        <f t="shared" si="196"/>
        <v>991.75644211427675</v>
      </c>
      <c r="BF300" s="214">
        <f t="shared" si="197"/>
        <v>-337.14100410323022</v>
      </c>
      <c r="BG300" s="224">
        <f t="shared" si="214"/>
        <v>0</v>
      </c>
      <c r="BH300" s="19">
        <f t="shared" si="211"/>
        <v>295217.03723603749</v>
      </c>
      <c r="BI300" s="214">
        <f t="shared" si="198"/>
        <v>1436.983856497174</v>
      </c>
      <c r="BJ300" s="214">
        <f t="shared" si="199"/>
        <v>0</v>
      </c>
      <c r="BK300" s="19">
        <f t="shared" si="215"/>
        <v>0</v>
      </c>
    </row>
    <row r="301" spans="1:63">
      <c r="A301" s="165">
        <f t="shared" si="200"/>
        <v>80.889459274469544</v>
      </c>
      <c r="B301" s="69">
        <f t="shared" si="201"/>
        <v>19</v>
      </c>
      <c r="C301" s="70">
        <f t="shared" si="202"/>
        <v>227</v>
      </c>
      <c r="D301" s="13">
        <f t="shared" si="171"/>
        <v>4.8675505653430484E-3</v>
      </c>
      <c r="E301" s="15">
        <f t="shared" si="172"/>
        <v>1</v>
      </c>
      <c r="F301" s="15">
        <f t="shared" si="203"/>
        <v>0</v>
      </c>
      <c r="G301" s="15">
        <f t="shared" si="173"/>
        <v>0</v>
      </c>
      <c r="H301" s="73">
        <f t="shared" si="174"/>
        <v>0</v>
      </c>
      <c r="I301" s="189"/>
      <c r="J301" s="189"/>
      <c r="K301" s="5">
        <f t="shared" si="216"/>
        <v>165820.33198158426</v>
      </c>
      <c r="M301" s="5">
        <f t="shared" si="175"/>
        <v>807.13885068233242</v>
      </c>
      <c r="N301" s="5">
        <f t="shared" si="176"/>
        <v>-274.38148220106376</v>
      </c>
      <c r="O301" s="5">
        <f t="shared" si="177"/>
        <v>0</v>
      </c>
      <c r="P301" s="5">
        <f t="shared" si="178"/>
        <v>0</v>
      </c>
      <c r="Q301" s="5">
        <f t="shared" si="212"/>
        <v>0</v>
      </c>
      <c r="R301" s="5">
        <f t="shared" si="204"/>
        <v>0</v>
      </c>
      <c r="S301" s="5">
        <f t="shared" si="179"/>
        <v>0</v>
      </c>
      <c r="T301" s="5">
        <f t="shared" si="180"/>
        <v>0</v>
      </c>
      <c r="U301" s="74">
        <f t="shared" si="181"/>
        <v>0</v>
      </c>
      <c r="V301" s="75">
        <f t="shared" si="182"/>
        <v>0</v>
      </c>
      <c r="W301" s="5">
        <f t="shared" si="183"/>
        <v>0</v>
      </c>
      <c r="X301" s="5">
        <f t="shared" si="184"/>
        <v>166353.08935006551</v>
      </c>
      <c r="Y301" s="5">
        <f t="shared" si="205"/>
        <v>100000</v>
      </c>
      <c r="Z301" s="215">
        <f t="shared" si="185"/>
        <v>1</v>
      </c>
      <c r="AA301" s="216">
        <f t="shared" si="206"/>
        <v>0</v>
      </c>
      <c r="AB301" s="72">
        <f t="shared" si="213"/>
        <v>29840.358821905051</v>
      </c>
      <c r="AC301" s="72">
        <f t="shared" si="186"/>
        <v>0</v>
      </c>
      <c r="AD301" s="72">
        <f t="shared" si="187"/>
        <v>0</v>
      </c>
      <c r="AE301" s="72">
        <f t="shared" si="207"/>
        <v>-34.641108932089111</v>
      </c>
      <c r="AF301" s="70">
        <f t="shared" si="188"/>
        <v>0</v>
      </c>
      <c r="AG301" s="70">
        <f t="shared" si="189"/>
        <v>6713.1514834437621</v>
      </c>
      <c r="AH301" s="1">
        <f t="shared" si="220"/>
        <v>0</v>
      </c>
      <c r="AI301" s="1">
        <f t="shared" si="220"/>
        <v>0</v>
      </c>
      <c r="AJ301" s="1">
        <f t="shared" si="220"/>
        <v>0</v>
      </c>
      <c r="AK301" s="1">
        <f t="shared" si="220"/>
        <v>0</v>
      </c>
      <c r="AL301" s="1">
        <f t="shared" si="220"/>
        <v>0</v>
      </c>
      <c r="AM301" s="1">
        <f t="shared" si="220"/>
        <v>0</v>
      </c>
      <c r="AN301" s="1">
        <f t="shared" si="220"/>
        <v>0</v>
      </c>
      <c r="AO301" s="1">
        <f t="shared" si="220"/>
        <v>1</v>
      </c>
      <c r="AP301" s="1">
        <f t="shared" si="220"/>
        <v>1</v>
      </c>
      <c r="AQ301" s="1">
        <f t="shared" si="220"/>
        <v>1</v>
      </c>
      <c r="AR301" s="1">
        <f t="shared" si="220"/>
        <v>1</v>
      </c>
      <c r="AS301" s="1">
        <f t="shared" si="220"/>
        <v>1</v>
      </c>
      <c r="AT301" s="39">
        <f t="shared" si="190"/>
        <v>166353.08935006551</v>
      </c>
      <c r="AU301" s="39">
        <f t="shared" si="208"/>
        <v>166353.08935006551</v>
      </c>
      <c r="AV301" s="39">
        <f t="shared" si="218"/>
        <v>0</v>
      </c>
      <c r="AW301" s="3">
        <f t="shared" si="191"/>
        <v>227</v>
      </c>
      <c r="AX301" s="69">
        <f t="shared" si="209"/>
        <v>0</v>
      </c>
      <c r="AY301" s="75">
        <f t="shared" si="192"/>
        <v>0</v>
      </c>
      <c r="AZ301" s="75">
        <f t="shared" si="193"/>
        <v>0</v>
      </c>
      <c r="BA301" s="75">
        <f t="shared" si="194"/>
        <v>0</v>
      </c>
      <c r="BB301" s="75">
        <f t="shared" si="195"/>
        <v>0</v>
      </c>
      <c r="BD301" s="214">
        <f t="shared" si="210"/>
        <v>204403.18030667023</v>
      </c>
      <c r="BE301" s="214">
        <f t="shared" si="196"/>
        <v>994.94281585964973</v>
      </c>
      <c r="BF301" s="214">
        <f t="shared" si="197"/>
        <v>-338.2241906582608</v>
      </c>
      <c r="BG301" s="224">
        <f t="shared" si="214"/>
        <v>0</v>
      </c>
      <c r="BH301" s="19">
        <f t="shared" si="211"/>
        <v>296654.02109253465</v>
      </c>
      <c r="BI301" s="214">
        <f t="shared" si="198"/>
        <v>1443.9784480802557</v>
      </c>
      <c r="BJ301" s="214">
        <f t="shared" si="199"/>
        <v>0</v>
      </c>
      <c r="BK301" s="19">
        <f t="shared" si="215"/>
        <v>0</v>
      </c>
    </row>
    <row r="302" spans="1:63">
      <c r="A302" s="165">
        <f t="shared" si="200"/>
        <v>80.972792607802873</v>
      </c>
      <c r="B302" s="69">
        <f t="shared" si="201"/>
        <v>19</v>
      </c>
      <c r="C302" s="70">
        <f t="shared" si="202"/>
        <v>228</v>
      </c>
      <c r="D302" s="13">
        <f t="shared" si="171"/>
        <v>4.8675505653430484E-3</v>
      </c>
      <c r="E302" s="15">
        <f t="shared" si="172"/>
        <v>1</v>
      </c>
      <c r="F302" s="15">
        <f t="shared" si="203"/>
        <v>0</v>
      </c>
      <c r="G302" s="15">
        <f t="shared" si="173"/>
        <v>0</v>
      </c>
      <c r="H302" s="73">
        <f t="shared" si="174"/>
        <v>0</v>
      </c>
      <c r="I302" s="189"/>
      <c r="J302" s="189"/>
      <c r="K302" s="5">
        <f t="shared" si="216"/>
        <v>166353.08935006551</v>
      </c>
      <c r="M302" s="5">
        <f t="shared" si="175"/>
        <v>809.73207411247404</v>
      </c>
      <c r="N302" s="5">
        <f t="shared" si="176"/>
        <v>-275.26303125280276</v>
      </c>
      <c r="O302" s="5">
        <f t="shared" si="177"/>
        <v>0</v>
      </c>
      <c r="P302" s="5">
        <f t="shared" si="178"/>
        <v>0</v>
      </c>
      <c r="Q302" s="5">
        <f t="shared" si="212"/>
        <v>0</v>
      </c>
      <c r="R302" s="5">
        <f t="shared" si="204"/>
        <v>0</v>
      </c>
      <c r="S302" s="5">
        <f t="shared" si="179"/>
        <v>0</v>
      </c>
      <c r="T302" s="5">
        <f t="shared" si="180"/>
        <v>0</v>
      </c>
      <c r="U302" s="74">
        <f t="shared" si="181"/>
        <v>0</v>
      </c>
      <c r="V302" s="75">
        <f t="shared" si="182"/>
        <v>0</v>
      </c>
      <c r="W302" s="5">
        <f t="shared" si="183"/>
        <v>0</v>
      </c>
      <c r="X302" s="5">
        <f t="shared" si="184"/>
        <v>166887.55839292519</v>
      </c>
      <c r="Y302" s="5">
        <f t="shared" si="205"/>
        <v>100000</v>
      </c>
      <c r="Z302" s="215">
        <f t="shared" si="185"/>
        <v>1</v>
      </c>
      <c r="AA302" s="216">
        <f t="shared" si="206"/>
        <v>0</v>
      </c>
      <c r="AB302" s="72">
        <f t="shared" si="213"/>
        <v>29840.358821905051</v>
      </c>
      <c r="AC302" s="72">
        <f t="shared" si="186"/>
        <v>0</v>
      </c>
      <c r="AD302" s="72">
        <f t="shared" si="187"/>
        <v>0</v>
      </c>
      <c r="AE302" s="72">
        <f t="shared" si="207"/>
        <v>-34.752405935390136</v>
      </c>
      <c r="AF302" s="70">
        <f t="shared" si="188"/>
        <v>0</v>
      </c>
      <c r="AG302" s="70">
        <f t="shared" si="189"/>
        <v>6916.2497197304401</v>
      </c>
      <c r="AH302" s="1">
        <f t="shared" si="220"/>
        <v>0</v>
      </c>
      <c r="AI302" s="1">
        <f t="shared" si="220"/>
        <v>0</v>
      </c>
      <c r="AJ302" s="1">
        <f t="shared" si="220"/>
        <v>0</v>
      </c>
      <c r="AK302" s="1">
        <f t="shared" si="220"/>
        <v>0</v>
      </c>
      <c r="AL302" s="1">
        <f t="shared" si="220"/>
        <v>0</v>
      </c>
      <c r="AM302" s="1">
        <f t="shared" si="220"/>
        <v>0</v>
      </c>
      <c r="AN302" s="1">
        <f t="shared" si="220"/>
        <v>0</v>
      </c>
      <c r="AO302" s="1">
        <f t="shared" si="220"/>
        <v>1</v>
      </c>
      <c r="AP302" s="1">
        <f t="shared" si="220"/>
        <v>1</v>
      </c>
      <c r="AQ302" s="1">
        <f t="shared" si="220"/>
        <v>1</v>
      </c>
      <c r="AR302" s="1">
        <f t="shared" si="220"/>
        <v>1</v>
      </c>
      <c r="AS302" s="1">
        <f t="shared" si="220"/>
        <v>1</v>
      </c>
      <c r="AT302" s="39">
        <f t="shared" si="190"/>
        <v>166887.55839292519</v>
      </c>
      <c r="AU302" s="39">
        <f t="shared" si="208"/>
        <v>166887.55839292519</v>
      </c>
      <c r="AV302" s="39">
        <f t="shared" si="218"/>
        <v>0</v>
      </c>
      <c r="AW302" s="3">
        <f t="shared" si="191"/>
        <v>228</v>
      </c>
      <c r="AX302" s="69">
        <f t="shared" si="209"/>
        <v>0</v>
      </c>
      <c r="AY302" s="75">
        <f t="shared" si="192"/>
        <v>0</v>
      </c>
      <c r="AZ302" s="75">
        <f t="shared" si="193"/>
        <v>0</v>
      </c>
      <c r="BA302" s="75">
        <f t="shared" si="194"/>
        <v>0</v>
      </c>
      <c r="BB302" s="75">
        <f t="shared" si="195"/>
        <v>0</v>
      </c>
      <c r="BD302" s="214">
        <f t="shared" si="210"/>
        <v>205059.89893187163</v>
      </c>
      <c r="BE302" s="214">
        <f t="shared" si="196"/>
        <v>998.13942697502011</v>
      </c>
      <c r="BF302" s="214">
        <f t="shared" si="197"/>
        <v>-339.31085733911044</v>
      </c>
      <c r="BG302" s="224">
        <f t="shared" si="214"/>
        <v>0</v>
      </c>
      <c r="BH302" s="19">
        <f t="shared" si="211"/>
        <v>298097.9995406149</v>
      </c>
      <c r="BI302" s="214">
        <f t="shared" si="198"/>
        <v>1451.0070861915519</v>
      </c>
      <c r="BJ302" s="214">
        <f t="shared" si="199"/>
        <v>0</v>
      </c>
      <c r="BK302" s="19">
        <f t="shared" si="215"/>
        <v>0</v>
      </c>
    </row>
    <row r="303" spans="1:63">
      <c r="A303" s="165">
        <f t="shared" si="200"/>
        <v>81.056125941136202</v>
      </c>
      <c r="B303" s="69">
        <f t="shared" si="201"/>
        <v>20</v>
      </c>
      <c r="C303" s="70">
        <f t="shared" si="202"/>
        <v>229</v>
      </c>
      <c r="D303" s="13">
        <f t="shared" si="171"/>
        <v>4.8675505653430484E-3</v>
      </c>
      <c r="E303" s="15">
        <f t="shared" si="172"/>
        <v>1</v>
      </c>
      <c r="F303" s="15">
        <f t="shared" si="203"/>
        <v>0</v>
      </c>
      <c r="G303" s="15">
        <f t="shared" si="173"/>
        <v>0</v>
      </c>
      <c r="H303" s="73">
        <f t="shared" si="174"/>
        <v>0</v>
      </c>
      <c r="I303" s="189"/>
      <c r="J303" s="189"/>
      <c r="K303" s="5">
        <f t="shared" si="216"/>
        <v>166887.55839292519</v>
      </c>
      <c r="M303" s="5">
        <f t="shared" si="175"/>
        <v>812.33362920420404</v>
      </c>
      <c r="N303" s="5">
        <f t="shared" si="176"/>
        <v>-276.14741259746631</v>
      </c>
      <c r="O303" s="5">
        <f t="shared" si="177"/>
        <v>0</v>
      </c>
      <c r="P303" s="5">
        <f t="shared" si="178"/>
        <v>0</v>
      </c>
      <c r="Q303" s="5">
        <f t="shared" si="212"/>
        <v>0</v>
      </c>
      <c r="R303" s="5">
        <f t="shared" si="204"/>
        <v>0</v>
      </c>
      <c r="S303" s="5">
        <f t="shared" si="179"/>
        <v>0</v>
      </c>
      <c r="T303" s="5">
        <f t="shared" si="180"/>
        <v>0</v>
      </c>
      <c r="U303" s="74">
        <f t="shared" si="181"/>
        <v>0</v>
      </c>
      <c r="V303" s="75">
        <f t="shared" si="182"/>
        <v>0</v>
      </c>
      <c r="W303" s="5">
        <f t="shared" si="183"/>
        <v>0</v>
      </c>
      <c r="X303" s="5">
        <f t="shared" si="184"/>
        <v>167423.74460953192</v>
      </c>
      <c r="Y303" s="5">
        <f t="shared" si="205"/>
        <v>100000</v>
      </c>
      <c r="Z303" s="215">
        <f t="shared" si="185"/>
        <v>1</v>
      </c>
      <c r="AA303" s="216">
        <f t="shared" si="206"/>
        <v>0</v>
      </c>
      <c r="AB303" s="72">
        <f t="shared" si="213"/>
        <v>29840.358821905051</v>
      </c>
      <c r="AC303" s="72">
        <f t="shared" si="186"/>
        <v>0</v>
      </c>
      <c r="AD303" s="72">
        <f t="shared" si="187"/>
        <v>0</v>
      </c>
      <c r="AE303" s="72">
        <f t="shared" si="207"/>
        <v>-34.864060520284994</v>
      </c>
      <c r="AF303" s="70">
        <f t="shared" si="188"/>
        <v>0</v>
      </c>
      <c r="AG303" s="70">
        <f t="shared" si="189"/>
        <v>7120.0004820409958</v>
      </c>
      <c r="AH303" s="1">
        <f t="shared" si="220"/>
        <v>0</v>
      </c>
      <c r="AI303" s="1">
        <f t="shared" si="220"/>
        <v>0</v>
      </c>
      <c r="AJ303" s="1">
        <f t="shared" si="220"/>
        <v>0</v>
      </c>
      <c r="AK303" s="1">
        <f t="shared" si="220"/>
        <v>0</v>
      </c>
      <c r="AL303" s="1">
        <f t="shared" si="220"/>
        <v>0</v>
      </c>
      <c r="AM303" s="1">
        <f t="shared" si="220"/>
        <v>0</v>
      </c>
      <c r="AN303" s="1">
        <f t="shared" si="220"/>
        <v>0</v>
      </c>
      <c r="AO303" s="1">
        <f t="shared" si="220"/>
        <v>1</v>
      </c>
      <c r="AP303" s="1">
        <f t="shared" si="220"/>
        <v>1</v>
      </c>
      <c r="AQ303" s="1">
        <f t="shared" si="220"/>
        <v>1</v>
      </c>
      <c r="AR303" s="1">
        <f t="shared" si="220"/>
        <v>1</v>
      </c>
      <c r="AS303" s="1">
        <f t="shared" si="220"/>
        <v>1</v>
      </c>
      <c r="AT303" s="39">
        <f t="shared" si="190"/>
        <v>167423.74460953192</v>
      </c>
      <c r="AU303" s="39">
        <f t="shared" si="208"/>
        <v>167423.74460953192</v>
      </c>
      <c r="AV303" s="39">
        <f t="shared" si="218"/>
        <v>0</v>
      </c>
      <c r="AW303" s="3">
        <f t="shared" si="191"/>
        <v>229</v>
      </c>
      <c r="AX303" s="69">
        <f t="shared" si="209"/>
        <v>0</v>
      </c>
      <c r="AY303" s="75">
        <f t="shared" si="192"/>
        <v>0</v>
      </c>
      <c r="AZ303" s="75">
        <f t="shared" si="193"/>
        <v>0</v>
      </c>
      <c r="BA303" s="75">
        <f t="shared" si="194"/>
        <v>0</v>
      </c>
      <c r="BB303" s="75">
        <f t="shared" si="195"/>
        <v>0</v>
      </c>
      <c r="BD303" s="214">
        <f t="shared" si="210"/>
        <v>205718.72750150753</v>
      </c>
      <c r="BE303" s="214">
        <f t="shared" si="196"/>
        <v>1001.3463083516154</v>
      </c>
      <c r="BF303" s="214">
        <f t="shared" si="197"/>
        <v>-340.40101532693291</v>
      </c>
      <c r="BG303" s="224">
        <f t="shared" si="214"/>
        <v>0</v>
      </c>
      <c r="BH303" s="19">
        <f t="shared" si="211"/>
        <v>299549.00662680645</v>
      </c>
      <c r="BI303" s="214">
        <f t="shared" si="198"/>
        <v>1458.0699365542603</v>
      </c>
      <c r="BJ303" s="214">
        <f t="shared" si="199"/>
        <v>0</v>
      </c>
      <c r="BK303" s="19">
        <f t="shared" si="215"/>
        <v>0</v>
      </c>
    </row>
    <row r="304" spans="1:63">
      <c r="A304" s="165">
        <f t="shared" si="200"/>
        <v>81.139459274469544</v>
      </c>
      <c r="B304" s="69">
        <f t="shared" si="201"/>
        <v>20</v>
      </c>
      <c r="C304" s="70">
        <f t="shared" si="202"/>
        <v>230</v>
      </c>
      <c r="D304" s="13">
        <f t="shared" si="171"/>
        <v>4.8675505653430484E-3</v>
      </c>
      <c r="E304" s="15">
        <f t="shared" si="172"/>
        <v>1</v>
      </c>
      <c r="F304" s="15">
        <f t="shared" si="203"/>
        <v>0</v>
      </c>
      <c r="G304" s="15">
        <f t="shared" si="173"/>
        <v>0</v>
      </c>
      <c r="H304" s="73">
        <f t="shared" si="174"/>
        <v>0</v>
      </c>
      <c r="I304" s="189"/>
      <c r="J304" s="189"/>
      <c r="K304" s="5">
        <f t="shared" si="216"/>
        <v>167423.74460953192</v>
      </c>
      <c r="M304" s="5">
        <f t="shared" si="175"/>
        <v>814.9435427259773</v>
      </c>
      <c r="N304" s="5">
        <f t="shared" si="176"/>
        <v>-277.03463533481238</v>
      </c>
      <c r="O304" s="5">
        <f t="shared" si="177"/>
        <v>0</v>
      </c>
      <c r="P304" s="5">
        <f t="shared" si="178"/>
        <v>0</v>
      </c>
      <c r="Q304" s="5">
        <f t="shared" si="212"/>
        <v>0</v>
      </c>
      <c r="R304" s="5">
        <f t="shared" si="204"/>
        <v>0</v>
      </c>
      <c r="S304" s="5">
        <f t="shared" si="179"/>
        <v>0</v>
      </c>
      <c r="T304" s="5">
        <f t="shared" si="180"/>
        <v>0</v>
      </c>
      <c r="U304" s="74">
        <f t="shared" si="181"/>
        <v>0</v>
      </c>
      <c r="V304" s="75">
        <f t="shared" si="182"/>
        <v>0</v>
      </c>
      <c r="W304" s="5">
        <f t="shared" si="183"/>
        <v>0</v>
      </c>
      <c r="X304" s="5">
        <f t="shared" si="184"/>
        <v>167961.65351692311</v>
      </c>
      <c r="Y304" s="5">
        <f t="shared" si="205"/>
        <v>100000</v>
      </c>
      <c r="Z304" s="215">
        <f t="shared" si="185"/>
        <v>1</v>
      </c>
      <c r="AA304" s="216">
        <f t="shared" si="206"/>
        <v>0</v>
      </c>
      <c r="AB304" s="72">
        <f t="shared" si="213"/>
        <v>29840.358821905051</v>
      </c>
      <c r="AC304" s="72">
        <f t="shared" si="186"/>
        <v>0</v>
      </c>
      <c r="AD304" s="72">
        <f t="shared" si="187"/>
        <v>0</v>
      </c>
      <c r="AE304" s="72">
        <f t="shared" si="207"/>
        <v>-34.976073835632974</v>
      </c>
      <c r="AF304" s="70">
        <f t="shared" si="188"/>
        <v>0</v>
      </c>
      <c r="AG304" s="70">
        <f t="shared" si="189"/>
        <v>7324.4058668496436</v>
      </c>
      <c r="AH304" s="1">
        <f t="shared" si="220"/>
        <v>0</v>
      </c>
      <c r="AI304" s="1">
        <f t="shared" si="220"/>
        <v>0</v>
      </c>
      <c r="AJ304" s="1">
        <f t="shared" si="220"/>
        <v>0</v>
      </c>
      <c r="AK304" s="1">
        <f t="shared" si="220"/>
        <v>0</v>
      </c>
      <c r="AL304" s="1">
        <f t="shared" si="220"/>
        <v>0</v>
      </c>
      <c r="AM304" s="1">
        <f t="shared" si="220"/>
        <v>0</v>
      </c>
      <c r="AN304" s="1">
        <f t="shared" si="220"/>
        <v>0</v>
      </c>
      <c r="AO304" s="1">
        <f t="shared" si="220"/>
        <v>1</v>
      </c>
      <c r="AP304" s="1">
        <f t="shared" si="220"/>
        <v>1</v>
      </c>
      <c r="AQ304" s="1">
        <f t="shared" si="220"/>
        <v>1</v>
      </c>
      <c r="AR304" s="1">
        <f t="shared" si="220"/>
        <v>1</v>
      </c>
      <c r="AS304" s="1">
        <f t="shared" si="220"/>
        <v>1</v>
      </c>
      <c r="AT304" s="39">
        <f t="shared" si="190"/>
        <v>167961.65351692311</v>
      </c>
      <c r="AU304" s="39">
        <f t="shared" si="208"/>
        <v>167961.65351692311</v>
      </c>
      <c r="AV304" s="39">
        <f t="shared" si="218"/>
        <v>0</v>
      </c>
      <c r="AW304" s="3">
        <f t="shared" si="191"/>
        <v>230</v>
      </c>
      <c r="AX304" s="69">
        <f t="shared" si="209"/>
        <v>0</v>
      </c>
      <c r="AY304" s="75">
        <f t="shared" si="192"/>
        <v>0</v>
      </c>
      <c r="AZ304" s="75">
        <f t="shared" si="193"/>
        <v>0</v>
      </c>
      <c r="BA304" s="75">
        <f t="shared" si="194"/>
        <v>0</v>
      </c>
      <c r="BB304" s="75">
        <f t="shared" si="195"/>
        <v>0</v>
      </c>
      <c r="BD304" s="214">
        <f t="shared" si="210"/>
        <v>206379.67279453221</v>
      </c>
      <c r="BE304" s="214">
        <f t="shared" si="196"/>
        <v>1004.5634929863386</v>
      </c>
      <c r="BF304" s="214">
        <f t="shared" si="197"/>
        <v>-341.49467583880585</v>
      </c>
      <c r="BG304" s="224">
        <f t="shared" si="214"/>
        <v>0</v>
      </c>
      <c r="BH304" s="19">
        <f t="shared" si="211"/>
        <v>301007.07656336069</v>
      </c>
      <c r="BI304" s="214">
        <f t="shared" si="198"/>
        <v>1465.1671656982446</v>
      </c>
      <c r="BJ304" s="214">
        <f t="shared" si="199"/>
        <v>0</v>
      </c>
      <c r="BK304" s="19">
        <f t="shared" si="215"/>
        <v>0</v>
      </c>
    </row>
    <row r="305" spans="1:63">
      <c r="A305" s="165">
        <f t="shared" si="200"/>
        <v>81.222792607802873</v>
      </c>
      <c r="B305" s="69">
        <f t="shared" si="201"/>
        <v>20</v>
      </c>
      <c r="C305" s="70">
        <f t="shared" si="202"/>
        <v>231</v>
      </c>
      <c r="D305" s="13">
        <f t="shared" si="171"/>
        <v>4.8675505653430484E-3</v>
      </c>
      <c r="E305" s="15">
        <f t="shared" si="172"/>
        <v>1</v>
      </c>
      <c r="F305" s="15">
        <f t="shared" si="203"/>
        <v>0</v>
      </c>
      <c r="G305" s="15">
        <f t="shared" si="173"/>
        <v>0</v>
      </c>
      <c r="H305" s="73">
        <f t="shared" si="174"/>
        <v>0</v>
      </c>
      <c r="I305" s="189"/>
      <c r="J305" s="189"/>
      <c r="K305" s="5">
        <f t="shared" si="216"/>
        <v>167961.65351692311</v>
      </c>
      <c r="M305" s="5">
        <f t="shared" si="175"/>
        <v>817.56184153225229</v>
      </c>
      <c r="N305" s="5">
        <f t="shared" si="176"/>
        <v>-277.92470859383553</v>
      </c>
      <c r="O305" s="5">
        <f t="shared" si="177"/>
        <v>0</v>
      </c>
      <c r="P305" s="5">
        <f t="shared" si="178"/>
        <v>0</v>
      </c>
      <c r="Q305" s="5">
        <f t="shared" si="212"/>
        <v>0</v>
      </c>
      <c r="R305" s="5">
        <f t="shared" si="204"/>
        <v>0</v>
      </c>
      <c r="S305" s="5">
        <f t="shared" si="179"/>
        <v>0</v>
      </c>
      <c r="T305" s="5">
        <f t="shared" si="180"/>
        <v>0</v>
      </c>
      <c r="U305" s="74">
        <f t="shared" si="181"/>
        <v>0</v>
      </c>
      <c r="V305" s="75">
        <f t="shared" si="182"/>
        <v>0</v>
      </c>
      <c r="W305" s="5">
        <f t="shared" si="183"/>
        <v>0</v>
      </c>
      <c r="X305" s="5">
        <f t="shared" si="184"/>
        <v>168501.2906498615</v>
      </c>
      <c r="Y305" s="5">
        <f t="shared" si="205"/>
        <v>100000</v>
      </c>
      <c r="Z305" s="215">
        <f t="shared" si="185"/>
        <v>1</v>
      </c>
      <c r="AA305" s="216">
        <f t="shared" si="206"/>
        <v>0</v>
      </c>
      <c r="AB305" s="72">
        <f t="shared" si="213"/>
        <v>29840.358821905051</v>
      </c>
      <c r="AC305" s="72">
        <f t="shared" si="186"/>
        <v>0</v>
      </c>
      <c r="AD305" s="72">
        <f t="shared" si="187"/>
        <v>0</v>
      </c>
      <c r="AE305" s="72">
        <f t="shared" si="207"/>
        <v>-35.08844703398448</v>
      </c>
      <c r="AF305" s="70">
        <f t="shared" si="188"/>
        <v>0</v>
      </c>
      <c r="AG305" s="70">
        <f t="shared" si="189"/>
        <v>7529.4679773662356</v>
      </c>
      <c r="AH305" s="1">
        <f t="shared" ref="AH305:AS314" si="221">IF($B305&lt;=AH$74,1,0)</f>
        <v>0</v>
      </c>
      <c r="AI305" s="1">
        <f t="shared" si="221"/>
        <v>0</v>
      </c>
      <c r="AJ305" s="1">
        <f t="shared" si="221"/>
        <v>0</v>
      </c>
      <c r="AK305" s="1">
        <f t="shared" si="221"/>
        <v>0</v>
      </c>
      <c r="AL305" s="1">
        <f t="shared" si="221"/>
        <v>0</v>
      </c>
      <c r="AM305" s="1">
        <f t="shared" si="221"/>
        <v>0</v>
      </c>
      <c r="AN305" s="1">
        <f t="shared" si="221"/>
        <v>0</v>
      </c>
      <c r="AO305" s="1">
        <f t="shared" si="221"/>
        <v>1</v>
      </c>
      <c r="AP305" s="1">
        <f t="shared" si="221"/>
        <v>1</v>
      </c>
      <c r="AQ305" s="1">
        <f t="shared" si="221"/>
        <v>1</v>
      </c>
      <c r="AR305" s="1">
        <f t="shared" si="221"/>
        <v>1</v>
      </c>
      <c r="AS305" s="1">
        <f t="shared" si="221"/>
        <v>1</v>
      </c>
      <c r="AT305" s="39">
        <f t="shared" si="190"/>
        <v>168501.2906498615</v>
      </c>
      <c r="AU305" s="39">
        <f t="shared" si="208"/>
        <v>168501.2906498615</v>
      </c>
      <c r="AV305" s="39">
        <f t="shared" si="218"/>
        <v>0</v>
      </c>
      <c r="AW305" s="3">
        <f t="shared" si="191"/>
        <v>231</v>
      </c>
      <c r="AX305" s="69">
        <f t="shared" si="209"/>
        <v>0</v>
      </c>
      <c r="AY305" s="75">
        <f t="shared" si="192"/>
        <v>0</v>
      </c>
      <c r="AZ305" s="75">
        <f t="shared" si="193"/>
        <v>0</v>
      </c>
      <c r="BA305" s="75">
        <f t="shared" si="194"/>
        <v>0</v>
      </c>
      <c r="BB305" s="75">
        <f t="shared" si="195"/>
        <v>0</v>
      </c>
      <c r="BD305" s="214">
        <f t="shared" si="210"/>
        <v>207042.74161167975</v>
      </c>
      <c r="BE305" s="214">
        <f t="shared" si="196"/>
        <v>1007.7910139821065</v>
      </c>
      <c r="BF305" s="214">
        <f t="shared" si="197"/>
        <v>-342.59185012784576</v>
      </c>
      <c r="BG305" s="224">
        <f t="shared" si="214"/>
        <v>0</v>
      </c>
      <c r="BH305" s="19">
        <f t="shared" si="211"/>
        <v>302472.24372905894</v>
      </c>
      <c r="BI305" s="214">
        <f t="shared" si="198"/>
        <v>1472.2989409639613</v>
      </c>
      <c r="BJ305" s="214">
        <f t="shared" si="199"/>
        <v>0</v>
      </c>
      <c r="BK305" s="19">
        <f t="shared" si="215"/>
        <v>0</v>
      </c>
    </row>
    <row r="306" spans="1:63">
      <c r="A306" s="165">
        <f t="shared" si="200"/>
        <v>81.306125941136202</v>
      </c>
      <c r="B306" s="69">
        <f t="shared" si="201"/>
        <v>20</v>
      </c>
      <c r="C306" s="70">
        <f t="shared" si="202"/>
        <v>232</v>
      </c>
      <c r="D306" s="13">
        <f t="shared" si="171"/>
        <v>4.8675505653430484E-3</v>
      </c>
      <c r="E306" s="15">
        <f t="shared" si="172"/>
        <v>1</v>
      </c>
      <c r="F306" s="15">
        <f t="shared" si="203"/>
        <v>0</v>
      </c>
      <c r="G306" s="15">
        <f t="shared" si="173"/>
        <v>0</v>
      </c>
      <c r="H306" s="73">
        <f t="shared" si="174"/>
        <v>0</v>
      </c>
      <c r="I306" s="189"/>
      <c r="J306" s="189"/>
      <c r="K306" s="5">
        <f t="shared" si="216"/>
        <v>168501.2906498615</v>
      </c>
      <c r="M306" s="5">
        <f t="shared" si="175"/>
        <v>820.18855256376673</v>
      </c>
      <c r="N306" s="5">
        <f t="shared" si="176"/>
        <v>-278.81764153286025</v>
      </c>
      <c r="O306" s="5">
        <f t="shared" si="177"/>
        <v>0</v>
      </c>
      <c r="P306" s="5">
        <f t="shared" si="178"/>
        <v>0</v>
      </c>
      <c r="Q306" s="5">
        <f t="shared" si="212"/>
        <v>0</v>
      </c>
      <c r="R306" s="5">
        <f t="shared" si="204"/>
        <v>0</v>
      </c>
      <c r="S306" s="5">
        <f t="shared" si="179"/>
        <v>0</v>
      </c>
      <c r="T306" s="5">
        <f t="shared" si="180"/>
        <v>0</v>
      </c>
      <c r="U306" s="74">
        <f t="shared" si="181"/>
        <v>0</v>
      </c>
      <c r="V306" s="75">
        <f t="shared" si="182"/>
        <v>0</v>
      </c>
      <c r="W306" s="5">
        <f t="shared" si="183"/>
        <v>0</v>
      </c>
      <c r="X306" s="5">
        <f t="shared" si="184"/>
        <v>169042.66156089242</v>
      </c>
      <c r="Y306" s="5">
        <f t="shared" si="205"/>
        <v>100000</v>
      </c>
      <c r="Z306" s="215">
        <f t="shared" si="185"/>
        <v>1</v>
      </c>
      <c r="AA306" s="216">
        <f t="shared" si="206"/>
        <v>0</v>
      </c>
      <c r="AB306" s="72">
        <f t="shared" si="213"/>
        <v>29840.358821905051</v>
      </c>
      <c r="AC306" s="72">
        <f t="shared" si="186"/>
        <v>0</v>
      </c>
      <c r="AD306" s="72">
        <f t="shared" si="187"/>
        <v>0</v>
      </c>
      <c r="AE306" s="72">
        <f t="shared" si="207"/>
        <v>-35.201181271592901</v>
      </c>
      <c r="AF306" s="70">
        <f t="shared" si="188"/>
        <v>0</v>
      </c>
      <c r="AG306" s="70">
        <f t="shared" si="189"/>
        <v>7735.1889235579874</v>
      </c>
      <c r="AH306" s="1">
        <f t="shared" si="221"/>
        <v>0</v>
      </c>
      <c r="AI306" s="1">
        <f t="shared" si="221"/>
        <v>0</v>
      </c>
      <c r="AJ306" s="1">
        <f t="shared" si="221"/>
        <v>0</v>
      </c>
      <c r="AK306" s="1">
        <f t="shared" si="221"/>
        <v>0</v>
      </c>
      <c r="AL306" s="1">
        <f t="shared" si="221"/>
        <v>0</v>
      </c>
      <c r="AM306" s="1">
        <f t="shared" si="221"/>
        <v>0</v>
      </c>
      <c r="AN306" s="1">
        <f t="shared" si="221"/>
        <v>0</v>
      </c>
      <c r="AO306" s="1">
        <f t="shared" si="221"/>
        <v>1</v>
      </c>
      <c r="AP306" s="1">
        <f t="shared" si="221"/>
        <v>1</v>
      </c>
      <c r="AQ306" s="1">
        <f t="shared" si="221"/>
        <v>1</v>
      </c>
      <c r="AR306" s="1">
        <f t="shared" si="221"/>
        <v>1</v>
      </c>
      <c r="AS306" s="1">
        <f t="shared" si="221"/>
        <v>1</v>
      </c>
      <c r="AT306" s="39">
        <f t="shared" si="190"/>
        <v>169042.66156089242</v>
      </c>
      <c r="AU306" s="39">
        <f t="shared" si="208"/>
        <v>169042.66156089242</v>
      </c>
      <c r="AV306" s="39">
        <f t="shared" si="218"/>
        <v>0</v>
      </c>
      <c r="AW306" s="3">
        <f t="shared" si="191"/>
        <v>232</v>
      </c>
      <c r="AX306" s="69">
        <f t="shared" si="209"/>
        <v>0</v>
      </c>
      <c r="AY306" s="75">
        <f t="shared" si="192"/>
        <v>0</v>
      </c>
      <c r="AZ306" s="75">
        <f t="shared" si="193"/>
        <v>0</v>
      </c>
      <c r="BA306" s="75">
        <f t="shared" si="194"/>
        <v>0</v>
      </c>
      <c r="BB306" s="75">
        <f t="shared" si="195"/>
        <v>0</v>
      </c>
      <c r="BD306" s="214">
        <f t="shared" si="210"/>
        <v>207707.94077553402</v>
      </c>
      <c r="BE306" s="214">
        <f t="shared" si="196"/>
        <v>1011.028904548191</v>
      </c>
      <c r="BF306" s="214">
        <f t="shared" si="197"/>
        <v>-343.69254948332355</v>
      </c>
      <c r="BG306" s="224">
        <f t="shared" si="214"/>
        <v>0</v>
      </c>
      <c r="BH306" s="19">
        <f t="shared" si="211"/>
        <v>303944.54267002293</v>
      </c>
      <c r="BI306" s="214">
        <f t="shared" si="198"/>
        <v>1479.4654305064043</v>
      </c>
      <c r="BJ306" s="214">
        <f t="shared" si="199"/>
        <v>0</v>
      </c>
      <c r="BK306" s="19">
        <f t="shared" si="215"/>
        <v>0</v>
      </c>
    </row>
    <row r="307" spans="1:63">
      <c r="A307" s="165">
        <f t="shared" si="200"/>
        <v>81.389459274469544</v>
      </c>
      <c r="B307" s="69">
        <f t="shared" si="201"/>
        <v>20</v>
      </c>
      <c r="C307" s="70">
        <f t="shared" si="202"/>
        <v>233</v>
      </c>
      <c r="D307" s="13">
        <f t="shared" si="171"/>
        <v>4.8675505653430484E-3</v>
      </c>
      <c r="E307" s="15">
        <f t="shared" si="172"/>
        <v>1</v>
      </c>
      <c r="F307" s="15">
        <f t="shared" si="203"/>
        <v>0</v>
      </c>
      <c r="G307" s="15">
        <f t="shared" si="173"/>
        <v>0</v>
      </c>
      <c r="H307" s="73">
        <f t="shared" si="174"/>
        <v>0</v>
      </c>
      <c r="I307" s="189"/>
      <c r="J307" s="189"/>
      <c r="K307" s="5">
        <f t="shared" si="216"/>
        <v>169042.66156089242</v>
      </c>
      <c r="M307" s="5">
        <f t="shared" si="175"/>
        <v>822.82370284781553</v>
      </c>
      <c r="N307" s="5">
        <f t="shared" si="176"/>
        <v>-279.71344333963566</v>
      </c>
      <c r="O307" s="5">
        <f t="shared" si="177"/>
        <v>0</v>
      </c>
      <c r="P307" s="5">
        <f t="shared" si="178"/>
        <v>0</v>
      </c>
      <c r="Q307" s="5">
        <f t="shared" si="212"/>
        <v>0</v>
      </c>
      <c r="R307" s="5">
        <f t="shared" si="204"/>
        <v>0</v>
      </c>
      <c r="S307" s="5">
        <f t="shared" si="179"/>
        <v>0</v>
      </c>
      <c r="T307" s="5">
        <f t="shared" si="180"/>
        <v>0</v>
      </c>
      <c r="U307" s="74">
        <f t="shared" si="181"/>
        <v>0</v>
      </c>
      <c r="V307" s="75">
        <f t="shared" si="182"/>
        <v>0</v>
      </c>
      <c r="W307" s="5">
        <f t="shared" si="183"/>
        <v>0</v>
      </c>
      <c r="X307" s="5">
        <f t="shared" si="184"/>
        <v>169585.77182040061</v>
      </c>
      <c r="Y307" s="5">
        <f t="shared" si="205"/>
        <v>100000</v>
      </c>
      <c r="Z307" s="215">
        <f t="shared" si="185"/>
        <v>1</v>
      </c>
      <c r="AA307" s="216">
        <f t="shared" si="206"/>
        <v>0</v>
      </c>
      <c r="AB307" s="72">
        <f t="shared" si="213"/>
        <v>29840.358821905051</v>
      </c>
      <c r="AC307" s="72">
        <f t="shared" si="186"/>
        <v>0</v>
      </c>
      <c r="AD307" s="72">
        <f t="shared" si="187"/>
        <v>0</v>
      </c>
      <c r="AE307" s="72">
        <f t="shared" si="207"/>
        <v>-35.314277708426523</v>
      </c>
      <c r="AF307" s="70">
        <f t="shared" si="188"/>
        <v>0</v>
      </c>
      <c r="AG307" s="70">
        <f t="shared" si="189"/>
        <v>7941.5708221710956</v>
      </c>
      <c r="AH307" s="1">
        <f t="shared" si="221"/>
        <v>0</v>
      </c>
      <c r="AI307" s="1">
        <f t="shared" si="221"/>
        <v>0</v>
      </c>
      <c r="AJ307" s="1">
        <f t="shared" si="221"/>
        <v>0</v>
      </c>
      <c r="AK307" s="1">
        <f t="shared" si="221"/>
        <v>0</v>
      </c>
      <c r="AL307" s="1">
        <f t="shared" si="221"/>
        <v>0</v>
      </c>
      <c r="AM307" s="1">
        <f t="shared" si="221"/>
        <v>0</v>
      </c>
      <c r="AN307" s="1">
        <f t="shared" si="221"/>
        <v>0</v>
      </c>
      <c r="AO307" s="1">
        <f t="shared" si="221"/>
        <v>1</v>
      </c>
      <c r="AP307" s="1">
        <f t="shared" si="221"/>
        <v>1</v>
      </c>
      <c r="AQ307" s="1">
        <f t="shared" si="221"/>
        <v>1</v>
      </c>
      <c r="AR307" s="1">
        <f t="shared" si="221"/>
        <v>1</v>
      </c>
      <c r="AS307" s="1">
        <f t="shared" si="221"/>
        <v>1</v>
      </c>
      <c r="AT307" s="39">
        <f t="shared" si="190"/>
        <v>169585.77182040061</v>
      </c>
      <c r="AU307" s="39">
        <f t="shared" si="208"/>
        <v>169585.77182040061</v>
      </c>
      <c r="AV307" s="39">
        <f t="shared" si="218"/>
        <v>0</v>
      </c>
      <c r="AW307" s="3">
        <f t="shared" si="191"/>
        <v>233</v>
      </c>
      <c r="AX307" s="69">
        <f t="shared" si="209"/>
        <v>0</v>
      </c>
      <c r="AY307" s="75">
        <f t="shared" si="192"/>
        <v>0</v>
      </c>
      <c r="AZ307" s="75">
        <f t="shared" si="193"/>
        <v>0</v>
      </c>
      <c r="BA307" s="75">
        <f t="shared" si="194"/>
        <v>0</v>
      </c>
      <c r="BB307" s="75">
        <f t="shared" si="195"/>
        <v>0</v>
      </c>
      <c r="BD307" s="214">
        <f t="shared" si="210"/>
        <v>208375.27713059887</v>
      </c>
      <c r="BE307" s="214">
        <f t="shared" si="196"/>
        <v>1014.2771980005609</v>
      </c>
      <c r="BF307" s="214">
        <f t="shared" si="197"/>
        <v>-344.79678523078115</v>
      </c>
      <c r="BG307" s="224">
        <f t="shared" si="214"/>
        <v>0</v>
      </c>
      <c r="BH307" s="19">
        <f t="shared" si="211"/>
        <v>305424.00810052932</v>
      </c>
      <c r="BI307" s="214">
        <f t="shared" si="198"/>
        <v>1486.6668032990713</v>
      </c>
      <c r="BJ307" s="214">
        <f t="shared" si="199"/>
        <v>0</v>
      </c>
      <c r="BK307" s="19">
        <f t="shared" si="215"/>
        <v>0</v>
      </c>
    </row>
    <row r="308" spans="1:63">
      <c r="A308" s="165">
        <f t="shared" si="200"/>
        <v>81.472792607802873</v>
      </c>
      <c r="B308" s="69">
        <f t="shared" si="201"/>
        <v>20</v>
      </c>
      <c r="C308" s="70">
        <f t="shared" si="202"/>
        <v>234</v>
      </c>
      <c r="D308" s="13">
        <f t="shared" si="171"/>
        <v>4.8675505653430484E-3</v>
      </c>
      <c r="E308" s="15">
        <f t="shared" si="172"/>
        <v>1</v>
      </c>
      <c r="F308" s="15">
        <f t="shared" si="203"/>
        <v>0</v>
      </c>
      <c r="G308" s="15">
        <f t="shared" si="173"/>
        <v>0</v>
      </c>
      <c r="H308" s="73">
        <f t="shared" si="174"/>
        <v>0</v>
      </c>
      <c r="I308" s="189"/>
      <c r="J308" s="189"/>
      <c r="K308" s="5">
        <f t="shared" si="216"/>
        <v>169585.77182040061</v>
      </c>
      <c r="M308" s="5">
        <f t="shared" si="175"/>
        <v>825.46731949852824</v>
      </c>
      <c r="N308" s="5">
        <f t="shared" si="176"/>
        <v>-280.61212323142968</v>
      </c>
      <c r="O308" s="5">
        <f t="shared" si="177"/>
        <v>0</v>
      </c>
      <c r="P308" s="5">
        <f t="shared" si="178"/>
        <v>0</v>
      </c>
      <c r="Q308" s="5">
        <f t="shared" si="212"/>
        <v>0</v>
      </c>
      <c r="R308" s="5">
        <f t="shared" si="204"/>
        <v>0</v>
      </c>
      <c r="S308" s="5">
        <f t="shared" si="179"/>
        <v>0</v>
      </c>
      <c r="T308" s="5">
        <f t="shared" si="180"/>
        <v>0</v>
      </c>
      <c r="U308" s="74">
        <f t="shared" si="181"/>
        <v>0</v>
      </c>
      <c r="V308" s="75">
        <f t="shared" si="182"/>
        <v>0</v>
      </c>
      <c r="W308" s="5">
        <f t="shared" si="183"/>
        <v>0</v>
      </c>
      <c r="X308" s="5">
        <f t="shared" si="184"/>
        <v>170130.62701666771</v>
      </c>
      <c r="Y308" s="5">
        <f t="shared" si="205"/>
        <v>100000</v>
      </c>
      <c r="Z308" s="215">
        <f t="shared" si="185"/>
        <v>1</v>
      </c>
      <c r="AA308" s="216">
        <f t="shared" si="206"/>
        <v>0</v>
      </c>
      <c r="AB308" s="72">
        <f t="shared" si="213"/>
        <v>29840.358821905051</v>
      </c>
      <c r="AC308" s="72">
        <f t="shared" si="186"/>
        <v>0</v>
      </c>
      <c r="AD308" s="72">
        <f t="shared" si="187"/>
        <v>0</v>
      </c>
      <c r="AE308" s="72">
        <f t="shared" si="207"/>
        <v>-35.427737508180442</v>
      </c>
      <c r="AF308" s="70">
        <f t="shared" si="188"/>
        <v>0</v>
      </c>
      <c r="AG308" s="70">
        <f t="shared" si="189"/>
        <v>8148.6157967525942</v>
      </c>
      <c r="AH308" s="1">
        <f t="shared" si="221"/>
        <v>0</v>
      </c>
      <c r="AI308" s="1">
        <f t="shared" si="221"/>
        <v>0</v>
      </c>
      <c r="AJ308" s="1">
        <f t="shared" si="221"/>
        <v>0</v>
      </c>
      <c r="AK308" s="1">
        <f t="shared" si="221"/>
        <v>0</v>
      </c>
      <c r="AL308" s="1">
        <f t="shared" si="221"/>
        <v>0</v>
      </c>
      <c r="AM308" s="1">
        <f t="shared" si="221"/>
        <v>0</v>
      </c>
      <c r="AN308" s="1">
        <f t="shared" si="221"/>
        <v>0</v>
      </c>
      <c r="AO308" s="1">
        <f t="shared" si="221"/>
        <v>1</v>
      </c>
      <c r="AP308" s="1">
        <f t="shared" si="221"/>
        <v>1</v>
      </c>
      <c r="AQ308" s="1">
        <f t="shared" si="221"/>
        <v>1</v>
      </c>
      <c r="AR308" s="1">
        <f t="shared" si="221"/>
        <v>1</v>
      </c>
      <c r="AS308" s="1">
        <f t="shared" si="221"/>
        <v>1</v>
      </c>
      <c r="AT308" s="39">
        <f t="shared" si="190"/>
        <v>170130.62701666771</v>
      </c>
      <c r="AU308" s="39">
        <f t="shared" si="208"/>
        <v>170130.62701666771</v>
      </c>
      <c r="AV308" s="39">
        <f t="shared" si="218"/>
        <v>0</v>
      </c>
      <c r="AW308" s="3">
        <f t="shared" si="191"/>
        <v>234</v>
      </c>
      <c r="AX308" s="69">
        <f t="shared" si="209"/>
        <v>0</v>
      </c>
      <c r="AY308" s="75">
        <f t="shared" si="192"/>
        <v>0</v>
      </c>
      <c r="AZ308" s="75">
        <f t="shared" si="193"/>
        <v>0</v>
      </c>
      <c r="BA308" s="75">
        <f t="shared" si="194"/>
        <v>0</v>
      </c>
      <c r="BB308" s="75">
        <f t="shared" si="195"/>
        <v>0</v>
      </c>
      <c r="BD308" s="214">
        <f t="shared" si="210"/>
        <v>209044.75754336864</v>
      </c>
      <c r="BE308" s="214">
        <f t="shared" si="196"/>
        <v>1017.5359277622246</v>
      </c>
      <c r="BF308" s="214">
        <f t="shared" si="197"/>
        <v>-345.90456873214782</v>
      </c>
      <c r="BG308" s="224">
        <f t="shared" si="214"/>
        <v>0</v>
      </c>
      <c r="BH308" s="19">
        <f t="shared" si="211"/>
        <v>306910.67490382842</v>
      </c>
      <c r="BI308" s="214">
        <f t="shared" si="198"/>
        <v>1493.9032291379465</v>
      </c>
      <c r="BJ308" s="214">
        <f t="shared" si="199"/>
        <v>0</v>
      </c>
      <c r="BK308" s="19">
        <f t="shared" si="215"/>
        <v>0</v>
      </c>
    </row>
    <row r="309" spans="1:63">
      <c r="A309" s="165">
        <f t="shared" si="200"/>
        <v>81.556125941136202</v>
      </c>
      <c r="B309" s="69">
        <f t="shared" si="201"/>
        <v>20</v>
      </c>
      <c r="C309" s="70">
        <f t="shared" si="202"/>
        <v>235</v>
      </c>
      <c r="D309" s="13">
        <f t="shared" si="171"/>
        <v>4.8675505653430484E-3</v>
      </c>
      <c r="E309" s="15">
        <f t="shared" si="172"/>
        <v>1</v>
      </c>
      <c r="F309" s="15">
        <f t="shared" si="203"/>
        <v>0</v>
      </c>
      <c r="G309" s="15">
        <f t="shared" si="173"/>
        <v>0</v>
      </c>
      <c r="H309" s="73">
        <f t="shared" si="174"/>
        <v>0</v>
      </c>
      <c r="I309" s="189"/>
      <c r="J309" s="189"/>
      <c r="K309" s="5">
        <f t="shared" si="216"/>
        <v>170130.62701666771</v>
      </c>
      <c r="M309" s="5">
        <f t="shared" si="175"/>
        <v>828.11942971714825</v>
      </c>
      <c r="N309" s="5">
        <f t="shared" si="176"/>
        <v>-281.51369045512405</v>
      </c>
      <c r="O309" s="5">
        <f t="shared" si="177"/>
        <v>0</v>
      </c>
      <c r="P309" s="5">
        <f t="shared" si="178"/>
        <v>0</v>
      </c>
      <c r="Q309" s="5">
        <f t="shared" si="212"/>
        <v>0</v>
      </c>
      <c r="R309" s="5">
        <f t="shared" si="204"/>
        <v>0</v>
      </c>
      <c r="S309" s="5">
        <f t="shared" si="179"/>
        <v>0</v>
      </c>
      <c r="T309" s="5">
        <f t="shared" si="180"/>
        <v>0</v>
      </c>
      <c r="U309" s="74">
        <f t="shared" si="181"/>
        <v>0</v>
      </c>
      <c r="V309" s="75">
        <f t="shared" si="182"/>
        <v>0</v>
      </c>
      <c r="W309" s="5">
        <f t="shared" si="183"/>
        <v>0</v>
      </c>
      <c r="X309" s="5">
        <f t="shared" si="184"/>
        <v>170677.23275592976</v>
      </c>
      <c r="Y309" s="5">
        <f t="shared" si="205"/>
        <v>100000</v>
      </c>
      <c r="Z309" s="215">
        <f t="shared" si="185"/>
        <v>1</v>
      </c>
      <c r="AA309" s="216">
        <f t="shared" si="206"/>
        <v>0</v>
      </c>
      <c r="AB309" s="72">
        <f t="shared" si="213"/>
        <v>29840.358821905051</v>
      </c>
      <c r="AC309" s="72">
        <f t="shared" si="186"/>
        <v>0</v>
      </c>
      <c r="AD309" s="72">
        <f t="shared" si="187"/>
        <v>0</v>
      </c>
      <c r="AE309" s="72">
        <f t="shared" si="207"/>
        <v>-35.541561838288523</v>
      </c>
      <c r="AF309" s="70">
        <f t="shared" si="188"/>
        <v>0</v>
      </c>
      <c r="AG309" s="70">
        <f t="shared" si="189"/>
        <v>8356.3259776721752</v>
      </c>
      <c r="AH309" s="1">
        <f t="shared" si="221"/>
        <v>0</v>
      </c>
      <c r="AI309" s="1">
        <f t="shared" si="221"/>
        <v>0</v>
      </c>
      <c r="AJ309" s="1">
        <f t="shared" si="221"/>
        <v>0</v>
      </c>
      <c r="AK309" s="1">
        <f t="shared" si="221"/>
        <v>0</v>
      </c>
      <c r="AL309" s="1">
        <f t="shared" si="221"/>
        <v>0</v>
      </c>
      <c r="AM309" s="1">
        <f t="shared" si="221"/>
        <v>0</v>
      </c>
      <c r="AN309" s="1">
        <f t="shared" si="221"/>
        <v>0</v>
      </c>
      <c r="AO309" s="1">
        <f t="shared" si="221"/>
        <v>1</v>
      </c>
      <c r="AP309" s="1">
        <f t="shared" si="221"/>
        <v>1</v>
      </c>
      <c r="AQ309" s="1">
        <f t="shared" si="221"/>
        <v>1</v>
      </c>
      <c r="AR309" s="1">
        <f t="shared" si="221"/>
        <v>1</v>
      </c>
      <c r="AS309" s="1">
        <f t="shared" si="221"/>
        <v>1</v>
      </c>
      <c r="AT309" s="39">
        <f t="shared" si="190"/>
        <v>170677.23275592976</v>
      </c>
      <c r="AU309" s="39">
        <f t="shared" si="208"/>
        <v>170677.23275592976</v>
      </c>
      <c r="AV309" s="39">
        <f t="shared" si="218"/>
        <v>0</v>
      </c>
      <c r="AW309" s="3">
        <f t="shared" si="191"/>
        <v>235</v>
      </c>
      <c r="AX309" s="69">
        <f t="shared" si="209"/>
        <v>0</v>
      </c>
      <c r="AY309" s="75">
        <f t="shared" si="192"/>
        <v>0</v>
      </c>
      <c r="AZ309" s="75">
        <f t="shared" si="193"/>
        <v>0</v>
      </c>
      <c r="BA309" s="75">
        <f t="shared" si="194"/>
        <v>0</v>
      </c>
      <c r="BB309" s="75">
        <f t="shared" si="195"/>
        <v>0</v>
      </c>
      <c r="BD309" s="214">
        <f t="shared" si="210"/>
        <v>209716.38890239873</v>
      </c>
      <c r="BE309" s="214">
        <f t="shared" si="196"/>
        <v>1020.8051273635735</v>
      </c>
      <c r="BF309" s="214">
        <f t="shared" si="197"/>
        <v>-347.01591138585729</v>
      </c>
      <c r="BG309" s="224">
        <f t="shared" si="214"/>
        <v>0</v>
      </c>
      <c r="BH309" s="19">
        <f t="shared" si="211"/>
        <v>308404.57813296636</v>
      </c>
      <c r="BI309" s="214">
        <f t="shared" si="198"/>
        <v>1501.1748786455048</v>
      </c>
      <c r="BJ309" s="214">
        <f t="shared" si="199"/>
        <v>0</v>
      </c>
      <c r="BK309" s="19">
        <f t="shared" si="215"/>
        <v>0</v>
      </c>
    </row>
    <row r="310" spans="1:63">
      <c r="A310" s="165">
        <f t="shared" si="200"/>
        <v>81.639459274469544</v>
      </c>
      <c r="B310" s="69">
        <f t="shared" si="201"/>
        <v>20</v>
      </c>
      <c r="C310" s="70">
        <f t="shared" si="202"/>
        <v>236</v>
      </c>
      <c r="D310" s="13">
        <f t="shared" si="171"/>
        <v>4.8675505653430484E-3</v>
      </c>
      <c r="E310" s="15">
        <f t="shared" si="172"/>
        <v>1</v>
      </c>
      <c r="F310" s="15">
        <f t="shared" si="203"/>
        <v>0</v>
      </c>
      <c r="G310" s="15">
        <f t="shared" si="173"/>
        <v>0</v>
      </c>
      <c r="H310" s="73">
        <f t="shared" si="174"/>
        <v>0</v>
      </c>
      <c r="I310" s="189"/>
      <c r="J310" s="189"/>
      <c r="K310" s="5">
        <f t="shared" si="216"/>
        <v>170677.23275592976</v>
      </c>
      <c r="M310" s="5">
        <f t="shared" si="175"/>
        <v>830.78006079231295</v>
      </c>
      <c r="N310" s="5">
        <f t="shared" si="176"/>
        <v>-282.41815428730956</v>
      </c>
      <c r="O310" s="5">
        <f t="shared" si="177"/>
        <v>0</v>
      </c>
      <c r="P310" s="5">
        <f t="shared" si="178"/>
        <v>0</v>
      </c>
      <c r="Q310" s="5">
        <f t="shared" si="212"/>
        <v>0</v>
      </c>
      <c r="R310" s="5">
        <f t="shared" si="204"/>
        <v>0</v>
      </c>
      <c r="S310" s="5">
        <f t="shared" si="179"/>
        <v>0</v>
      </c>
      <c r="T310" s="5">
        <f t="shared" si="180"/>
        <v>0</v>
      </c>
      <c r="U310" s="74">
        <f t="shared" si="181"/>
        <v>0</v>
      </c>
      <c r="V310" s="75">
        <f t="shared" si="182"/>
        <v>0</v>
      </c>
      <c r="W310" s="5">
        <f t="shared" si="183"/>
        <v>0</v>
      </c>
      <c r="X310" s="5">
        <f t="shared" si="184"/>
        <v>171225.59466243477</v>
      </c>
      <c r="Y310" s="5">
        <f t="shared" si="205"/>
        <v>100000</v>
      </c>
      <c r="Z310" s="215">
        <f t="shared" si="185"/>
        <v>1</v>
      </c>
      <c r="AA310" s="216">
        <f t="shared" si="206"/>
        <v>0</v>
      </c>
      <c r="AB310" s="72">
        <f t="shared" si="213"/>
        <v>29840.358821905051</v>
      </c>
      <c r="AC310" s="72">
        <f t="shared" si="186"/>
        <v>0</v>
      </c>
      <c r="AD310" s="72">
        <f t="shared" si="187"/>
        <v>0</v>
      </c>
      <c r="AE310" s="72">
        <f t="shared" si="207"/>
        <v>-35.65575186993545</v>
      </c>
      <c r="AF310" s="70">
        <f t="shared" si="188"/>
        <v>0</v>
      </c>
      <c r="AG310" s="70">
        <f t="shared" si="189"/>
        <v>8564.7035021440824</v>
      </c>
      <c r="AH310" s="1">
        <f t="shared" si="221"/>
        <v>0</v>
      </c>
      <c r="AI310" s="1">
        <f t="shared" si="221"/>
        <v>0</v>
      </c>
      <c r="AJ310" s="1">
        <f t="shared" si="221"/>
        <v>0</v>
      </c>
      <c r="AK310" s="1">
        <f t="shared" si="221"/>
        <v>0</v>
      </c>
      <c r="AL310" s="1">
        <f t="shared" si="221"/>
        <v>0</v>
      </c>
      <c r="AM310" s="1">
        <f t="shared" si="221"/>
        <v>0</v>
      </c>
      <c r="AN310" s="1">
        <f t="shared" si="221"/>
        <v>0</v>
      </c>
      <c r="AO310" s="1">
        <f t="shared" si="221"/>
        <v>1</v>
      </c>
      <c r="AP310" s="1">
        <f t="shared" si="221"/>
        <v>1</v>
      </c>
      <c r="AQ310" s="1">
        <f t="shared" si="221"/>
        <v>1</v>
      </c>
      <c r="AR310" s="1">
        <f t="shared" si="221"/>
        <v>1</v>
      </c>
      <c r="AS310" s="1">
        <f t="shared" si="221"/>
        <v>1</v>
      </c>
      <c r="AT310" s="39">
        <f t="shared" si="190"/>
        <v>171225.59466243477</v>
      </c>
      <c r="AU310" s="39">
        <f t="shared" si="208"/>
        <v>171225.59466243477</v>
      </c>
      <c r="AV310" s="39">
        <f t="shared" si="218"/>
        <v>0</v>
      </c>
      <c r="AW310" s="3">
        <f t="shared" si="191"/>
        <v>236</v>
      </c>
      <c r="AX310" s="69">
        <f t="shared" si="209"/>
        <v>0</v>
      </c>
      <c r="AY310" s="75">
        <f t="shared" si="192"/>
        <v>0</v>
      </c>
      <c r="AZ310" s="75">
        <f t="shared" si="193"/>
        <v>0</v>
      </c>
      <c r="BA310" s="75">
        <f t="shared" si="194"/>
        <v>0</v>
      </c>
      <c r="BB310" s="75">
        <f t="shared" si="195"/>
        <v>0</v>
      </c>
      <c r="BD310" s="214">
        <f t="shared" si="210"/>
        <v>210390.17811837644</v>
      </c>
      <c r="BE310" s="214">
        <f t="shared" si="196"/>
        <v>1024.0848304427279</v>
      </c>
      <c r="BF310" s="214">
        <f t="shared" si="197"/>
        <v>-348.13082462696445</v>
      </c>
      <c r="BG310" s="224">
        <f t="shared" si="214"/>
        <v>0</v>
      </c>
      <c r="BH310" s="19">
        <f t="shared" si="211"/>
        <v>309905.75301161187</v>
      </c>
      <c r="BI310" s="214">
        <f t="shared" si="198"/>
        <v>1508.4819232747345</v>
      </c>
      <c r="BJ310" s="214">
        <f t="shared" si="199"/>
        <v>0</v>
      </c>
      <c r="BK310" s="19">
        <f t="shared" si="215"/>
        <v>0</v>
      </c>
    </row>
    <row r="311" spans="1:63">
      <c r="A311" s="165">
        <f t="shared" si="200"/>
        <v>81.722792607802873</v>
      </c>
      <c r="B311" s="69">
        <f t="shared" si="201"/>
        <v>20</v>
      </c>
      <c r="C311" s="70">
        <f t="shared" si="202"/>
        <v>237</v>
      </c>
      <c r="D311" s="13">
        <f t="shared" si="171"/>
        <v>4.8675505653430484E-3</v>
      </c>
      <c r="E311" s="15">
        <f t="shared" si="172"/>
        <v>1</v>
      </c>
      <c r="F311" s="15">
        <f t="shared" si="203"/>
        <v>0</v>
      </c>
      <c r="G311" s="15">
        <f t="shared" si="173"/>
        <v>0</v>
      </c>
      <c r="H311" s="73">
        <f t="shared" si="174"/>
        <v>0</v>
      </c>
      <c r="I311" s="189"/>
      <c r="J311" s="189"/>
      <c r="K311" s="5">
        <f t="shared" si="216"/>
        <v>171225.59466243477</v>
      </c>
      <c r="M311" s="5">
        <f t="shared" si="175"/>
        <v>833.44924010033401</v>
      </c>
      <c r="N311" s="5">
        <f t="shared" si="176"/>
        <v>-283.32552403438109</v>
      </c>
      <c r="O311" s="5">
        <f t="shared" si="177"/>
        <v>0</v>
      </c>
      <c r="P311" s="5">
        <f t="shared" si="178"/>
        <v>0</v>
      </c>
      <c r="Q311" s="5">
        <f t="shared" si="212"/>
        <v>0</v>
      </c>
      <c r="R311" s="5">
        <f t="shared" si="204"/>
        <v>0</v>
      </c>
      <c r="S311" s="5">
        <f t="shared" si="179"/>
        <v>0</v>
      </c>
      <c r="T311" s="5">
        <f t="shared" si="180"/>
        <v>0</v>
      </c>
      <c r="U311" s="74">
        <f t="shared" si="181"/>
        <v>0</v>
      </c>
      <c r="V311" s="75">
        <f t="shared" si="182"/>
        <v>0</v>
      </c>
      <c r="W311" s="5">
        <f t="shared" si="183"/>
        <v>0</v>
      </c>
      <c r="X311" s="5">
        <f t="shared" si="184"/>
        <v>171775.71837850072</v>
      </c>
      <c r="Y311" s="5">
        <f t="shared" si="205"/>
        <v>100000</v>
      </c>
      <c r="Z311" s="215">
        <f t="shared" si="185"/>
        <v>1</v>
      </c>
      <c r="AA311" s="216">
        <f t="shared" si="206"/>
        <v>0</v>
      </c>
      <c r="AB311" s="72">
        <f t="shared" si="213"/>
        <v>29840.358821905051</v>
      </c>
      <c r="AC311" s="72">
        <f t="shared" si="186"/>
        <v>0</v>
      </c>
      <c r="AD311" s="72">
        <f t="shared" si="187"/>
        <v>0</v>
      </c>
      <c r="AE311" s="72">
        <f t="shared" si="207"/>
        <v>-35.770308778068753</v>
      </c>
      <c r="AF311" s="70">
        <f t="shared" si="188"/>
        <v>0</v>
      </c>
      <c r="AG311" s="70">
        <f t="shared" si="189"/>
        <v>8773.7505142491427</v>
      </c>
      <c r="AH311" s="1">
        <f t="shared" si="221"/>
        <v>0</v>
      </c>
      <c r="AI311" s="1">
        <f t="shared" si="221"/>
        <v>0</v>
      </c>
      <c r="AJ311" s="1">
        <f t="shared" si="221"/>
        <v>0</v>
      </c>
      <c r="AK311" s="1">
        <f t="shared" si="221"/>
        <v>0</v>
      </c>
      <c r="AL311" s="1">
        <f t="shared" si="221"/>
        <v>0</v>
      </c>
      <c r="AM311" s="1">
        <f t="shared" si="221"/>
        <v>0</v>
      </c>
      <c r="AN311" s="1">
        <f t="shared" si="221"/>
        <v>0</v>
      </c>
      <c r="AO311" s="1">
        <f t="shared" si="221"/>
        <v>1</v>
      </c>
      <c r="AP311" s="1">
        <f t="shared" si="221"/>
        <v>1</v>
      </c>
      <c r="AQ311" s="1">
        <f t="shared" si="221"/>
        <v>1</v>
      </c>
      <c r="AR311" s="1">
        <f t="shared" si="221"/>
        <v>1</v>
      </c>
      <c r="AS311" s="1">
        <f t="shared" si="221"/>
        <v>1</v>
      </c>
      <c r="AT311" s="39">
        <f t="shared" si="190"/>
        <v>171775.71837850072</v>
      </c>
      <c r="AU311" s="39">
        <f t="shared" si="208"/>
        <v>171775.71837850072</v>
      </c>
      <c r="AV311" s="39">
        <f t="shared" si="218"/>
        <v>0</v>
      </c>
      <c r="AW311" s="3">
        <f t="shared" si="191"/>
        <v>237</v>
      </c>
      <c r="AX311" s="69">
        <f t="shared" si="209"/>
        <v>0</v>
      </c>
      <c r="AY311" s="75">
        <f t="shared" si="192"/>
        <v>0</v>
      </c>
      <c r="AZ311" s="75">
        <f t="shared" si="193"/>
        <v>0</v>
      </c>
      <c r="BA311" s="75">
        <f t="shared" si="194"/>
        <v>0</v>
      </c>
      <c r="BB311" s="75">
        <f t="shared" si="195"/>
        <v>0</v>
      </c>
      <c r="BD311" s="214">
        <f t="shared" si="210"/>
        <v>211066.1321241922</v>
      </c>
      <c r="BE311" s="214">
        <f t="shared" si="196"/>
        <v>1027.3750707458823</v>
      </c>
      <c r="BF311" s="214">
        <f t="shared" si="197"/>
        <v>-349.24931992726374</v>
      </c>
      <c r="BG311" s="224">
        <f t="shared" si="214"/>
        <v>0</v>
      </c>
      <c r="BH311" s="19">
        <f t="shared" si="211"/>
        <v>311414.23493488663</v>
      </c>
      <c r="BI311" s="214">
        <f t="shared" si="198"/>
        <v>1515.8245353131804</v>
      </c>
      <c r="BJ311" s="214">
        <f t="shared" si="199"/>
        <v>0</v>
      </c>
      <c r="BK311" s="19">
        <f t="shared" si="215"/>
        <v>0</v>
      </c>
    </row>
    <row r="312" spans="1:63">
      <c r="A312" s="165">
        <f t="shared" si="200"/>
        <v>81.806125941136202</v>
      </c>
      <c r="B312" s="69">
        <f t="shared" si="201"/>
        <v>20</v>
      </c>
      <c r="C312" s="70">
        <f t="shared" si="202"/>
        <v>238</v>
      </c>
      <c r="D312" s="13">
        <f t="shared" si="171"/>
        <v>4.8675505653430484E-3</v>
      </c>
      <c r="E312" s="15">
        <f t="shared" si="172"/>
        <v>1</v>
      </c>
      <c r="F312" s="15">
        <f t="shared" si="203"/>
        <v>0</v>
      </c>
      <c r="G312" s="15">
        <f t="shared" si="173"/>
        <v>0</v>
      </c>
      <c r="H312" s="73">
        <f t="shared" si="174"/>
        <v>0</v>
      </c>
      <c r="I312" s="189"/>
      <c r="J312" s="189"/>
      <c r="K312" s="5">
        <f t="shared" si="216"/>
        <v>171775.71837850072</v>
      </c>
      <c r="M312" s="5">
        <f t="shared" si="175"/>
        <v>836.12699510547941</v>
      </c>
      <c r="N312" s="5">
        <f t="shared" si="176"/>
        <v>-284.23580903263382</v>
      </c>
      <c r="O312" s="5">
        <f t="shared" si="177"/>
        <v>0</v>
      </c>
      <c r="P312" s="5">
        <f t="shared" si="178"/>
        <v>0</v>
      </c>
      <c r="Q312" s="5">
        <f t="shared" si="212"/>
        <v>0</v>
      </c>
      <c r="R312" s="5">
        <f t="shared" si="204"/>
        <v>0</v>
      </c>
      <c r="S312" s="5">
        <f t="shared" si="179"/>
        <v>0</v>
      </c>
      <c r="T312" s="5">
        <f t="shared" si="180"/>
        <v>0</v>
      </c>
      <c r="U312" s="74">
        <f t="shared" si="181"/>
        <v>0</v>
      </c>
      <c r="V312" s="75">
        <f t="shared" si="182"/>
        <v>0</v>
      </c>
      <c r="W312" s="5">
        <f t="shared" si="183"/>
        <v>0</v>
      </c>
      <c r="X312" s="5">
        <f t="shared" si="184"/>
        <v>172327.60956457356</v>
      </c>
      <c r="Y312" s="5">
        <f t="shared" si="205"/>
        <v>100000</v>
      </c>
      <c r="Z312" s="215">
        <f t="shared" si="185"/>
        <v>1</v>
      </c>
      <c r="AA312" s="216">
        <f t="shared" si="206"/>
        <v>0</v>
      </c>
      <c r="AB312" s="72">
        <f t="shared" si="213"/>
        <v>29840.358821905051</v>
      </c>
      <c r="AC312" s="72">
        <f t="shared" si="186"/>
        <v>0</v>
      </c>
      <c r="AD312" s="72">
        <f t="shared" si="187"/>
        <v>0</v>
      </c>
      <c r="AE312" s="72">
        <f t="shared" si="207"/>
        <v>-35.8852337414109</v>
      </c>
      <c r="AF312" s="70">
        <f t="shared" si="188"/>
        <v>0</v>
      </c>
      <c r="AG312" s="70">
        <f t="shared" si="189"/>
        <v>8983.4691649568194</v>
      </c>
      <c r="AH312" s="1">
        <f t="shared" si="221"/>
        <v>0</v>
      </c>
      <c r="AI312" s="1">
        <f t="shared" si="221"/>
        <v>0</v>
      </c>
      <c r="AJ312" s="1">
        <f t="shared" si="221"/>
        <v>0</v>
      </c>
      <c r="AK312" s="1">
        <f t="shared" si="221"/>
        <v>0</v>
      </c>
      <c r="AL312" s="1">
        <f t="shared" si="221"/>
        <v>0</v>
      </c>
      <c r="AM312" s="1">
        <f t="shared" si="221"/>
        <v>0</v>
      </c>
      <c r="AN312" s="1">
        <f t="shared" si="221"/>
        <v>0</v>
      </c>
      <c r="AO312" s="1">
        <f t="shared" si="221"/>
        <v>1</v>
      </c>
      <c r="AP312" s="1">
        <f t="shared" si="221"/>
        <v>1</v>
      </c>
      <c r="AQ312" s="1">
        <f t="shared" si="221"/>
        <v>1</v>
      </c>
      <c r="AR312" s="1">
        <f t="shared" si="221"/>
        <v>1</v>
      </c>
      <c r="AS312" s="1">
        <f t="shared" si="221"/>
        <v>1</v>
      </c>
      <c r="AT312" s="39">
        <f t="shared" si="190"/>
        <v>172327.60956457356</v>
      </c>
      <c r="AU312" s="39">
        <f t="shared" si="208"/>
        <v>172327.60956457356</v>
      </c>
      <c r="AV312" s="39">
        <f t="shared" si="218"/>
        <v>0</v>
      </c>
      <c r="AW312" s="3">
        <f t="shared" si="191"/>
        <v>238</v>
      </c>
      <c r="AX312" s="69">
        <f t="shared" si="209"/>
        <v>0</v>
      </c>
      <c r="AY312" s="75">
        <f t="shared" si="192"/>
        <v>0</v>
      </c>
      <c r="AZ312" s="75">
        <f t="shared" si="193"/>
        <v>0</v>
      </c>
      <c r="BA312" s="75">
        <f t="shared" si="194"/>
        <v>0</v>
      </c>
      <c r="BB312" s="75">
        <f t="shared" si="195"/>
        <v>0</v>
      </c>
      <c r="BD312" s="214">
        <f t="shared" si="210"/>
        <v>211744.25787501081</v>
      </c>
      <c r="BE312" s="214">
        <f t="shared" si="196"/>
        <v>1030.675882127653</v>
      </c>
      <c r="BF312" s="214">
        <f t="shared" si="197"/>
        <v>-350.37140879540681</v>
      </c>
      <c r="BG312" s="224">
        <f t="shared" si="214"/>
        <v>0</v>
      </c>
      <c r="BH312" s="19">
        <f t="shared" si="211"/>
        <v>312930.05947019981</v>
      </c>
      <c r="BI312" s="214">
        <f t="shared" si="198"/>
        <v>1523.2028878870049</v>
      </c>
      <c r="BJ312" s="214">
        <f t="shared" si="199"/>
        <v>0</v>
      </c>
      <c r="BK312" s="19">
        <f t="shared" si="215"/>
        <v>0</v>
      </c>
    </row>
    <row r="313" spans="1:63">
      <c r="A313" s="165">
        <f t="shared" si="200"/>
        <v>81.889459274469544</v>
      </c>
      <c r="B313" s="69">
        <f t="shared" si="201"/>
        <v>20</v>
      </c>
      <c r="C313" s="70">
        <f t="shared" si="202"/>
        <v>239</v>
      </c>
      <c r="D313" s="13">
        <f t="shared" si="171"/>
        <v>4.8675505653430484E-3</v>
      </c>
      <c r="E313" s="15">
        <f t="shared" si="172"/>
        <v>1</v>
      </c>
      <c r="F313" s="15">
        <f t="shared" si="203"/>
        <v>0</v>
      </c>
      <c r="G313" s="15">
        <f t="shared" si="173"/>
        <v>0</v>
      </c>
      <c r="H313" s="73">
        <f t="shared" si="174"/>
        <v>0</v>
      </c>
      <c r="I313" s="189"/>
      <c r="J313" s="189"/>
      <c r="K313" s="5">
        <f t="shared" si="216"/>
        <v>172327.60956457356</v>
      </c>
      <c r="M313" s="5">
        <f t="shared" si="175"/>
        <v>838.8133533602562</v>
      </c>
      <c r="N313" s="5">
        <f t="shared" si="176"/>
        <v>-285.14901864835934</v>
      </c>
      <c r="O313" s="5">
        <f t="shared" si="177"/>
        <v>0</v>
      </c>
      <c r="P313" s="5">
        <f t="shared" si="178"/>
        <v>0</v>
      </c>
      <c r="Q313" s="5">
        <f t="shared" si="212"/>
        <v>0</v>
      </c>
      <c r="R313" s="5">
        <f t="shared" si="204"/>
        <v>0</v>
      </c>
      <c r="S313" s="5">
        <f t="shared" si="179"/>
        <v>0</v>
      </c>
      <c r="T313" s="5">
        <f t="shared" si="180"/>
        <v>0</v>
      </c>
      <c r="U313" s="74">
        <f t="shared" si="181"/>
        <v>0</v>
      </c>
      <c r="V313" s="75">
        <f t="shared" si="182"/>
        <v>0</v>
      </c>
      <c r="W313" s="5">
        <f t="shared" si="183"/>
        <v>0</v>
      </c>
      <c r="X313" s="5">
        <f t="shared" si="184"/>
        <v>172881.27389928544</v>
      </c>
      <c r="Y313" s="5">
        <f t="shared" si="205"/>
        <v>100000</v>
      </c>
      <c r="Z313" s="215">
        <f t="shared" si="185"/>
        <v>1</v>
      </c>
      <c r="AA313" s="216">
        <f t="shared" si="206"/>
        <v>0</v>
      </c>
      <c r="AB313" s="72">
        <f t="shared" si="213"/>
        <v>29840.358821905051</v>
      </c>
      <c r="AC313" s="72">
        <f t="shared" si="186"/>
        <v>0</v>
      </c>
      <c r="AD313" s="72">
        <f t="shared" si="187"/>
        <v>0</v>
      </c>
      <c r="AE313" s="72">
        <f t="shared" si="207"/>
        <v>-36.000527942471436</v>
      </c>
      <c r="AF313" s="70">
        <f t="shared" si="188"/>
        <v>0</v>
      </c>
      <c r="AG313" s="70">
        <f t="shared" si="189"/>
        <v>9193.8616121473315</v>
      </c>
      <c r="AH313" s="1">
        <f t="shared" si="221"/>
        <v>0</v>
      </c>
      <c r="AI313" s="1">
        <f t="shared" si="221"/>
        <v>0</v>
      </c>
      <c r="AJ313" s="1">
        <f t="shared" si="221"/>
        <v>0</v>
      </c>
      <c r="AK313" s="1">
        <f t="shared" si="221"/>
        <v>0</v>
      </c>
      <c r="AL313" s="1">
        <f t="shared" si="221"/>
        <v>0</v>
      </c>
      <c r="AM313" s="1">
        <f t="shared" si="221"/>
        <v>0</v>
      </c>
      <c r="AN313" s="1">
        <f t="shared" si="221"/>
        <v>0</v>
      </c>
      <c r="AO313" s="1">
        <f t="shared" si="221"/>
        <v>1</v>
      </c>
      <c r="AP313" s="1">
        <f t="shared" si="221"/>
        <v>1</v>
      </c>
      <c r="AQ313" s="1">
        <f t="shared" si="221"/>
        <v>1</v>
      </c>
      <c r="AR313" s="1">
        <f t="shared" si="221"/>
        <v>1</v>
      </c>
      <c r="AS313" s="1">
        <f t="shared" si="221"/>
        <v>1</v>
      </c>
      <c r="AT313" s="39">
        <f t="shared" si="190"/>
        <v>172881.27389928544</v>
      </c>
      <c r="AU313" s="39">
        <f t="shared" si="208"/>
        <v>172881.27389928544</v>
      </c>
      <c r="AV313" s="39">
        <f t="shared" si="218"/>
        <v>0</v>
      </c>
      <c r="AW313" s="3">
        <f t="shared" si="191"/>
        <v>239</v>
      </c>
      <c r="AX313" s="69">
        <f t="shared" si="209"/>
        <v>0</v>
      </c>
      <c r="AY313" s="75">
        <f t="shared" si="192"/>
        <v>0</v>
      </c>
      <c r="AZ313" s="75">
        <f t="shared" si="193"/>
        <v>0</v>
      </c>
      <c r="BA313" s="75">
        <f t="shared" si="194"/>
        <v>0</v>
      </c>
      <c r="BB313" s="75">
        <f t="shared" si="195"/>
        <v>0</v>
      </c>
      <c r="BD313" s="214">
        <f t="shared" si="210"/>
        <v>212424.56234834305</v>
      </c>
      <c r="BE313" s="214">
        <f t="shared" si="196"/>
        <v>1033.9872985514269</v>
      </c>
      <c r="BF313" s="214">
        <f t="shared" si="197"/>
        <v>-351.49710277702087</v>
      </c>
      <c r="BG313" s="224">
        <f t="shared" si="214"/>
        <v>0</v>
      </c>
      <c r="BH313" s="19">
        <f t="shared" si="211"/>
        <v>314453.26235808682</v>
      </c>
      <c r="BI313" s="214">
        <f t="shared" si="198"/>
        <v>1530.6171549650714</v>
      </c>
      <c r="BJ313" s="214">
        <f t="shared" si="199"/>
        <v>0</v>
      </c>
      <c r="BK313" s="19">
        <f t="shared" si="215"/>
        <v>0</v>
      </c>
    </row>
    <row r="314" spans="1:63">
      <c r="A314" s="165">
        <f t="shared" si="200"/>
        <v>81.972792607802873</v>
      </c>
      <c r="B314" s="69">
        <f t="shared" si="201"/>
        <v>20</v>
      </c>
      <c r="C314" s="70">
        <f t="shared" si="202"/>
        <v>240</v>
      </c>
      <c r="D314" s="13">
        <f t="shared" si="171"/>
        <v>4.8675505653430484E-3</v>
      </c>
      <c r="E314" s="15">
        <f t="shared" si="172"/>
        <v>1</v>
      </c>
      <c r="F314" s="15">
        <f t="shared" si="203"/>
        <v>0</v>
      </c>
      <c r="G314" s="15">
        <f t="shared" si="173"/>
        <v>0</v>
      </c>
      <c r="H314" s="73">
        <f t="shared" si="174"/>
        <v>0</v>
      </c>
      <c r="I314" s="189"/>
      <c r="J314" s="189"/>
      <c r="K314" s="5">
        <f t="shared" si="216"/>
        <v>172881.27389928544</v>
      </c>
      <c r="M314" s="5">
        <f t="shared" si="175"/>
        <v>841.50834250569324</v>
      </c>
      <c r="N314" s="5">
        <f t="shared" si="176"/>
        <v>-286.06516227794134</v>
      </c>
      <c r="O314" s="5">
        <f t="shared" si="177"/>
        <v>0</v>
      </c>
      <c r="P314" s="5">
        <f t="shared" si="178"/>
        <v>0</v>
      </c>
      <c r="Q314" s="5">
        <f t="shared" si="212"/>
        <v>0</v>
      </c>
      <c r="R314" s="5">
        <f t="shared" si="204"/>
        <v>0</v>
      </c>
      <c r="S314" s="5">
        <f t="shared" si="179"/>
        <v>0</v>
      </c>
      <c r="T314" s="5">
        <f t="shared" si="180"/>
        <v>0</v>
      </c>
      <c r="U314" s="74">
        <f t="shared" si="181"/>
        <v>0</v>
      </c>
      <c r="V314" s="75">
        <f t="shared" si="182"/>
        <v>0</v>
      </c>
      <c r="W314" s="5">
        <f t="shared" si="183"/>
        <v>0</v>
      </c>
      <c r="X314" s="5">
        <f t="shared" si="184"/>
        <v>173436.71707951318</v>
      </c>
      <c r="Y314" s="5">
        <f t="shared" si="205"/>
        <v>100000</v>
      </c>
      <c r="Z314" s="215">
        <f t="shared" si="185"/>
        <v>1</v>
      </c>
      <c r="AA314" s="216">
        <f t="shared" si="206"/>
        <v>0</v>
      </c>
      <c r="AB314" s="72">
        <f t="shared" si="213"/>
        <v>29840.358821905051</v>
      </c>
      <c r="AC314" s="72">
        <f t="shared" si="186"/>
        <v>0</v>
      </c>
      <c r="AD314" s="72">
        <f t="shared" si="187"/>
        <v>0</v>
      </c>
      <c r="AE314" s="72">
        <f t="shared" si="207"/>
        <v>-36.116192567559125</v>
      </c>
      <c r="AF314" s="70">
        <f t="shared" si="188"/>
        <v>0</v>
      </c>
      <c r="AG314" s="70">
        <f t="shared" si="189"/>
        <v>9404.9300206338739</v>
      </c>
      <c r="AH314" s="1">
        <f t="shared" si="221"/>
        <v>0</v>
      </c>
      <c r="AI314" s="1">
        <f t="shared" si="221"/>
        <v>0</v>
      </c>
      <c r="AJ314" s="1">
        <f t="shared" si="221"/>
        <v>0</v>
      </c>
      <c r="AK314" s="1">
        <f t="shared" si="221"/>
        <v>0</v>
      </c>
      <c r="AL314" s="1">
        <f t="shared" si="221"/>
        <v>0</v>
      </c>
      <c r="AM314" s="1">
        <f t="shared" si="221"/>
        <v>0</v>
      </c>
      <c r="AN314" s="1">
        <f t="shared" si="221"/>
        <v>0</v>
      </c>
      <c r="AO314" s="1">
        <f t="shared" si="221"/>
        <v>1</v>
      </c>
      <c r="AP314" s="1">
        <f t="shared" si="221"/>
        <v>1</v>
      </c>
      <c r="AQ314" s="1">
        <f t="shared" si="221"/>
        <v>1</v>
      </c>
      <c r="AR314" s="1">
        <f t="shared" si="221"/>
        <v>1</v>
      </c>
      <c r="AS314" s="1">
        <f t="shared" si="221"/>
        <v>1</v>
      </c>
      <c r="AT314" s="39">
        <f t="shared" si="190"/>
        <v>173436.71707951318</v>
      </c>
      <c r="AU314" s="39">
        <f t="shared" si="208"/>
        <v>173436.71707951318</v>
      </c>
      <c r="AV314" s="39">
        <f t="shared" si="218"/>
        <v>0</v>
      </c>
      <c r="AW314" s="3">
        <f t="shared" si="191"/>
        <v>240</v>
      </c>
      <c r="AX314" s="69">
        <f t="shared" si="209"/>
        <v>0</v>
      </c>
      <c r="AY314" s="75">
        <f t="shared" si="192"/>
        <v>-315983.87951305188</v>
      </c>
      <c r="AZ314" s="75">
        <f t="shared" si="193"/>
        <v>-213107.05254411747</v>
      </c>
      <c r="BA314" s="75">
        <f t="shared" si="194"/>
        <v>-315983.87951305188</v>
      </c>
      <c r="BB314" s="75">
        <f t="shared" si="195"/>
        <v>-213107.05254411747</v>
      </c>
      <c r="BD314" s="214">
        <f t="shared" si="210"/>
        <v>213107.05254411747</v>
      </c>
      <c r="BE314" s="214">
        <f t="shared" si="196"/>
        <v>1037.3093540897098</v>
      </c>
      <c r="BF314" s="214">
        <f t="shared" si="197"/>
        <v>-352.62641345482768</v>
      </c>
      <c r="BG314" s="224">
        <f t="shared" si="214"/>
        <v>0</v>
      </c>
      <c r="BH314" s="19">
        <f t="shared" si="211"/>
        <v>315983.87951305188</v>
      </c>
      <c r="BI314" s="214">
        <f t="shared" si="198"/>
        <v>1538.0675113630455</v>
      </c>
      <c r="BJ314" s="214">
        <f t="shared" si="199"/>
        <v>0</v>
      </c>
      <c r="BK314" s="19">
        <f t="shared" si="215"/>
        <v>0</v>
      </c>
    </row>
    <row r="315" spans="1:63">
      <c r="A315" s="165">
        <f t="shared" si="200"/>
        <v>82.056125941136202</v>
      </c>
      <c r="B315" s="69">
        <f t="shared" si="201"/>
        <v>21</v>
      </c>
      <c r="C315" s="70">
        <f t="shared" si="202"/>
        <v>241</v>
      </c>
      <c r="D315" s="13">
        <f t="shared" si="171"/>
        <v>4.8675505653430484E-3</v>
      </c>
      <c r="E315" s="15">
        <f t="shared" si="172"/>
        <v>1</v>
      </c>
      <c r="F315" s="15">
        <f t="shared" si="203"/>
        <v>0</v>
      </c>
      <c r="G315" s="15">
        <f t="shared" si="173"/>
        <v>0</v>
      </c>
      <c r="H315" s="73">
        <f t="shared" si="174"/>
        <v>0</v>
      </c>
      <c r="I315" s="189"/>
      <c r="J315" s="192"/>
      <c r="K315" s="5">
        <f t="shared" si="216"/>
        <v>173436.71707951318</v>
      </c>
      <c r="M315" s="5">
        <f t="shared" si="175"/>
        <v>844.21199027162675</v>
      </c>
      <c r="N315" s="5">
        <f t="shared" si="176"/>
        <v>-286.98424934795332</v>
      </c>
      <c r="O315" s="5">
        <f t="shared" si="177"/>
        <v>0</v>
      </c>
      <c r="P315" s="5">
        <f t="shared" si="178"/>
        <v>0</v>
      </c>
      <c r="Q315" s="5">
        <f t="shared" si="212"/>
        <v>0</v>
      </c>
      <c r="R315" s="5">
        <f t="shared" si="204"/>
        <v>0</v>
      </c>
      <c r="S315" s="5">
        <f t="shared" si="179"/>
        <v>0</v>
      </c>
      <c r="T315" s="5">
        <f t="shared" si="180"/>
        <v>0</v>
      </c>
      <c r="U315" s="74">
        <f t="shared" si="181"/>
        <v>0</v>
      </c>
      <c r="V315" s="75">
        <f t="shared" si="182"/>
        <v>0</v>
      </c>
      <c r="W315" s="5">
        <f t="shared" si="183"/>
        <v>0</v>
      </c>
      <c r="X315" s="5">
        <f t="shared" si="184"/>
        <v>173993.94482043685</v>
      </c>
      <c r="Y315" s="5">
        <f t="shared" si="205"/>
        <v>100000</v>
      </c>
      <c r="Z315" s="215">
        <f t="shared" si="185"/>
        <v>1</v>
      </c>
      <c r="AA315" s="216">
        <f t="shared" si="206"/>
        <v>0</v>
      </c>
      <c r="AB315" s="72">
        <f t="shared" si="213"/>
        <v>29840.358821905051</v>
      </c>
      <c r="AC315" s="72">
        <f t="shared" si="186"/>
        <v>0</v>
      </c>
      <c r="AD315" s="72">
        <f t="shared" si="187"/>
        <v>0</v>
      </c>
      <c r="AE315" s="72">
        <f t="shared" si="207"/>
        <v>-36.232228806794211</v>
      </c>
      <c r="AF315" s="70">
        <f t="shared" si="188"/>
        <v>0</v>
      </c>
      <c r="AG315" s="70">
        <f t="shared" si="189"/>
        <v>9616.6765621848681</v>
      </c>
      <c r="AH315" s="1">
        <f t="shared" ref="AH315:AS324" si="222">IF($B315&lt;=AH$74,1,0)</f>
        <v>0</v>
      </c>
      <c r="AI315" s="1">
        <f t="shared" si="222"/>
        <v>0</v>
      </c>
      <c r="AJ315" s="1">
        <f t="shared" si="222"/>
        <v>0</v>
      </c>
      <c r="AK315" s="1">
        <f t="shared" si="222"/>
        <v>0</v>
      </c>
      <c r="AL315" s="1">
        <f t="shared" si="222"/>
        <v>0</v>
      </c>
      <c r="AM315" s="1">
        <f t="shared" si="222"/>
        <v>0</v>
      </c>
      <c r="AN315" s="1">
        <f t="shared" si="222"/>
        <v>0</v>
      </c>
      <c r="AO315" s="1">
        <f t="shared" si="222"/>
        <v>0</v>
      </c>
      <c r="AP315" s="1">
        <f t="shared" si="222"/>
        <v>1</v>
      </c>
      <c r="AQ315" s="1">
        <f t="shared" si="222"/>
        <v>1</v>
      </c>
      <c r="AR315" s="1">
        <f t="shared" si="222"/>
        <v>1</v>
      </c>
      <c r="AS315" s="1">
        <f t="shared" si="222"/>
        <v>1</v>
      </c>
      <c r="AT315" s="39">
        <f t="shared" si="190"/>
        <v>173993.94482043685</v>
      </c>
      <c r="AU315" s="39">
        <f t="shared" si="208"/>
        <v>173993.94482043685</v>
      </c>
      <c r="AV315" s="39">
        <f t="shared" si="218"/>
        <v>0</v>
      </c>
      <c r="AW315" s="3">
        <f t="shared" si="191"/>
        <v>241</v>
      </c>
      <c r="AX315" s="69">
        <f t="shared" si="209"/>
        <v>0</v>
      </c>
      <c r="AY315" s="75">
        <f t="shared" si="192"/>
        <v>0</v>
      </c>
      <c r="AZ315" s="75">
        <f t="shared" si="193"/>
        <v>0</v>
      </c>
      <c r="BA315" s="75">
        <f t="shared" si="194"/>
        <v>0</v>
      </c>
      <c r="BB315" s="75">
        <f t="shared" si="195"/>
        <v>0</v>
      </c>
      <c r="BD315" s="214">
        <f t="shared" si="210"/>
        <v>213791.73548475234</v>
      </c>
      <c r="BE315" s="214">
        <f t="shared" si="196"/>
        <v>1040.6420829244778</v>
      </c>
      <c r="BF315" s="214">
        <f t="shared" si="197"/>
        <v>-353.75935244876268</v>
      </c>
      <c r="BG315" s="224">
        <f t="shared" si="214"/>
        <v>0</v>
      </c>
      <c r="BH315" s="19">
        <f t="shared" si="211"/>
        <v>317521.94702441496</v>
      </c>
      <c r="BI315" s="214">
        <f t="shared" si="198"/>
        <v>1545.5541327475164</v>
      </c>
      <c r="BJ315" s="214">
        <f t="shared" si="199"/>
        <v>0</v>
      </c>
      <c r="BK315" s="19">
        <f t="shared" si="215"/>
        <v>0</v>
      </c>
    </row>
    <row r="316" spans="1:63">
      <c r="A316" s="165">
        <f t="shared" si="200"/>
        <v>82.139459274469544</v>
      </c>
      <c r="B316" s="69">
        <f t="shared" si="201"/>
        <v>21</v>
      </c>
      <c r="C316" s="70">
        <f t="shared" si="202"/>
        <v>242</v>
      </c>
      <c r="D316" s="13">
        <f t="shared" si="171"/>
        <v>4.8675505653430484E-3</v>
      </c>
      <c r="E316" s="15">
        <f t="shared" si="172"/>
        <v>1</v>
      </c>
      <c r="F316" s="15">
        <f t="shared" si="203"/>
        <v>0</v>
      </c>
      <c r="G316" s="15">
        <f t="shared" si="173"/>
        <v>0</v>
      </c>
      <c r="H316" s="73">
        <f t="shared" si="174"/>
        <v>0</v>
      </c>
      <c r="I316" s="189"/>
      <c r="J316" s="189"/>
      <c r="K316" s="5">
        <f t="shared" si="216"/>
        <v>173993.94482043685</v>
      </c>
      <c r="M316" s="5">
        <f t="shared" si="175"/>
        <v>846.92432447698457</v>
      </c>
      <c r="N316" s="5">
        <f t="shared" si="176"/>
        <v>-287.90628931525458</v>
      </c>
      <c r="O316" s="5">
        <f t="shared" si="177"/>
        <v>0</v>
      </c>
      <c r="P316" s="5">
        <f t="shared" si="178"/>
        <v>0</v>
      </c>
      <c r="Q316" s="5">
        <f t="shared" si="212"/>
        <v>0</v>
      </c>
      <c r="R316" s="5">
        <f t="shared" si="204"/>
        <v>0</v>
      </c>
      <c r="S316" s="5">
        <f t="shared" si="179"/>
        <v>0</v>
      </c>
      <c r="T316" s="5">
        <f t="shared" si="180"/>
        <v>0</v>
      </c>
      <c r="U316" s="74">
        <f t="shared" si="181"/>
        <v>0</v>
      </c>
      <c r="V316" s="75">
        <f t="shared" si="182"/>
        <v>0</v>
      </c>
      <c r="W316" s="5">
        <f t="shared" si="183"/>
        <v>0</v>
      </c>
      <c r="X316" s="5">
        <f t="shared" si="184"/>
        <v>174552.96285559857</v>
      </c>
      <c r="Y316" s="5">
        <f t="shared" si="205"/>
        <v>100000</v>
      </c>
      <c r="Z316" s="215">
        <f t="shared" si="185"/>
        <v>1</v>
      </c>
      <c r="AA316" s="216">
        <f t="shared" si="206"/>
        <v>0</v>
      </c>
      <c r="AB316" s="72">
        <f t="shared" si="213"/>
        <v>29840.358821905051</v>
      </c>
      <c r="AC316" s="72">
        <f t="shared" si="186"/>
        <v>0</v>
      </c>
      <c r="AD316" s="72">
        <f t="shared" si="187"/>
        <v>0</v>
      </c>
      <c r="AE316" s="72">
        <f t="shared" si="207"/>
        <v>-36.348637854120575</v>
      </c>
      <c r="AF316" s="70">
        <f t="shared" si="188"/>
        <v>0</v>
      </c>
      <c r="AG316" s="70">
        <f t="shared" si="189"/>
        <v>9829.1034155463203</v>
      </c>
      <c r="AH316" s="1">
        <f t="shared" si="222"/>
        <v>0</v>
      </c>
      <c r="AI316" s="1">
        <f t="shared" si="222"/>
        <v>0</v>
      </c>
      <c r="AJ316" s="1">
        <f t="shared" si="222"/>
        <v>0</v>
      </c>
      <c r="AK316" s="1">
        <f t="shared" si="222"/>
        <v>0</v>
      </c>
      <c r="AL316" s="1">
        <f t="shared" si="222"/>
        <v>0</v>
      </c>
      <c r="AM316" s="1">
        <f t="shared" si="222"/>
        <v>0</v>
      </c>
      <c r="AN316" s="1">
        <f t="shared" si="222"/>
        <v>0</v>
      </c>
      <c r="AO316" s="1">
        <f t="shared" si="222"/>
        <v>0</v>
      </c>
      <c r="AP316" s="1">
        <f t="shared" si="222"/>
        <v>1</v>
      </c>
      <c r="AQ316" s="1">
        <f t="shared" si="222"/>
        <v>1</v>
      </c>
      <c r="AR316" s="1">
        <f t="shared" si="222"/>
        <v>1</v>
      </c>
      <c r="AS316" s="1">
        <f t="shared" si="222"/>
        <v>1</v>
      </c>
      <c r="AT316" s="39">
        <f t="shared" si="190"/>
        <v>174552.96285559857</v>
      </c>
      <c r="AU316" s="39">
        <f t="shared" si="208"/>
        <v>174552.96285559857</v>
      </c>
      <c r="AV316" s="39">
        <f t="shared" si="218"/>
        <v>0</v>
      </c>
      <c r="AW316" s="3">
        <f t="shared" si="191"/>
        <v>242</v>
      </c>
      <c r="AX316" s="69">
        <f t="shared" si="209"/>
        <v>0</v>
      </c>
      <c r="AY316" s="75">
        <f t="shared" si="192"/>
        <v>0</v>
      </c>
      <c r="AZ316" s="75">
        <f t="shared" si="193"/>
        <v>0</v>
      </c>
      <c r="BA316" s="75">
        <f t="shared" si="194"/>
        <v>0</v>
      </c>
      <c r="BB316" s="75">
        <f t="shared" si="195"/>
        <v>0</v>
      </c>
      <c r="BD316" s="214">
        <f t="shared" si="210"/>
        <v>214478.61821522805</v>
      </c>
      <c r="BE316" s="214">
        <f t="shared" si="196"/>
        <v>1043.9855193475291</v>
      </c>
      <c r="BF316" s="214">
        <f t="shared" si="197"/>
        <v>-354.89593141609441</v>
      </c>
      <c r="BG316" s="224">
        <f t="shared" si="214"/>
        <v>0</v>
      </c>
      <c r="BH316" s="19">
        <f t="shared" si="211"/>
        <v>319067.50115716248</v>
      </c>
      <c r="BI316" s="214">
        <f t="shared" si="198"/>
        <v>1553.07719564014</v>
      </c>
      <c r="BJ316" s="214">
        <f t="shared" si="199"/>
        <v>0</v>
      </c>
      <c r="BK316" s="19">
        <f t="shared" si="215"/>
        <v>0</v>
      </c>
    </row>
    <row r="317" spans="1:63">
      <c r="A317" s="165">
        <f t="shared" si="200"/>
        <v>82.222792607802873</v>
      </c>
      <c r="B317" s="69">
        <f t="shared" si="201"/>
        <v>21</v>
      </c>
      <c r="C317" s="70">
        <f t="shared" si="202"/>
        <v>243</v>
      </c>
      <c r="D317" s="13">
        <f t="shared" si="171"/>
        <v>4.8675505653430484E-3</v>
      </c>
      <c r="E317" s="15">
        <f t="shared" si="172"/>
        <v>1</v>
      </c>
      <c r="F317" s="15">
        <f t="shared" si="203"/>
        <v>0</v>
      </c>
      <c r="G317" s="15">
        <f t="shared" si="173"/>
        <v>0</v>
      </c>
      <c r="H317" s="73">
        <f t="shared" si="174"/>
        <v>0</v>
      </c>
      <c r="I317" s="189"/>
      <c r="J317" s="189"/>
      <c r="K317" s="5">
        <f t="shared" si="216"/>
        <v>174552.96285559857</v>
      </c>
      <c r="M317" s="5">
        <f t="shared" si="175"/>
        <v>849.64537303007296</v>
      </c>
      <c r="N317" s="5">
        <f t="shared" si="176"/>
        <v>-288.83129166708824</v>
      </c>
      <c r="O317" s="5">
        <f t="shared" si="177"/>
        <v>0</v>
      </c>
      <c r="P317" s="5">
        <f t="shared" si="178"/>
        <v>0</v>
      </c>
      <c r="Q317" s="5">
        <f t="shared" si="212"/>
        <v>0</v>
      </c>
      <c r="R317" s="5">
        <f t="shared" si="204"/>
        <v>0</v>
      </c>
      <c r="S317" s="5">
        <f t="shared" si="179"/>
        <v>0</v>
      </c>
      <c r="T317" s="5">
        <f t="shared" si="180"/>
        <v>0</v>
      </c>
      <c r="U317" s="74">
        <f t="shared" si="181"/>
        <v>0</v>
      </c>
      <c r="V317" s="75">
        <f t="shared" si="182"/>
        <v>0</v>
      </c>
      <c r="W317" s="5">
        <f t="shared" si="183"/>
        <v>0</v>
      </c>
      <c r="X317" s="5">
        <f t="shared" si="184"/>
        <v>175113.77693696154</v>
      </c>
      <c r="Y317" s="5">
        <f t="shared" si="205"/>
        <v>100000</v>
      </c>
      <c r="Z317" s="215">
        <f t="shared" si="185"/>
        <v>1</v>
      </c>
      <c r="AA317" s="216">
        <f t="shared" si="206"/>
        <v>0</v>
      </c>
      <c r="AB317" s="72">
        <f t="shared" si="213"/>
        <v>29840.358821905051</v>
      </c>
      <c r="AC317" s="72">
        <f t="shared" si="186"/>
        <v>0</v>
      </c>
      <c r="AD317" s="72">
        <f t="shared" si="187"/>
        <v>0</v>
      </c>
      <c r="AE317" s="72">
        <f t="shared" si="207"/>
        <v>-36.465420907318126</v>
      </c>
      <c r="AF317" s="70">
        <f t="shared" si="188"/>
        <v>0</v>
      </c>
      <c r="AG317" s="70">
        <f t="shared" si="189"/>
        <v>10042.212766464254</v>
      </c>
      <c r="AH317" s="1">
        <f t="shared" si="222"/>
        <v>0</v>
      </c>
      <c r="AI317" s="1">
        <f t="shared" si="222"/>
        <v>0</v>
      </c>
      <c r="AJ317" s="1">
        <f t="shared" si="222"/>
        <v>0</v>
      </c>
      <c r="AK317" s="1">
        <f t="shared" si="222"/>
        <v>0</v>
      </c>
      <c r="AL317" s="1">
        <f t="shared" si="222"/>
        <v>0</v>
      </c>
      <c r="AM317" s="1">
        <f t="shared" si="222"/>
        <v>0</v>
      </c>
      <c r="AN317" s="1">
        <f t="shared" si="222"/>
        <v>0</v>
      </c>
      <c r="AO317" s="1">
        <f t="shared" si="222"/>
        <v>0</v>
      </c>
      <c r="AP317" s="1">
        <f t="shared" si="222"/>
        <v>1</v>
      </c>
      <c r="AQ317" s="1">
        <f t="shared" si="222"/>
        <v>1</v>
      </c>
      <c r="AR317" s="1">
        <f t="shared" si="222"/>
        <v>1</v>
      </c>
      <c r="AS317" s="1">
        <f t="shared" si="222"/>
        <v>1</v>
      </c>
      <c r="AT317" s="39">
        <f t="shared" si="190"/>
        <v>175113.77693696154</v>
      </c>
      <c r="AU317" s="39">
        <f t="shared" si="208"/>
        <v>175113.77693696154</v>
      </c>
      <c r="AV317" s="39">
        <f t="shared" si="218"/>
        <v>0</v>
      </c>
      <c r="AW317" s="3">
        <f t="shared" si="191"/>
        <v>243</v>
      </c>
      <c r="AX317" s="69">
        <f t="shared" si="209"/>
        <v>0</v>
      </c>
      <c r="AY317" s="75">
        <f t="shared" si="192"/>
        <v>0</v>
      </c>
      <c r="AZ317" s="75">
        <f t="shared" si="193"/>
        <v>0</v>
      </c>
      <c r="BA317" s="75">
        <f t="shared" si="194"/>
        <v>0</v>
      </c>
      <c r="BB317" s="75">
        <f t="shared" si="195"/>
        <v>0</v>
      </c>
      <c r="BD317" s="214">
        <f t="shared" si="210"/>
        <v>215167.70780315949</v>
      </c>
      <c r="BE317" s="214">
        <f t="shared" si="196"/>
        <v>1047.3396977608368</v>
      </c>
      <c r="BF317" s="214">
        <f t="shared" si="197"/>
        <v>-356.03616205154475</v>
      </c>
      <c r="BG317" s="224">
        <f t="shared" si="214"/>
        <v>0</v>
      </c>
      <c r="BH317" s="19">
        <f t="shared" si="211"/>
        <v>320620.57835280261</v>
      </c>
      <c r="BI317" s="214">
        <f t="shared" si="198"/>
        <v>1560.6368774217995</v>
      </c>
      <c r="BJ317" s="214">
        <f t="shared" si="199"/>
        <v>0</v>
      </c>
      <c r="BK317" s="19">
        <f t="shared" si="215"/>
        <v>0</v>
      </c>
    </row>
    <row r="318" spans="1:63">
      <c r="A318" s="165">
        <f t="shared" si="200"/>
        <v>82.306125941136202</v>
      </c>
      <c r="B318" s="69">
        <f t="shared" si="201"/>
        <v>21</v>
      </c>
      <c r="C318" s="70">
        <f t="shared" si="202"/>
        <v>244</v>
      </c>
      <c r="D318" s="13">
        <f t="shared" si="171"/>
        <v>4.8675505653430484E-3</v>
      </c>
      <c r="E318" s="15">
        <f t="shared" si="172"/>
        <v>1</v>
      </c>
      <c r="F318" s="15">
        <f t="shared" si="203"/>
        <v>0</v>
      </c>
      <c r="G318" s="15">
        <f t="shared" si="173"/>
        <v>0</v>
      </c>
      <c r="H318" s="73">
        <f t="shared" si="174"/>
        <v>0</v>
      </c>
      <c r="I318" s="189"/>
      <c r="J318" s="189"/>
      <c r="K318" s="5">
        <f t="shared" si="216"/>
        <v>175113.77693696154</v>
      </c>
      <c r="M318" s="5">
        <f t="shared" si="175"/>
        <v>852.37516392886357</v>
      </c>
      <c r="N318" s="5">
        <f t="shared" si="176"/>
        <v>-289.75926592117838</v>
      </c>
      <c r="O318" s="5">
        <f t="shared" si="177"/>
        <v>0</v>
      </c>
      <c r="P318" s="5">
        <f t="shared" si="178"/>
        <v>0</v>
      </c>
      <c r="Q318" s="5">
        <f t="shared" si="212"/>
        <v>0</v>
      </c>
      <c r="R318" s="5">
        <f t="shared" si="204"/>
        <v>0</v>
      </c>
      <c r="S318" s="5">
        <f t="shared" si="179"/>
        <v>0</v>
      </c>
      <c r="T318" s="5">
        <f t="shared" si="180"/>
        <v>0</v>
      </c>
      <c r="U318" s="74">
        <f t="shared" si="181"/>
        <v>0</v>
      </c>
      <c r="V318" s="75">
        <f t="shared" si="182"/>
        <v>0</v>
      </c>
      <c r="W318" s="5">
        <f t="shared" si="183"/>
        <v>0</v>
      </c>
      <c r="X318" s="5">
        <f t="shared" si="184"/>
        <v>175676.39283496924</v>
      </c>
      <c r="Y318" s="5">
        <f t="shared" si="205"/>
        <v>100000</v>
      </c>
      <c r="Z318" s="215">
        <f t="shared" si="185"/>
        <v>1</v>
      </c>
      <c r="AA318" s="216">
        <f t="shared" si="206"/>
        <v>0</v>
      </c>
      <c r="AB318" s="72">
        <f t="shared" si="213"/>
        <v>29840.358821905051</v>
      </c>
      <c r="AC318" s="72">
        <f t="shared" si="186"/>
        <v>0</v>
      </c>
      <c r="AD318" s="72">
        <f t="shared" si="187"/>
        <v>0</v>
      </c>
      <c r="AE318" s="72">
        <f t="shared" si="207"/>
        <v>-36.582579168015009</v>
      </c>
      <c r="AF318" s="70">
        <f t="shared" si="188"/>
        <v>0</v>
      </c>
      <c r="AG318" s="70">
        <f t="shared" si="189"/>
        <v>10256.006807707177</v>
      </c>
      <c r="AH318" s="1">
        <f t="shared" si="222"/>
        <v>0</v>
      </c>
      <c r="AI318" s="1">
        <f t="shared" si="222"/>
        <v>0</v>
      </c>
      <c r="AJ318" s="1">
        <f t="shared" si="222"/>
        <v>0</v>
      </c>
      <c r="AK318" s="1">
        <f t="shared" si="222"/>
        <v>0</v>
      </c>
      <c r="AL318" s="1">
        <f t="shared" si="222"/>
        <v>0</v>
      </c>
      <c r="AM318" s="1">
        <f t="shared" si="222"/>
        <v>0</v>
      </c>
      <c r="AN318" s="1">
        <f t="shared" si="222"/>
        <v>0</v>
      </c>
      <c r="AO318" s="1">
        <f t="shared" si="222"/>
        <v>0</v>
      </c>
      <c r="AP318" s="1">
        <f t="shared" si="222"/>
        <v>1</v>
      </c>
      <c r="AQ318" s="1">
        <f t="shared" si="222"/>
        <v>1</v>
      </c>
      <c r="AR318" s="1">
        <f t="shared" si="222"/>
        <v>1</v>
      </c>
      <c r="AS318" s="1">
        <f t="shared" si="222"/>
        <v>1</v>
      </c>
      <c r="AT318" s="39">
        <f t="shared" si="190"/>
        <v>175676.39283496924</v>
      </c>
      <c r="AU318" s="39">
        <f t="shared" si="208"/>
        <v>175676.39283496924</v>
      </c>
      <c r="AV318" s="39">
        <f t="shared" si="218"/>
        <v>0</v>
      </c>
      <c r="AW318" s="3">
        <f t="shared" si="191"/>
        <v>244</v>
      </c>
      <c r="AX318" s="69">
        <f t="shared" si="209"/>
        <v>0</v>
      </c>
      <c r="AY318" s="75">
        <f t="shared" si="192"/>
        <v>0</v>
      </c>
      <c r="AZ318" s="75">
        <f t="shared" si="193"/>
        <v>0</v>
      </c>
      <c r="BA318" s="75">
        <f t="shared" si="194"/>
        <v>0</v>
      </c>
      <c r="BB318" s="75">
        <f t="shared" si="195"/>
        <v>0</v>
      </c>
      <c r="BD318" s="214">
        <f t="shared" si="210"/>
        <v>215859.01133886879</v>
      </c>
      <c r="BE318" s="214">
        <f t="shared" si="196"/>
        <v>1050.7046526769022</v>
      </c>
      <c r="BF318" s="214">
        <f t="shared" si="197"/>
        <v>-357.18005608740896</v>
      </c>
      <c r="BG318" s="224">
        <f t="shared" si="214"/>
        <v>0</v>
      </c>
      <c r="BH318" s="19">
        <f t="shared" si="211"/>
        <v>322181.21523022442</v>
      </c>
      <c r="BI318" s="214">
        <f t="shared" si="198"/>
        <v>1568.2333563367893</v>
      </c>
      <c r="BJ318" s="214">
        <f t="shared" si="199"/>
        <v>0</v>
      </c>
      <c r="BK318" s="19">
        <f t="shared" si="215"/>
        <v>0</v>
      </c>
    </row>
    <row r="319" spans="1:63">
      <c r="A319" s="165">
        <f t="shared" si="200"/>
        <v>82.389459274469544</v>
      </c>
      <c r="B319" s="69">
        <f t="shared" si="201"/>
        <v>21</v>
      </c>
      <c r="C319" s="70">
        <f t="shared" si="202"/>
        <v>245</v>
      </c>
      <c r="D319" s="13">
        <f t="shared" si="171"/>
        <v>4.8675505653430484E-3</v>
      </c>
      <c r="E319" s="15">
        <f t="shared" si="172"/>
        <v>1</v>
      </c>
      <c r="F319" s="15">
        <f t="shared" si="203"/>
        <v>0</v>
      </c>
      <c r="G319" s="15">
        <f t="shared" si="173"/>
        <v>0</v>
      </c>
      <c r="H319" s="73">
        <f t="shared" si="174"/>
        <v>0</v>
      </c>
      <c r="I319" s="189"/>
      <c r="J319" s="189"/>
      <c r="K319" s="5">
        <f t="shared" si="216"/>
        <v>175676.39283496924</v>
      </c>
      <c r="M319" s="5">
        <f t="shared" si="175"/>
        <v>855.11372526128196</v>
      </c>
      <c r="N319" s="5">
        <f t="shared" si="176"/>
        <v>-290.69022162582854</v>
      </c>
      <c r="O319" s="5">
        <f t="shared" si="177"/>
        <v>0</v>
      </c>
      <c r="P319" s="5">
        <f t="shared" si="178"/>
        <v>0</v>
      </c>
      <c r="Q319" s="5">
        <f t="shared" si="212"/>
        <v>0</v>
      </c>
      <c r="R319" s="5">
        <f t="shared" si="204"/>
        <v>0</v>
      </c>
      <c r="S319" s="5">
        <f t="shared" si="179"/>
        <v>0</v>
      </c>
      <c r="T319" s="5">
        <f t="shared" si="180"/>
        <v>0</v>
      </c>
      <c r="U319" s="74">
        <f t="shared" si="181"/>
        <v>0</v>
      </c>
      <c r="V319" s="75">
        <f t="shared" si="182"/>
        <v>0</v>
      </c>
      <c r="W319" s="5">
        <f t="shared" si="183"/>
        <v>0</v>
      </c>
      <c r="X319" s="5">
        <f t="shared" si="184"/>
        <v>176240.81633860469</v>
      </c>
      <c r="Y319" s="5">
        <f t="shared" si="205"/>
        <v>100000</v>
      </c>
      <c r="Z319" s="215">
        <f t="shared" si="185"/>
        <v>1</v>
      </c>
      <c r="AA319" s="216">
        <f t="shared" si="206"/>
        <v>0</v>
      </c>
      <c r="AB319" s="72">
        <f t="shared" si="213"/>
        <v>29840.358821905051</v>
      </c>
      <c r="AC319" s="72">
        <f t="shared" si="186"/>
        <v>0</v>
      </c>
      <c r="AD319" s="72">
        <f t="shared" si="187"/>
        <v>0</v>
      </c>
      <c r="AE319" s="72">
        <f t="shared" si="207"/>
        <v>-36.700113841700116</v>
      </c>
      <c r="AF319" s="70">
        <f t="shared" si="188"/>
        <v>0</v>
      </c>
      <c r="AG319" s="70">
        <f t="shared" si="189"/>
        <v>10470.487739088647</v>
      </c>
      <c r="AH319" s="1">
        <f t="shared" si="222"/>
        <v>0</v>
      </c>
      <c r="AI319" s="1">
        <f t="shared" si="222"/>
        <v>0</v>
      </c>
      <c r="AJ319" s="1">
        <f t="shared" si="222"/>
        <v>0</v>
      </c>
      <c r="AK319" s="1">
        <f t="shared" si="222"/>
        <v>0</v>
      </c>
      <c r="AL319" s="1">
        <f t="shared" si="222"/>
        <v>0</v>
      </c>
      <c r="AM319" s="1">
        <f t="shared" si="222"/>
        <v>0</v>
      </c>
      <c r="AN319" s="1">
        <f t="shared" si="222"/>
        <v>0</v>
      </c>
      <c r="AO319" s="1">
        <f t="shared" si="222"/>
        <v>0</v>
      </c>
      <c r="AP319" s="1">
        <f t="shared" si="222"/>
        <v>1</v>
      </c>
      <c r="AQ319" s="1">
        <f t="shared" si="222"/>
        <v>1</v>
      </c>
      <c r="AR319" s="1">
        <f t="shared" si="222"/>
        <v>1</v>
      </c>
      <c r="AS319" s="1">
        <f t="shared" si="222"/>
        <v>1</v>
      </c>
      <c r="AT319" s="39">
        <f t="shared" si="190"/>
        <v>176240.81633860469</v>
      </c>
      <c r="AU319" s="39">
        <f t="shared" si="208"/>
        <v>176240.81633860469</v>
      </c>
      <c r="AV319" s="39">
        <f t="shared" si="218"/>
        <v>0</v>
      </c>
      <c r="AW319" s="3">
        <f t="shared" si="191"/>
        <v>245</v>
      </c>
      <c r="AX319" s="69">
        <f t="shared" si="209"/>
        <v>0</v>
      </c>
      <c r="AY319" s="75">
        <f t="shared" si="192"/>
        <v>0</v>
      </c>
      <c r="AZ319" s="75">
        <f t="shared" si="193"/>
        <v>0</v>
      </c>
      <c r="BA319" s="75">
        <f t="shared" si="194"/>
        <v>0</v>
      </c>
      <c r="BB319" s="75">
        <f t="shared" si="195"/>
        <v>0</v>
      </c>
      <c r="BD319" s="214">
        <f t="shared" si="210"/>
        <v>216552.53593545829</v>
      </c>
      <c r="BE319" s="214">
        <f t="shared" si="196"/>
        <v>1054.0804187191109</v>
      </c>
      <c r="BF319" s="214">
        <f t="shared" si="197"/>
        <v>-358.32762529367648</v>
      </c>
      <c r="BG319" s="224">
        <f t="shared" si="214"/>
        <v>0</v>
      </c>
      <c r="BH319" s="19">
        <f t="shared" si="211"/>
        <v>323749.44858656119</v>
      </c>
      <c r="BI319" s="214">
        <f t="shared" si="198"/>
        <v>1575.8668114970162</v>
      </c>
      <c r="BJ319" s="214">
        <f t="shared" si="199"/>
        <v>0</v>
      </c>
      <c r="BK319" s="19">
        <f t="shared" si="215"/>
        <v>0</v>
      </c>
    </row>
    <row r="320" spans="1:63">
      <c r="A320" s="165">
        <f t="shared" si="200"/>
        <v>82.472792607802873</v>
      </c>
      <c r="B320" s="69">
        <f t="shared" si="201"/>
        <v>21</v>
      </c>
      <c r="C320" s="70">
        <f t="shared" si="202"/>
        <v>246</v>
      </c>
      <c r="D320" s="13">
        <f t="shared" si="171"/>
        <v>4.8675505653430484E-3</v>
      </c>
      <c r="E320" s="15">
        <f t="shared" si="172"/>
        <v>1</v>
      </c>
      <c r="F320" s="15">
        <f t="shared" si="203"/>
        <v>0</v>
      </c>
      <c r="G320" s="15">
        <f t="shared" si="173"/>
        <v>0</v>
      </c>
      <c r="H320" s="73">
        <f t="shared" si="174"/>
        <v>0</v>
      </c>
      <c r="I320" s="189"/>
      <c r="J320" s="189"/>
      <c r="K320" s="5">
        <f t="shared" si="216"/>
        <v>176240.81633860469</v>
      </c>
      <c r="M320" s="5">
        <f t="shared" si="175"/>
        <v>857.86108520549567</v>
      </c>
      <c r="N320" s="5">
        <f t="shared" si="176"/>
        <v>-291.62416836001921</v>
      </c>
      <c r="O320" s="5">
        <f t="shared" si="177"/>
        <v>0</v>
      </c>
      <c r="P320" s="5">
        <f t="shared" si="178"/>
        <v>0</v>
      </c>
      <c r="Q320" s="5">
        <f t="shared" si="212"/>
        <v>0</v>
      </c>
      <c r="R320" s="5">
        <f t="shared" si="204"/>
        <v>0</v>
      </c>
      <c r="S320" s="5">
        <f t="shared" si="179"/>
        <v>0</v>
      </c>
      <c r="T320" s="5">
        <f t="shared" si="180"/>
        <v>0</v>
      </c>
      <c r="U320" s="74">
        <f t="shared" si="181"/>
        <v>0</v>
      </c>
      <c r="V320" s="75">
        <f t="shared" si="182"/>
        <v>0</v>
      </c>
      <c r="W320" s="5">
        <f t="shared" si="183"/>
        <v>0</v>
      </c>
      <c r="X320" s="5">
        <f t="shared" si="184"/>
        <v>176807.05325545016</v>
      </c>
      <c r="Y320" s="5">
        <f t="shared" si="205"/>
        <v>100000</v>
      </c>
      <c r="Z320" s="215">
        <f t="shared" si="185"/>
        <v>1</v>
      </c>
      <c r="AA320" s="216">
        <f t="shared" si="206"/>
        <v>0</v>
      </c>
      <c r="AB320" s="72">
        <f t="shared" si="213"/>
        <v>29840.358821905051</v>
      </c>
      <c r="AC320" s="72">
        <f t="shared" si="186"/>
        <v>0</v>
      </c>
      <c r="AD320" s="72">
        <f t="shared" si="187"/>
        <v>0</v>
      </c>
      <c r="AE320" s="72">
        <f t="shared" si="207"/>
        <v>-36.818026137735309</v>
      </c>
      <c r="AF320" s="70">
        <f t="shared" si="188"/>
        <v>0</v>
      </c>
      <c r="AG320" s="70">
        <f t="shared" si="189"/>
        <v>10685.657767489924</v>
      </c>
      <c r="AH320" s="1">
        <f t="shared" si="222"/>
        <v>0</v>
      </c>
      <c r="AI320" s="1">
        <f t="shared" si="222"/>
        <v>0</v>
      </c>
      <c r="AJ320" s="1">
        <f t="shared" si="222"/>
        <v>0</v>
      </c>
      <c r="AK320" s="1">
        <f t="shared" si="222"/>
        <v>0</v>
      </c>
      <c r="AL320" s="1">
        <f t="shared" si="222"/>
        <v>0</v>
      </c>
      <c r="AM320" s="1">
        <f t="shared" si="222"/>
        <v>0</v>
      </c>
      <c r="AN320" s="1">
        <f t="shared" si="222"/>
        <v>0</v>
      </c>
      <c r="AO320" s="1">
        <f t="shared" si="222"/>
        <v>0</v>
      </c>
      <c r="AP320" s="1">
        <f t="shared" si="222"/>
        <v>1</v>
      </c>
      <c r="AQ320" s="1">
        <f t="shared" si="222"/>
        <v>1</v>
      </c>
      <c r="AR320" s="1">
        <f t="shared" si="222"/>
        <v>1</v>
      </c>
      <c r="AS320" s="1">
        <f t="shared" si="222"/>
        <v>1</v>
      </c>
      <c r="AT320" s="39">
        <f t="shared" si="190"/>
        <v>176807.05325545016</v>
      </c>
      <c r="AU320" s="39">
        <f t="shared" si="208"/>
        <v>176807.05325545016</v>
      </c>
      <c r="AV320" s="39">
        <f t="shared" si="218"/>
        <v>0</v>
      </c>
      <c r="AW320" s="3">
        <f t="shared" si="191"/>
        <v>246</v>
      </c>
      <c r="AX320" s="69">
        <f t="shared" si="209"/>
        <v>0</v>
      </c>
      <c r="AY320" s="75">
        <f t="shared" si="192"/>
        <v>0</v>
      </c>
      <c r="AZ320" s="75">
        <f t="shared" si="193"/>
        <v>0</v>
      </c>
      <c r="BA320" s="75">
        <f t="shared" si="194"/>
        <v>0</v>
      </c>
      <c r="BB320" s="75">
        <f t="shared" si="195"/>
        <v>0</v>
      </c>
      <c r="BD320" s="214">
        <f t="shared" si="210"/>
        <v>217248.28872888375</v>
      </c>
      <c r="BE320" s="214">
        <f t="shared" si="196"/>
        <v>1057.467030622088</v>
      </c>
      <c r="BF320" s="214">
        <f t="shared" si="197"/>
        <v>-359.47888147815212</v>
      </c>
      <c r="BG320" s="224">
        <f t="shared" si="214"/>
        <v>0</v>
      </c>
      <c r="BH320" s="19">
        <f t="shared" si="211"/>
        <v>325325.31539805821</v>
      </c>
      <c r="BI320" s="214">
        <f t="shared" si="198"/>
        <v>1583.5374228862238</v>
      </c>
      <c r="BJ320" s="214">
        <f t="shared" si="199"/>
        <v>0</v>
      </c>
      <c r="BK320" s="19">
        <f t="shared" si="215"/>
        <v>0</v>
      </c>
    </row>
    <row r="321" spans="1:63">
      <c r="A321" s="165">
        <f t="shared" si="200"/>
        <v>82.556125941136202</v>
      </c>
      <c r="B321" s="69">
        <f t="shared" si="201"/>
        <v>21</v>
      </c>
      <c r="C321" s="70">
        <f t="shared" si="202"/>
        <v>247</v>
      </c>
      <c r="D321" s="13">
        <f t="shared" si="171"/>
        <v>4.8675505653430484E-3</v>
      </c>
      <c r="E321" s="15">
        <f t="shared" si="172"/>
        <v>1</v>
      </c>
      <c r="F321" s="15">
        <f t="shared" si="203"/>
        <v>0</v>
      </c>
      <c r="G321" s="15">
        <f t="shared" si="173"/>
        <v>0</v>
      </c>
      <c r="H321" s="73">
        <f t="shared" si="174"/>
        <v>0</v>
      </c>
      <c r="I321" s="189"/>
      <c r="J321" s="189"/>
      <c r="K321" s="5">
        <f t="shared" si="216"/>
        <v>176807.05325545016</v>
      </c>
      <c r="M321" s="5">
        <f t="shared" si="175"/>
        <v>860.61727203020484</v>
      </c>
      <c r="N321" s="5">
        <f t="shared" si="176"/>
        <v>-292.56111573350699</v>
      </c>
      <c r="O321" s="5">
        <f t="shared" si="177"/>
        <v>0</v>
      </c>
      <c r="P321" s="5">
        <f t="shared" si="178"/>
        <v>0</v>
      </c>
      <c r="Q321" s="5">
        <f t="shared" si="212"/>
        <v>0</v>
      </c>
      <c r="R321" s="5">
        <f t="shared" si="204"/>
        <v>0</v>
      </c>
      <c r="S321" s="5">
        <f t="shared" si="179"/>
        <v>0</v>
      </c>
      <c r="T321" s="5">
        <f t="shared" si="180"/>
        <v>0</v>
      </c>
      <c r="U321" s="74">
        <f t="shared" si="181"/>
        <v>0</v>
      </c>
      <c r="V321" s="75">
        <f t="shared" si="182"/>
        <v>0</v>
      </c>
      <c r="W321" s="5">
        <f t="shared" si="183"/>
        <v>0</v>
      </c>
      <c r="X321" s="5">
        <f t="shared" si="184"/>
        <v>177375.10941174687</v>
      </c>
      <c r="Y321" s="5">
        <f t="shared" si="205"/>
        <v>100000</v>
      </c>
      <c r="Z321" s="215">
        <f t="shared" si="185"/>
        <v>1</v>
      </c>
      <c r="AA321" s="216">
        <f t="shared" si="206"/>
        <v>0</v>
      </c>
      <c r="AB321" s="72">
        <f t="shared" si="213"/>
        <v>29840.358821905051</v>
      </c>
      <c r="AC321" s="72">
        <f t="shared" si="186"/>
        <v>0</v>
      </c>
      <c r="AD321" s="72">
        <f t="shared" si="187"/>
        <v>0</v>
      </c>
      <c r="AE321" s="72">
        <f t="shared" si="207"/>
        <v>-36.936317269368026</v>
      </c>
      <c r="AF321" s="70">
        <f t="shared" si="188"/>
        <v>0</v>
      </c>
      <c r="AG321" s="70">
        <f t="shared" si="189"/>
        <v>10901.519106882675</v>
      </c>
      <c r="AH321" s="1">
        <f t="shared" si="222"/>
        <v>0</v>
      </c>
      <c r="AI321" s="1">
        <f t="shared" si="222"/>
        <v>0</v>
      </c>
      <c r="AJ321" s="1">
        <f t="shared" si="222"/>
        <v>0</v>
      </c>
      <c r="AK321" s="1">
        <f t="shared" si="222"/>
        <v>0</v>
      </c>
      <c r="AL321" s="1">
        <f t="shared" si="222"/>
        <v>0</v>
      </c>
      <c r="AM321" s="1">
        <f t="shared" si="222"/>
        <v>0</v>
      </c>
      <c r="AN321" s="1">
        <f t="shared" si="222"/>
        <v>0</v>
      </c>
      <c r="AO321" s="1">
        <f t="shared" si="222"/>
        <v>0</v>
      </c>
      <c r="AP321" s="1">
        <f t="shared" si="222"/>
        <v>1</v>
      </c>
      <c r="AQ321" s="1">
        <f t="shared" si="222"/>
        <v>1</v>
      </c>
      <c r="AR321" s="1">
        <f t="shared" si="222"/>
        <v>1</v>
      </c>
      <c r="AS321" s="1">
        <f t="shared" si="222"/>
        <v>1</v>
      </c>
      <c r="AT321" s="39">
        <f t="shared" si="190"/>
        <v>177375.10941174687</v>
      </c>
      <c r="AU321" s="39">
        <f t="shared" si="208"/>
        <v>177375.10941174687</v>
      </c>
      <c r="AV321" s="39">
        <f t="shared" si="218"/>
        <v>0</v>
      </c>
      <c r="AW321" s="3">
        <f t="shared" si="191"/>
        <v>247</v>
      </c>
      <c r="AX321" s="69">
        <f t="shared" si="209"/>
        <v>0</v>
      </c>
      <c r="AY321" s="75">
        <f t="shared" si="192"/>
        <v>0</v>
      </c>
      <c r="AZ321" s="75">
        <f t="shared" si="193"/>
        <v>0</v>
      </c>
      <c r="BA321" s="75">
        <f t="shared" si="194"/>
        <v>0</v>
      </c>
      <c r="BB321" s="75">
        <f t="shared" si="195"/>
        <v>0</v>
      </c>
      <c r="BD321" s="214">
        <f t="shared" si="210"/>
        <v>217946.27687802768</v>
      </c>
      <c r="BE321" s="214">
        <f t="shared" si="196"/>
        <v>1060.8645232320562</v>
      </c>
      <c r="BF321" s="214">
        <f t="shared" si="197"/>
        <v>-360.63383648657748</v>
      </c>
      <c r="BG321" s="224">
        <f t="shared" si="214"/>
        <v>0</v>
      </c>
      <c r="BH321" s="19">
        <f t="shared" si="211"/>
        <v>326908.85282094445</v>
      </c>
      <c r="BI321" s="214">
        <f t="shared" si="198"/>
        <v>1591.2453713642356</v>
      </c>
      <c r="BJ321" s="214">
        <f t="shared" si="199"/>
        <v>0</v>
      </c>
      <c r="BK321" s="19">
        <f t="shared" si="215"/>
        <v>0</v>
      </c>
    </row>
    <row r="322" spans="1:63">
      <c r="A322" s="165">
        <f t="shared" si="200"/>
        <v>82.639459274469544</v>
      </c>
      <c r="B322" s="69">
        <f t="shared" si="201"/>
        <v>21</v>
      </c>
      <c r="C322" s="70">
        <f t="shared" si="202"/>
        <v>248</v>
      </c>
      <c r="D322" s="13">
        <f t="shared" si="171"/>
        <v>4.8675505653430484E-3</v>
      </c>
      <c r="E322" s="15">
        <f t="shared" si="172"/>
        <v>1</v>
      </c>
      <c r="F322" s="15">
        <f t="shared" si="203"/>
        <v>0</v>
      </c>
      <c r="G322" s="15">
        <f t="shared" si="173"/>
        <v>0</v>
      </c>
      <c r="H322" s="73">
        <f t="shared" si="174"/>
        <v>0</v>
      </c>
      <c r="I322" s="189"/>
      <c r="J322" s="189"/>
      <c r="K322" s="5">
        <f t="shared" si="216"/>
        <v>177375.10941174687</v>
      </c>
      <c r="M322" s="5">
        <f t="shared" si="175"/>
        <v>863.38231409493358</v>
      </c>
      <c r="N322" s="5">
        <f t="shared" si="176"/>
        <v>-293.50107338692334</v>
      </c>
      <c r="O322" s="5">
        <f t="shared" si="177"/>
        <v>0</v>
      </c>
      <c r="P322" s="5">
        <f t="shared" si="178"/>
        <v>0</v>
      </c>
      <c r="Q322" s="5">
        <f t="shared" si="212"/>
        <v>0</v>
      </c>
      <c r="R322" s="5">
        <f t="shared" si="204"/>
        <v>0</v>
      </c>
      <c r="S322" s="5">
        <f t="shared" si="179"/>
        <v>0</v>
      </c>
      <c r="T322" s="5">
        <f t="shared" si="180"/>
        <v>0</v>
      </c>
      <c r="U322" s="74">
        <f t="shared" si="181"/>
        <v>0</v>
      </c>
      <c r="V322" s="75">
        <f t="shared" si="182"/>
        <v>0</v>
      </c>
      <c r="W322" s="5">
        <f t="shared" si="183"/>
        <v>0</v>
      </c>
      <c r="X322" s="5">
        <f t="shared" si="184"/>
        <v>177944.99065245487</v>
      </c>
      <c r="Y322" s="5">
        <f t="shared" si="205"/>
        <v>100000</v>
      </c>
      <c r="Z322" s="215">
        <f t="shared" si="185"/>
        <v>1</v>
      </c>
      <c r="AA322" s="216">
        <f t="shared" si="206"/>
        <v>0</v>
      </c>
      <c r="AB322" s="72">
        <f t="shared" si="213"/>
        <v>29840.358821905051</v>
      </c>
      <c r="AC322" s="72">
        <f t="shared" si="186"/>
        <v>0</v>
      </c>
      <c r="AD322" s="72">
        <f t="shared" si="187"/>
        <v>0</v>
      </c>
      <c r="AE322" s="72">
        <f t="shared" si="207"/>
        <v>-37.054988453743675</v>
      </c>
      <c r="AF322" s="70">
        <f t="shared" si="188"/>
        <v>0</v>
      </c>
      <c r="AG322" s="70">
        <f t="shared" si="189"/>
        <v>11118.07397835172</v>
      </c>
      <c r="AH322" s="1">
        <f t="shared" si="222"/>
        <v>0</v>
      </c>
      <c r="AI322" s="1">
        <f t="shared" si="222"/>
        <v>0</v>
      </c>
      <c r="AJ322" s="1">
        <f t="shared" si="222"/>
        <v>0</v>
      </c>
      <c r="AK322" s="1">
        <f t="shared" si="222"/>
        <v>0</v>
      </c>
      <c r="AL322" s="1">
        <f t="shared" si="222"/>
        <v>0</v>
      </c>
      <c r="AM322" s="1">
        <f t="shared" si="222"/>
        <v>0</v>
      </c>
      <c r="AN322" s="1">
        <f t="shared" si="222"/>
        <v>0</v>
      </c>
      <c r="AO322" s="1">
        <f t="shared" si="222"/>
        <v>0</v>
      </c>
      <c r="AP322" s="1">
        <f t="shared" si="222"/>
        <v>1</v>
      </c>
      <c r="AQ322" s="1">
        <f t="shared" si="222"/>
        <v>1</v>
      </c>
      <c r="AR322" s="1">
        <f t="shared" si="222"/>
        <v>1</v>
      </c>
      <c r="AS322" s="1">
        <f t="shared" si="222"/>
        <v>1</v>
      </c>
      <c r="AT322" s="39">
        <f t="shared" si="190"/>
        <v>177944.99065245487</v>
      </c>
      <c r="AU322" s="39">
        <f t="shared" si="208"/>
        <v>177944.99065245487</v>
      </c>
      <c r="AV322" s="39">
        <f t="shared" si="218"/>
        <v>0</v>
      </c>
      <c r="AW322" s="3">
        <f t="shared" si="191"/>
        <v>248</v>
      </c>
      <c r="AX322" s="69">
        <f t="shared" si="209"/>
        <v>0</v>
      </c>
      <c r="AY322" s="75">
        <f t="shared" si="192"/>
        <v>0</v>
      </c>
      <c r="AZ322" s="75">
        <f t="shared" si="193"/>
        <v>0</v>
      </c>
      <c r="BA322" s="75">
        <f t="shared" si="194"/>
        <v>0</v>
      </c>
      <c r="BB322" s="75">
        <f t="shared" si="195"/>
        <v>0</v>
      </c>
      <c r="BD322" s="214">
        <f t="shared" si="210"/>
        <v>218646.50756477317</v>
      </c>
      <c r="BE322" s="214">
        <f t="shared" si="196"/>
        <v>1064.2729315071947</v>
      </c>
      <c r="BF322" s="214">
        <f t="shared" si="197"/>
        <v>-361.79250220275298</v>
      </c>
      <c r="BG322" s="224">
        <f t="shared" si="214"/>
        <v>0</v>
      </c>
      <c r="BH322" s="19">
        <f t="shared" si="211"/>
        <v>328500.09819230868</v>
      </c>
      <c r="BI322" s="214">
        <f t="shared" si="198"/>
        <v>1598.9908386712191</v>
      </c>
      <c r="BJ322" s="214">
        <f t="shared" si="199"/>
        <v>0</v>
      </c>
      <c r="BK322" s="19">
        <f t="shared" si="215"/>
        <v>0</v>
      </c>
    </row>
    <row r="323" spans="1:63">
      <c r="A323" s="165">
        <f t="shared" si="200"/>
        <v>82.722792607802873</v>
      </c>
      <c r="B323" s="69">
        <f t="shared" si="201"/>
        <v>21</v>
      </c>
      <c r="C323" s="70">
        <f t="shared" si="202"/>
        <v>249</v>
      </c>
      <c r="D323" s="13">
        <f t="shared" si="171"/>
        <v>4.8675505653430484E-3</v>
      </c>
      <c r="E323" s="15">
        <f t="shared" si="172"/>
        <v>1</v>
      </c>
      <c r="F323" s="15">
        <f t="shared" si="203"/>
        <v>0</v>
      </c>
      <c r="G323" s="15">
        <f t="shared" si="173"/>
        <v>0</v>
      </c>
      <c r="H323" s="73">
        <f t="shared" si="174"/>
        <v>0</v>
      </c>
      <c r="I323" s="189"/>
      <c r="J323" s="189"/>
      <c r="K323" s="5">
        <f t="shared" si="216"/>
        <v>177944.99065245487</v>
      </c>
      <c r="M323" s="5">
        <f t="shared" si="175"/>
        <v>866.15623985032016</v>
      </c>
      <c r="N323" s="5">
        <f t="shared" si="176"/>
        <v>-294.44405099187355</v>
      </c>
      <c r="O323" s="5">
        <f t="shared" si="177"/>
        <v>0</v>
      </c>
      <c r="P323" s="5">
        <f t="shared" si="178"/>
        <v>0</v>
      </c>
      <c r="Q323" s="5">
        <f t="shared" si="212"/>
        <v>0</v>
      </c>
      <c r="R323" s="5">
        <f t="shared" si="204"/>
        <v>0</v>
      </c>
      <c r="S323" s="5">
        <f t="shared" si="179"/>
        <v>0</v>
      </c>
      <c r="T323" s="5">
        <f t="shared" si="180"/>
        <v>0</v>
      </c>
      <c r="U323" s="74">
        <f t="shared" si="181"/>
        <v>0</v>
      </c>
      <c r="V323" s="75">
        <f t="shared" si="182"/>
        <v>0</v>
      </c>
      <c r="W323" s="5">
        <f t="shared" si="183"/>
        <v>0</v>
      </c>
      <c r="X323" s="5">
        <f t="shared" si="184"/>
        <v>178516.70284131332</v>
      </c>
      <c r="Y323" s="5">
        <f t="shared" si="205"/>
        <v>100000</v>
      </c>
      <c r="Z323" s="215">
        <f t="shared" si="185"/>
        <v>1</v>
      </c>
      <c r="AA323" s="216">
        <f t="shared" si="206"/>
        <v>0</v>
      </c>
      <c r="AB323" s="72">
        <f t="shared" si="213"/>
        <v>29840.358821905051</v>
      </c>
      <c r="AC323" s="72">
        <f t="shared" si="186"/>
        <v>0</v>
      </c>
      <c r="AD323" s="72">
        <f t="shared" si="187"/>
        <v>0</v>
      </c>
      <c r="AE323" s="72">
        <f t="shared" si="207"/>
        <v>-37.174040911918183</v>
      </c>
      <c r="AF323" s="70">
        <f t="shared" si="188"/>
        <v>0</v>
      </c>
      <c r="AG323" s="70">
        <f t="shared" si="189"/>
        <v>11335.324610117932</v>
      </c>
      <c r="AH323" s="1">
        <f t="shared" si="222"/>
        <v>0</v>
      </c>
      <c r="AI323" s="1">
        <f t="shared" si="222"/>
        <v>0</v>
      </c>
      <c r="AJ323" s="1">
        <f t="shared" si="222"/>
        <v>0</v>
      </c>
      <c r="AK323" s="1">
        <f t="shared" si="222"/>
        <v>0</v>
      </c>
      <c r="AL323" s="1">
        <f t="shared" si="222"/>
        <v>0</v>
      </c>
      <c r="AM323" s="1">
        <f t="shared" si="222"/>
        <v>0</v>
      </c>
      <c r="AN323" s="1">
        <f t="shared" si="222"/>
        <v>0</v>
      </c>
      <c r="AO323" s="1">
        <f t="shared" si="222"/>
        <v>0</v>
      </c>
      <c r="AP323" s="1">
        <f t="shared" si="222"/>
        <v>1</v>
      </c>
      <c r="AQ323" s="1">
        <f t="shared" si="222"/>
        <v>1</v>
      </c>
      <c r="AR323" s="1">
        <f t="shared" si="222"/>
        <v>1</v>
      </c>
      <c r="AS323" s="1">
        <f t="shared" si="222"/>
        <v>1</v>
      </c>
      <c r="AT323" s="39">
        <f t="shared" si="190"/>
        <v>178516.70284131332</v>
      </c>
      <c r="AU323" s="39">
        <f t="shared" si="208"/>
        <v>178516.70284131332</v>
      </c>
      <c r="AV323" s="39">
        <f t="shared" si="218"/>
        <v>0</v>
      </c>
      <c r="AW323" s="3">
        <f t="shared" si="191"/>
        <v>249</v>
      </c>
      <c r="AX323" s="69">
        <f t="shared" si="209"/>
        <v>0</v>
      </c>
      <c r="AY323" s="75">
        <f t="shared" si="192"/>
        <v>0</v>
      </c>
      <c r="AZ323" s="75">
        <f t="shared" si="193"/>
        <v>0</v>
      </c>
      <c r="BA323" s="75">
        <f t="shared" si="194"/>
        <v>0</v>
      </c>
      <c r="BB323" s="75">
        <f t="shared" si="195"/>
        <v>0</v>
      </c>
      <c r="BD323" s="214">
        <f t="shared" si="210"/>
        <v>219348.98799407762</v>
      </c>
      <c r="BE323" s="214">
        <f t="shared" si="196"/>
        <v>1067.6922905179981</v>
      </c>
      <c r="BF323" s="214">
        <f t="shared" si="197"/>
        <v>-362.95489054865982</v>
      </c>
      <c r="BG323" s="224">
        <f t="shared" si="214"/>
        <v>0</v>
      </c>
      <c r="BH323" s="19">
        <f t="shared" si="211"/>
        <v>330099.0890309799</v>
      </c>
      <c r="BI323" s="214">
        <f t="shared" si="198"/>
        <v>1606.7740074319715</v>
      </c>
      <c r="BJ323" s="214">
        <f t="shared" si="199"/>
        <v>0</v>
      </c>
      <c r="BK323" s="19">
        <f t="shared" si="215"/>
        <v>0</v>
      </c>
    </row>
    <row r="324" spans="1:63">
      <c r="A324" s="165">
        <f t="shared" si="200"/>
        <v>82.806125941136202</v>
      </c>
      <c r="B324" s="69">
        <f t="shared" si="201"/>
        <v>21</v>
      </c>
      <c r="C324" s="70">
        <f t="shared" si="202"/>
        <v>250</v>
      </c>
      <c r="D324" s="13">
        <f t="shared" si="171"/>
        <v>4.8675505653430484E-3</v>
      </c>
      <c r="E324" s="15">
        <f t="shared" si="172"/>
        <v>1</v>
      </c>
      <c r="F324" s="15">
        <f t="shared" si="203"/>
        <v>0</v>
      </c>
      <c r="G324" s="15">
        <f t="shared" si="173"/>
        <v>0</v>
      </c>
      <c r="H324" s="73">
        <f t="shared" si="174"/>
        <v>0</v>
      </c>
      <c r="I324" s="189"/>
      <c r="J324" s="189"/>
      <c r="K324" s="5">
        <f t="shared" si="216"/>
        <v>178516.70284131332</v>
      </c>
      <c r="M324" s="5">
        <f t="shared" si="175"/>
        <v>868.93907783841166</v>
      </c>
      <c r="N324" s="5">
        <f t="shared" si="176"/>
        <v>-295.39005825103658</v>
      </c>
      <c r="O324" s="5">
        <f t="shared" si="177"/>
        <v>0</v>
      </c>
      <c r="P324" s="5">
        <f t="shared" si="178"/>
        <v>0</v>
      </c>
      <c r="Q324" s="5">
        <f t="shared" si="212"/>
        <v>0</v>
      </c>
      <c r="R324" s="5">
        <f t="shared" si="204"/>
        <v>0</v>
      </c>
      <c r="S324" s="5">
        <f t="shared" si="179"/>
        <v>0</v>
      </c>
      <c r="T324" s="5">
        <f t="shared" si="180"/>
        <v>0</v>
      </c>
      <c r="U324" s="74">
        <f t="shared" si="181"/>
        <v>0</v>
      </c>
      <c r="V324" s="75">
        <f t="shared" si="182"/>
        <v>0</v>
      </c>
      <c r="W324" s="5">
        <f t="shared" si="183"/>
        <v>0</v>
      </c>
      <c r="X324" s="5">
        <f t="shared" si="184"/>
        <v>179090.25186090069</v>
      </c>
      <c r="Y324" s="5">
        <f t="shared" si="205"/>
        <v>100000</v>
      </c>
      <c r="Z324" s="215">
        <f t="shared" si="185"/>
        <v>1</v>
      </c>
      <c r="AA324" s="216">
        <f t="shared" si="206"/>
        <v>0</v>
      </c>
      <c r="AB324" s="72">
        <f t="shared" si="213"/>
        <v>29840.358821905051</v>
      </c>
      <c r="AC324" s="72">
        <f t="shared" si="186"/>
        <v>0</v>
      </c>
      <c r="AD324" s="72">
        <f t="shared" si="187"/>
        <v>0</v>
      </c>
      <c r="AE324" s="72">
        <f t="shared" si="207"/>
        <v>-37.293475868870551</v>
      </c>
      <c r="AF324" s="70">
        <f t="shared" si="188"/>
        <v>0</v>
      </c>
      <c r="AG324" s="70">
        <f t="shared" si="189"/>
        <v>11553.27323756113</v>
      </c>
      <c r="AH324" s="1">
        <f t="shared" si="222"/>
        <v>0</v>
      </c>
      <c r="AI324" s="1">
        <f t="shared" si="222"/>
        <v>0</v>
      </c>
      <c r="AJ324" s="1">
        <f t="shared" si="222"/>
        <v>0</v>
      </c>
      <c r="AK324" s="1">
        <f t="shared" si="222"/>
        <v>0</v>
      </c>
      <c r="AL324" s="1">
        <f t="shared" si="222"/>
        <v>0</v>
      </c>
      <c r="AM324" s="1">
        <f t="shared" si="222"/>
        <v>0</v>
      </c>
      <c r="AN324" s="1">
        <f t="shared" si="222"/>
        <v>0</v>
      </c>
      <c r="AO324" s="1">
        <f t="shared" si="222"/>
        <v>0</v>
      </c>
      <c r="AP324" s="1">
        <f t="shared" si="222"/>
        <v>1</v>
      </c>
      <c r="AQ324" s="1">
        <f t="shared" si="222"/>
        <v>1</v>
      </c>
      <c r="AR324" s="1">
        <f t="shared" si="222"/>
        <v>1</v>
      </c>
      <c r="AS324" s="1">
        <f t="shared" si="222"/>
        <v>1</v>
      </c>
      <c r="AT324" s="39">
        <f t="shared" si="190"/>
        <v>179090.25186090069</v>
      </c>
      <c r="AU324" s="39">
        <f t="shared" si="208"/>
        <v>179090.25186090069</v>
      </c>
      <c r="AV324" s="39">
        <f t="shared" si="218"/>
        <v>0</v>
      </c>
      <c r="AW324" s="3">
        <f t="shared" si="191"/>
        <v>250</v>
      </c>
      <c r="AX324" s="69">
        <f t="shared" si="209"/>
        <v>0</v>
      </c>
      <c r="AY324" s="75">
        <f t="shared" si="192"/>
        <v>0</v>
      </c>
      <c r="AZ324" s="75">
        <f t="shared" si="193"/>
        <v>0</v>
      </c>
      <c r="BA324" s="75">
        <f t="shared" si="194"/>
        <v>0</v>
      </c>
      <c r="BB324" s="75">
        <f t="shared" si="195"/>
        <v>0</v>
      </c>
      <c r="BD324" s="214">
        <f t="shared" si="210"/>
        <v>220053.72539404695</v>
      </c>
      <c r="BE324" s="214">
        <f t="shared" si="196"/>
        <v>1071.1226354476371</v>
      </c>
      <c r="BF324" s="214">
        <f t="shared" si="197"/>
        <v>-364.12101348458293</v>
      </c>
      <c r="BG324" s="224">
        <f t="shared" si="214"/>
        <v>0</v>
      </c>
      <c r="BH324" s="19">
        <f t="shared" si="211"/>
        <v>331705.86303841189</v>
      </c>
      <c r="BI324" s="214">
        <f t="shared" si="198"/>
        <v>1614.5950611602257</v>
      </c>
      <c r="BJ324" s="214">
        <f t="shared" si="199"/>
        <v>0</v>
      </c>
      <c r="BK324" s="19">
        <f t="shared" si="215"/>
        <v>0</v>
      </c>
    </row>
    <row r="325" spans="1:63">
      <c r="A325" s="165">
        <f t="shared" si="200"/>
        <v>82.889459274469544</v>
      </c>
      <c r="B325" s="69">
        <f t="shared" si="201"/>
        <v>21</v>
      </c>
      <c r="C325" s="70">
        <f t="shared" si="202"/>
        <v>251</v>
      </c>
      <c r="D325" s="13">
        <f t="shared" si="171"/>
        <v>4.8675505653430484E-3</v>
      </c>
      <c r="E325" s="15">
        <f t="shared" si="172"/>
        <v>1</v>
      </c>
      <c r="F325" s="15">
        <f t="shared" si="203"/>
        <v>0</v>
      </c>
      <c r="G325" s="15">
        <f t="shared" si="173"/>
        <v>0</v>
      </c>
      <c r="H325" s="73">
        <f t="shared" si="174"/>
        <v>0</v>
      </c>
      <c r="I325" s="189"/>
      <c r="J325" s="189"/>
      <c r="K325" s="5">
        <f t="shared" si="216"/>
        <v>179090.25186090069</v>
      </c>
      <c r="M325" s="5">
        <f t="shared" si="175"/>
        <v>871.73085669295608</v>
      </c>
      <c r="N325" s="5">
        <f t="shared" si="176"/>
        <v>-296.33910489826451</v>
      </c>
      <c r="O325" s="5">
        <f t="shared" si="177"/>
        <v>0</v>
      </c>
      <c r="P325" s="5">
        <f t="shared" si="178"/>
        <v>0</v>
      </c>
      <c r="Q325" s="5">
        <f t="shared" si="212"/>
        <v>0</v>
      </c>
      <c r="R325" s="5">
        <f t="shared" si="204"/>
        <v>0</v>
      </c>
      <c r="S325" s="5">
        <f t="shared" si="179"/>
        <v>0</v>
      </c>
      <c r="T325" s="5">
        <f t="shared" si="180"/>
        <v>0</v>
      </c>
      <c r="U325" s="74">
        <f t="shared" si="181"/>
        <v>0</v>
      </c>
      <c r="V325" s="75">
        <f t="shared" si="182"/>
        <v>0</v>
      </c>
      <c r="W325" s="5">
        <f t="shared" si="183"/>
        <v>0</v>
      </c>
      <c r="X325" s="5">
        <f t="shared" si="184"/>
        <v>179665.64361269536</v>
      </c>
      <c r="Y325" s="5">
        <f t="shared" si="205"/>
        <v>100000</v>
      </c>
      <c r="Z325" s="215">
        <f t="shared" si="185"/>
        <v>1</v>
      </c>
      <c r="AA325" s="216">
        <f t="shared" si="206"/>
        <v>0</v>
      </c>
      <c r="AB325" s="72">
        <f t="shared" si="213"/>
        <v>29840.358821905051</v>
      </c>
      <c r="AC325" s="72">
        <f t="shared" si="186"/>
        <v>0</v>
      </c>
      <c r="AD325" s="72">
        <f t="shared" si="187"/>
        <v>0</v>
      </c>
      <c r="AE325" s="72">
        <f t="shared" si="207"/>
        <v>-37.413294553515478</v>
      </c>
      <c r="AF325" s="70">
        <f t="shared" si="188"/>
        <v>0</v>
      </c>
      <c r="AG325" s="70">
        <f t="shared" si="189"/>
        <v>11771.922103243101</v>
      </c>
      <c r="AH325" s="1">
        <f t="shared" ref="AH325:AS334" si="223">IF($B325&lt;=AH$74,1,0)</f>
        <v>0</v>
      </c>
      <c r="AI325" s="1">
        <f t="shared" si="223"/>
        <v>0</v>
      </c>
      <c r="AJ325" s="1">
        <f t="shared" si="223"/>
        <v>0</v>
      </c>
      <c r="AK325" s="1">
        <f t="shared" si="223"/>
        <v>0</v>
      </c>
      <c r="AL325" s="1">
        <f t="shared" si="223"/>
        <v>0</v>
      </c>
      <c r="AM325" s="1">
        <f t="shared" si="223"/>
        <v>0</v>
      </c>
      <c r="AN325" s="1">
        <f t="shared" si="223"/>
        <v>0</v>
      </c>
      <c r="AO325" s="1">
        <f t="shared" si="223"/>
        <v>0</v>
      </c>
      <c r="AP325" s="1">
        <f t="shared" si="223"/>
        <v>1</v>
      </c>
      <c r="AQ325" s="1">
        <f t="shared" si="223"/>
        <v>1</v>
      </c>
      <c r="AR325" s="1">
        <f t="shared" si="223"/>
        <v>1</v>
      </c>
      <c r="AS325" s="1">
        <f t="shared" si="223"/>
        <v>1</v>
      </c>
      <c r="AT325" s="39">
        <f t="shared" si="190"/>
        <v>179665.64361269536</v>
      </c>
      <c r="AU325" s="39">
        <f t="shared" si="208"/>
        <v>179665.64361269536</v>
      </c>
      <c r="AV325" s="39">
        <f t="shared" si="218"/>
        <v>0</v>
      </c>
      <c r="AW325" s="3">
        <f t="shared" si="191"/>
        <v>251</v>
      </c>
      <c r="AX325" s="69">
        <f t="shared" si="209"/>
        <v>0</v>
      </c>
      <c r="AY325" s="75">
        <f t="shared" si="192"/>
        <v>0</v>
      </c>
      <c r="AZ325" s="75">
        <f t="shared" si="193"/>
        <v>0</v>
      </c>
      <c r="BA325" s="75">
        <f t="shared" si="194"/>
        <v>0</v>
      </c>
      <c r="BB325" s="75">
        <f t="shared" si="195"/>
        <v>0</v>
      </c>
      <c r="BD325" s="214">
        <f t="shared" si="210"/>
        <v>220760.72701601</v>
      </c>
      <c r="BE325" s="214">
        <f t="shared" si="196"/>
        <v>1074.5640015923218</v>
      </c>
      <c r="BF325" s="214">
        <f t="shared" si="197"/>
        <v>-365.29088300923399</v>
      </c>
      <c r="BG325" s="224">
        <f t="shared" si="214"/>
        <v>0</v>
      </c>
      <c r="BH325" s="19">
        <f t="shared" si="211"/>
        <v>333320.4580995721</v>
      </c>
      <c r="BI325" s="214">
        <f t="shared" si="198"/>
        <v>1622.454184262976</v>
      </c>
      <c r="BJ325" s="214">
        <f t="shared" si="199"/>
        <v>0</v>
      </c>
      <c r="BK325" s="19">
        <f t="shared" si="215"/>
        <v>0</v>
      </c>
    </row>
    <row r="326" spans="1:63">
      <c r="A326" s="165">
        <f t="shared" si="200"/>
        <v>82.972792607802873</v>
      </c>
      <c r="B326" s="69">
        <f t="shared" si="201"/>
        <v>21</v>
      </c>
      <c r="C326" s="70">
        <f t="shared" si="202"/>
        <v>252</v>
      </c>
      <c r="D326" s="13">
        <f t="shared" si="171"/>
        <v>4.8675505653430484E-3</v>
      </c>
      <c r="E326" s="15">
        <f t="shared" si="172"/>
        <v>1</v>
      </c>
      <c r="F326" s="15">
        <f t="shared" si="203"/>
        <v>0</v>
      </c>
      <c r="G326" s="15">
        <f t="shared" si="173"/>
        <v>0</v>
      </c>
      <c r="H326" s="73">
        <f t="shared" si="174"/>
        <v>0</v>
      </c>
      <c r="I326" s="189"/>
      <c r="J326" s="189"/>
      <c r="K326" s="5">
        <f t="shared" si="216"/>
        <v>179665.64361269536</v>
      </c>
      <c r="M326" s="5">
        <f t="shared" si="175"/>
        <v>874.53160513969794</v>
      </c>
      <c r="N326" s="5">
        <f t="shared" si="176"/>
        <v>-297.29120069868316</v>
      </c>
      <c r="O326" s="5">
        <f t="shared" si="177"/>
        <v>0</v>
      </c>
      <c r="P326" s="5">
        <f t="shared" si="178"/>
        <v>0</v>
      </c>
      <c r="Q326" s="5">
        <f t="shared" si="212"/>
        <v>0</v>
      </c>
      <c r="R326" s="5">
        <f t="shared" si="204"/>
        <v>0</v>
      </c>
      <c r="S326" s="5">
        <f t="shared" si="179"/>
        <v>0</v>
      </c>
      <c r="T326" s="5">
        <f t="shared" si="180"/>
        <v>0</v>
      </c>
      <c r="U326" s="74">
        <f t="shared" si="181"/>
        <v>0</v>
      </c>
      <c r="V326" s="75">
        <f t="shared" si="182"/>
        <v>0</v>
      </c>
      <c r="W326" s="5">
        <f t="shared" si="183"/>
        <v>0</v>
      </c>
      <c r="X326" s="5">
        <f t="shared" si="184"/>
        <v>180242.88401713638</v>
      </c>
      <c r="Y326" s="5">
        <f t="shared" si="205"/>
        <v>100000</v>
      </c>
      <c r="Z326" s="215">
        <f t="shared" si="185"/>
        <v>1</v>
      </c>
      <c r="AA326" s="216">
        <f t="shared" si="206"/>
        <v>0</v>
      </c>
      <c r="AB326" s="72">
        <f t="shared" si="213"/>
        <v>29840.358821905051</v>
      </c>
      <c r="AC326" s="72">
        <f t="shared" si="186"/>
        <v>0</v>
      </c>
      <c r="AD326" s="72">
        <f t="shared" si="187"/>
        <v>0</v>
      </c>
      <c r="AE326" s="72">
        <f t="shared" si="207"/>
        <v>-37.533498198715989</v>
      </c>
      <c r="AF326" s="70">
        <f t="shared" si="188"/>
        <v>0</v>
      </c>
      <c r="AG326" s="70">
        <f t="shared" si="189"/>
        <v>11991.273456930692</v>
      </c>
      <c r="AH326" s="1">
        <f t="shared" si="223"/>
        <v>0</v>
      </c>
      <c r="AI326" s="1">
        <f t="shared" si="223"/>
        <v>0</v>
      </c>
      <c r="AJ326" s="1">
        <f t="shared" si="223"/>
        <v>0</v>
      </c>
      <c r="AK326" s="1">
        <f t="shared" si="223"/>
        <v>0</v>
      </c>
      <c r="AL326" s="1">
        <f t="shared" si="223"/>
        <v>0</v>
      </c>
      <c r="AM326" s="1">
        <f t="shared" si="223"/>
        <v>0</v>
      </c>
      <c r="AN326" s="1">
        <f t="shared" si="223"/>
        <v>0</v>
      </c>
      <c r="AO326" s="1">
        <f t="shared" si="223"/>
        <v>0</v>
      </c>
      <c r="AP326" s="1">
        <f t="shared" si="223"/>
        <v>1</v>
      </c>
      <c r="AQ326" s="1">
        <f t="shared" si="223"/>
        <v>1</v>
      </c>
      <c r="AR326" s="1">
        <f t="shared" si="223"/>
        <v>1</v>
      </c>
      <c r="AS326" s="1">
        <f t="shared" si="223"/>
        <v>1</v>
      </c>
      <c r="AT326" s="39">
        <f t="shared" si="190"/>
        <v>180242.88401713638</v>
      </c>
      <c r="AU326" s="39">
        <f t="shared" si="208"/>
        <v>180242.88401713638</v>
      </c>
      <c r="AV326" s="39">
        <f t="shared" si="218"/>
        <v>0</v>
      </c>
      <c r="AW326" s="3">
        <f t="shared" si="191"/>
        <v>252</v>
      </c>
      <c r="AX326" s="69">
        <f t="shared" si="209"/>
        <v>0</v>
      </c>
      <c r="AY326" s="75">
        <f t="shared" si="192"/>
        <v>0</v>
      </c>
      <c r="AZ326" s="75">
        <f t="shared" si="193"/>
        <v>0</v>
      </c>
      <c r="BA326" s="75">
        <f t="shared" si="194"/>
        <v>0</v>
      </c>
      <c r="BB326" s="75">
        <f t="shared" si="195"/>
        <v>0</v>
      </c>
      <c r="BD326" s="214">
        <f t="shared" si="210"/>
        <v>221470.00013459308</v>
      </c>
      <c r="BE326" s="214">
        <f t="shared" si="196"/>
        <v>1078.0164243616637</v>
      </c>
      <c r="BF326" s="214">
        <f t="shared" si="197"/>
        <v>-366.4645111598748</v>
      </c>
      <c r="BG326" s="224">
        <f t="shared" si="214"/>
        <v>0</v>
      </c>
      <c r="BH326" s="19">
        <f t="shared" si="211"/>
        <v>334942.91228383506</v>
      </c>
      <c r="BI326" s="214">
        <f t="shared" si="198"/>
        <v>1630.3515620448284</v>
      </c>
      <c r="BJ326" s="214">
        <f t="shared" si="199"/>
        <v>0</v>
      </c>
      <c r="BK326" s="19">
        <f t="shared" si="215"/>
        <v>0</v>
      </c>
    </row>
    <row r="327" spans="1:63">
      <c r="A327" s="165">
        <f t="shared" si="200"/>
        <v>83.056125941136202</v>
      </c>
      <c r="B327" s="69">
        <f t="shared" si="201"/>
        <v>22</v>
      </c>
      <c r="C327" s="70">
        <f t="shared" si="202"/>
        <v>253</v>
      </c>
      <c r="D327" s="13">
        <f t="shared" si="171"/>
        <v>4.8675505653430484E-3</v>
      </c>
      <c r="E327" s="15">
        <f t="shared" si="172"/>
        <v>1</v>
      </c>
      <c r="F327" s="15">
        <f t="shared" si="203"/>
        <v>0</v>
      </c>
      <c r="G327" s="15">
        <f t="shared" si="173"/>
        <v>0</v>
      </c>
      <c r="H327" s="73">
        <f t="shared" si="174"/>
        <v>0</v>
      </c>
      <c r="I327" s="189"/>
      <c r="J327" s="189"/>
      <c r="K327" s="5">
        <f t="shared" si="216"/>
        <v>180242.88401713638</v>
      </c>
      <c r="M327" s="5">
        <f t="shared" si="175"/>
        <v>877.34135199667367</v>
      </c>
      <c r="N327" s="5">
        <f t="shared" si="176"/>
        <v>-298.2463554487922</v>
      </c>
      <c r="O327" s="5">
        <f t="shared" si="177"/>
        <v>0</v>
      </c>
      <c r="P327" s="5">
        <f t="shared" si="178"/>
        <v>0</v>
      </c>
      <c r="Q327" s="5">
        <f t="shared" si="212"/>
        <v>0</v>
      </c>
      <c r="R327" s="5">
        <f t="shared" si="204"/>
        <v>0</v>
      </c>
      <c r="S327" s="5">
        <f t="shared" si="179"/>
        <v>0</v>
      </c>
      <c r="T327" s="5">
        <f t="shared" si="180"/>
        <v>0</v>
      </c>
      <c r="U327" s="74">
        <f t="shared" si="181"/>
        <v>0</v>
      </c>
      <c r="V327" s="75">
        <f t="shared" si="182"/>
        <v>0</v>
      </c>
      <c r="W327" s="5">
        <f t="shared" si="183"/>
        <v>0</v>
      </c>
      <c r="X327" s="5">
        <f t="shared" si="184"/>
        <v>180821.97901368426</v>
      </c>
      <c r="Y327" s="5">
        <f t="shared" si="205"/>
        <v>100000</v>
      </c>
      <c r="Z327" s="215">
        <f t="shared" si="185"/>
        <v>1</v>
      </c>
      <c r="AA327" s="216">
        <f t="shared" si="206"/>
        <v>0</v>
      </c>
      <c r="AB327" s="72">
        <f t="shared" si="213"/>
        <v>29840.358821905051</v>
      </c>
      <c r="AC327" s="72">
        <f t="shared" si="186"/>
        <v>0</v>
      </c>
      <c r="AD327" s="72">
        <f t="shared" si="187"/>
        <v>0</v>
      </c>
      <c r="AE327" s="72">
        <f t="shared" si="207"/>
        <v>-37.654088041296127</v>
      </c>
      <c r="AF327" s="70">
        <f t="shared" si="188"/>
        <v>0</v>
      </c>
      <c r="AG327" s="70">
        <f t="shared" si="189"/>
        <v>12211.32955561889</v>
      </c>
      <c r="AH327" s="1">
        <f t="shared" si="223"/>
        <v>0</v>
      </c>
      <c r="AI327" s="1">
        <f t="shared" si="223"/>
        <v>0</v>
      </c>
      <c r="AJ327" s="1">
        <f t="shared" si="223"/>
        <v>0</v>
      </c>
      <c r="AK327" s="1">
        <f t="shared" si="223"/>
        <v>0</v>
      </c>
      <c r="AL327" s="1">
        <f t="shared" si="223"/>
        <v>0</v>
      </c>
      <c r="AM327" s="1">
        <f t="shared" si="223"/>
        <v>0</v>
      </c>
      <c r="AN327" s="1">
        <f t="shared" si="223"/>
        <v>0</v>
      </c>
      <c r="AO327" s="1">
        <f t="shared" si="223"/>
        <v>0</v>
      </c>
      <c r="AP327" s="1">
        <f t="shared" si="223"/>
        <v>1</v>
      </c>
      <c r="AQ327" s="1">
        <f t="shared" si="223"/>
        <v>1</v>
      </c>
      <c r="AR327" s="1">
        <f t="shared" si="223"/>
        <v>1</v>
      </c>
      <c r="AS327" s="1">
        <f t="shared" si="223"/>
        <v>1</v>
      </c>
      <c r="AT327" s="39">
        <f t="shared" si="190"/>
        <v>180821.97901368426</v>
      </c>
      <c r="AU327" s="39">
        <f t="shared" si="208"/>
        <v>180821.97901368426</v>
      </c>
      <c r="AV327" s="39">
        <f t="shared" si="218"/>
        <v>0</v>
      </c>
      <c r="AW327" s="3">
        <f t="shared" si="191"/>
        <v>253</v>
      </c>
      <c r="AX327" s="69">
        <f t="shared" si="209"/>
        <v>0</v>
      </c>
      <c r="AY327" s="75">
        <f t="shared" si="192"/>
        <v>0</v>
      </c>
      <c r="AZ327" s="75">
        <f t="shared" si="193"/>
        <v>0</v>
      </c>
      <c r="BA327" s="75">
        <f t="shared" si="194"/>
        <v>0</v>
      </c>
      <c r="BB327" s="75">
        <f t="shared" si="195"/>
        <v>0</v>
      </c>
      <c r="BD327" s="214">
        <f t="shared" si="210"/>
        <v>222181.55204779489</v>
      </c>
      <c r="BE327" s="214">
        <f t="shared" si="196"/>
        <v>1081.4799392790399</v>
      </c>
      <c r="BF327" s="214">
        <f t="shared" si="197"/>
        <v>-367.64191001244131</v>
      </c>
      <c r="BG327" s="224">
        <f t="shared" si="214"/>
        <v>0</v>
      </c>
      <c r="BH327" s="19">
        <f t="shared" si="211"/>
        <v>336573.26384587988</v>
      </c>
      <c r="BI327" s="214">
        <f t="shared" si="198"/>
        <v>1638.2873807123676</v>
      </c>
      <c r="BJ327" s="214">
        <f t="shared" si="199"/>
        <v>0</v>
      </c>
      <c r="BK327" s="19">
        <f t="shared" si="215"/>
        <v>0</v>
      </c>
    </row>
    <row r="328" spans="1:63">
      <c r="A328" s="165">
        <f t="shared" si="200"/>
        <v>83.139459274469544</v>
      </c>
      <c r="B328" s="69">
        <f t="shared" si="201"/>
        <v>22</v>
      </c>
      <c r="C328" s="70">
        <f t="shared" si="202"/>
        <v>254</v>
      </c>
      <c r="D328" s="13">
        <f t="shared" si="171"/>
        <v>4.8675505653430484E-3</v>
      </c>
      <c r="E328" s="15">
        <f t="shared" si="172"/>
        <v>1</v>
      </c>
      <c r="F328" s="15">
        <f t="shared" si="203"/>
        <v>0</v>
      </c>
      <c r="G328" s="15">
        <f t="shared" si="173"/>
        <v>0</v>
      </c>
      <c r="H328" s="73">
        <f t="shared" si="174"/>
        <v>0</v>
      </c>
      <c r="I328" s="189"/>
      <c r="J328" s="189"/>
      <c r="K328" s="5">
        <f t="shared" si="216"/>
        <v>180821.97901368426</v>
      </c>
      <c r="M328" s="5">
        <f t="shared" si="175"/>
        <v>880.1601261745077</v>
      </c>
      <c r="N328" s="5">
        <f t="shared" si="176"/>
        <v>-299.20457897656604</v>
      </c>
      <c r="O328" s="5">
        <f t="shared" si="177"/>
        <v>0</v>
      </c>
      <c r="P328" s="5">
        <f t="shared" si="178"/>
        <v>0</v>
      </c>
      <c r="Q328" s="5">
        <f t="shared" si="212"/>
        <v>0</v>
      </c>
      <c r="R328" s="5">
        <f t="shared" si="204"/>
        <v>0</v>
      </c>
      <c r="S328" s="5">
        <f t="shared" si="179"/>
        <v>0</v>
      </c>
      <c r="T328" s="5">
        <f t="shared" si="180"/>
        <v>0</v>
      </c>
      <c r="U328" s="74">
        <f t="shared" si="181"/>
        <v>0</v>
      </c>
      <c r="V328" s="75">
        <f t="shared" si="182"/>
        <v>0</v>
      </c>
      <c r="W328" s="5">
        <f t="shared" si="183"/>
        <v>0</v>
      </c>
      <c r="X328" s="5">
        <f t="shared" si="184"/>
        <v>181402.93456088222</v>
      </c>
      <c r="Y328" s="5">
        <f t="shared" si="205"/>
        <v>100000</v>
      </c>
      <c r="Z328" s="215">
        <f t="shared" si="185"/>
        <v>1</v>
      </c>
      <c r="AA328" s="216">
        <f t="shared" si="206"/>
        <v>0</v>
      </c>
      <c r="AB328" s="72">
        <f t="shared" si="213"/>
        <v>29840.358821905051</v>
      </c>
      <c r="AC328" s="72">
        <f t="shared" si="186"/>
        <v>0</v>
      </c>
      <c r="AD328" s="72">
        <f t="shared" si="187"/>
        <v>0</v>
      </c>
      <c r="AE328" s="72">
        <f t="shared" si="207"/>
        <v>-37.775065322053649</v>
      </c>
      <c r="AF328" s="70">
        <f t="shared" si="188"/>
        <v>0</v>
      </c>
      <c r="AG328" s="70">
        <f t="shared" si="189"/>
        <v>12432.092663554111</v>
      </c>
      <c r="AH328" s="1">
        <f t="shared" si="223"/>
        <v>0</v>
      </c>
      <c r="AI328" s="1">
        <f t="shared" si="223"/>
        <v>0</v>
      </c>
      <c r="AJ328" s="1">
        <f t="shared" si="223"/>
        <v>0</v>
      </c>
      <c r="AK328" s="1">
        <f t="shared" si="223"/>
        <v>0</v>
      </c>
      <c r="AL328" s="1">
        <f t="shared" si="223"/>
        <v>0</v>
      </c>
      <c r="AM328" s="1">
        <f t="shared" si="223"/>
        <v>0</v>
      </c>
      <c r="AN328" s="1">
        <f t="shared" si="223"/>
        <v>0</v>
      </c>
      <c r="AO328" s="1">
        <f t="shared" si="223"/>
        <v>0</v>
      </c>
      <c r="AP328" s="1">
        <f t="shared" si="223"/>
        <v>1</v>
      </c>
      <c r="AQ328" s="1">
        <f t="shared" si="223"/>
        <v>1</v>
      </c>
      <c r="AR328" s="1">
        <f t="shared" si="223"/>
        <v>1</v>
      </c>
      <c r="AS328" s="1">
        <f t="shared" si="223"/>
        <v>1</v>
      </c>
      <c r="AT328" s="39">
        <f t="shared" si="190"/>
        <v>181402.93456088222</v>
      </c>
      <c r="AU328" s="39">
        <f t="shared" si="208"/>
        <v>181402.93456088222</v>
      </c>
      <c r="AV328" s="39">
        <f t="shared" si="218"/>
        <v>0</v>
      </c>
      <c r="AW328" s="3">
        <f t="shared" si="191"/>
        <v>254</v>
      </c>
      <c r="AX328" s="69">
        <f t="shared" si="209"/>
        <v>0</v>
      </c>
      <c r="AY328" s="75">
        <f t="shared" si="192"/>
        <v>0</v>
      </c>
      <c r="AZ328" s="75">
        <f t="shared" si="193"/>
        <v>0</v>
      </c>
      <c r="BA328" s="75">
        <f t="shared" si="194"/>
        <v>0</v>
      </c>
      <c r="BB328" s="75">
        <f t="shared" si="195"/>
        <v>0</v>
      </c>
      <c r="BD328" s="214">
        <f t="shared" si="210"/>
        <v>222895.39007706149</v>
      </c>
      <c r="BE328" s="214">
        <f t="shared" si="196"/>
        <v>1084.95458198196</v>
      </c>
      <c r="BF328" s="214">
        <f t="shared" si="197"/>
        <v>-368.82309168166751</v>
      </c>
      <c r="BG328" s="224">
        <f t="shared" si="214"/>
        <v>0</v>
      </c>
      <c r="BH328" s="19">
        <f t="shared" si="211"/>
        <v>338211.55122659222</v>
      </c>
      <c r="BI328" s="214">
        <f t="shared" si="198"/>
        <v>1646.2618273785483</v>
      </c>
      <c r="BJ328" s="214">
        <f t="shared" si="199"/>
        <v>0</v>
      </c>
      <c r="BK328" s="19">
        <f t="shared" si="215"/>
        <v>0</v>
      </c>
    </row>
    <row r="329" spans="1:63">
      <c r="A329" s="165">
        <f t="shared" si="200"/>
        <v>83.222792607802873</v>
      </c>
      <c r="B329" s="69">
        <f t="shared" si="201"/>
        <v>22</v>
      </c>
      <c r="C329" s="70">
        <f t="shared" si="202"/>
        <v>255</v>
      </c>
      <c r="D329" s="13">
        <f t="shared" si="171"/>
        <v>4.8675505653430484E-3</v>
      </c>
      <c r="E329" s="15">
        <f t="shared" si="172"/>
        <v>1</v>
      </c>
      <c r="F329" s="15">
        <f t="shared" si="203"/>
        <v>0</v>
      </c>
      <c r="G329" s="15">
        <f t="shared" si="173"/>
        <v>0</v>
      </c>
      <c r="H329" s="73">
        <f t="shared" si="174"/>
        <v>0</v>
      </c>
      <c r="I329" s="189"/>
      <c r="J329" s="189"/>
      <c r="K329" s="5">
        <f t="shared" si="216"/>
        <v>181402.93456088222</v>
      </c>
      <c r="M329" s="5">
        <f t="shared" si="175"/>
        <v>882.98795667671027</v>
      </c>
      <c r="N329" s="5">
        <f t="shared" si="176"/>
        <v>-300.16588114155508</v>
      </c>
      <c r="O329" s="5">
        <f t="shared" si="177"/>
        <v>0</v>
      </c>
      <c r="P329" s="5">
        <f t="shared" si="178"/>
        <v>0</v>
      </c>
      <c r="Q329" s="5">
        <f t="shared" si="212"/>
        <v>0</v>
      </c>
      <c r="R329" s="5">
        <f t="shared" si="204"/>
        <v>0</v>
      </c>
      <c r="S329" s="5">
        <f t="shared" si="179"/>
        <v>0</v>
      </c>
      <c r="T329" s="5">
        <f t="shared" si="180"/>
        <v>0</v>
      </c>
      <c r="U329" s="74">
        <f t="shared" si="181"/>
        <v>0</v>
      </c>
      <c r="V329" s="75">
        <f t="shared" si="182"/>
        <v>0</v>
      </c>
      <c r="W329" s="5">
        <f t="shared" si="183"/>
        <v>0</v>
      </c>
      <c r="X329" s="5">
        <f t="shared" si="184"/>
        <v>181985.75663641738</v>
      </c>
      <c r="Y329" s="5">
        <f t="shared" si="205"/>
        <v>100000</v>
      </c>
      <c r="Z329" s="215">
        <f t="shared" si="185"/>
        <v>1</v>
      </c>
      <c r="AA329" s="216">
        <f t="shared" si="206"/>
        <v>0</v>
      </c>
      <c r="AB329" s="72">
        <f t="shared" si="213"/>
        <v>29840.358821905051</v>
      </c>
      <c r="AC329" s="72">
        <f t="shared" si="186"/>
        <v>0</v>
      </c>
      <c r="AD329" s="72">
        <f t="shared" si="187"/>
        <v>0</v>
      </c>
      <c r="AE329" s="72">
        <f t="shared" si="207"/>
        <v>-37.89643128577287</v>
      </c>
      <c r="AF329" s="70">
        <f t="shared" si="188"/>
        <v>0</v>
      </c>
      <c r="AG329" s="70">
        <f t="shared" si="189"/>
        <v>12653.565052257472</v>
      </c>
      <c r="AH329" s="1">
        <f t="shared" si="223"/>
        <v>0</v>
      </c>
      <c r="AI329" s="1">
        <f t="shared" si="223"/>
        <v>0</v>
      </c>
      <c r="AJ329" s="1">
        <f t="shared" si="223"/>
        <v>0</v>
      </c>
      <c r="AK329" s="1">
        <f t="shared" si="223"/>
        <v>0</v>
      </c>
      <c r="AL329" s="1">
        <f t="shared" si="223"/>
        <v>0</v>
      </c>
      <c r="AM329" s="1">
        <f t="shared" si="223"/>
        <v>0</v>
      </c>
      <c r="AN329" s="1">
        <f t="shared" si="223"/>
        <v>0</v>
      </c>
      <c r="AO329" s="1">
        <f t="shared" si="223"/>
        <v>0</v>
      </c>
      <c r="AP329" s="1">
        <f t="shared" si="223"/>
        <v>1</v>
      </c>
      <c r="AQ329" s="1">
        <f t="shared" si="223"/>
        <v>1</v>
      </c>
      <c r="AR329" s="1">
        <f t="shared" si="223"/>
        <v>1</v>
      </c>
      <c r="AS329" s="1">
        <f t="shared" si="223"/>
        <v>1</v>
      </c>
      <c r="AT329" s="39">
        <f t="shared" si="190"/>
        <v>181985.75663641738</v>
      </c>
      <c r="AU329" s="39">
        <f t="shared" si="208"/>
        <v>181985.75663641738</v>
      </c>
      <c r="AV329" s="39">
        <f t="shared" si="218"/>
        <v>0</v>
      </c>
      <c r="AW329" s="3">
        <f t="shared" si="191"/>
        <v>255</v>
      </c>
      <c r="AX329" s="69">
        <f t="shared" si="209"/>
        <v>0</v>
      </c>
      <c r="AY329" s="75">
        <f t="shared" si="192"/>
        <v>0</v>
      </c>
      <c r="AZ329" s="75">
        <f t="shared" si="193"/>
        <v>0</v>
      </c>
      <c r="BA329" s="75">
        <f t="shared" si="194"/>
        <v>0</v>
      </c>
      <c r="BB329" s="75">
        <f t="shared" si="195"/>
        <v>0</v>
      </c>
      <c r="BD329" s="214">
        <f t="shared" si="210"/>
        <v>223611.52156736178</v>
      </c>
      <c r="BE329" s="214">
        <f t="shared" si="196"/>
        <v>1088.440388222431</v>
      </c>
      <c r="BF329" s="214">
        <f t="shared" si="197"/>
        <v>-370.0080683212106</v>
      </c>
      <c r="BG329" s="224">
        <f t="shared" si="214"/>
        <v>0</v>
      </c>
      <c r="BH329" s="19">
        <f t="shared" si="211"/>
        <v>339857.81305397075</v>
      </c>
      <c r="BI329" s="214">
        <f t="shared" si="198"/>
        <v>1654.2750900671074</v>
      </c>
      <c r="BJ329" s="214">
        <f t="shared" si="199"/>
        <v>0</v>
      </c>
      <c r="BK329" s="19">
        <f t="shared" si="215"/>
        <v>0</v>
      </c>
    </row>
    <row r="330" spans="1:63">
      <c r="A330" s="165">
        <f t="shared" si="200"/>
        <v>83.306125941136202</v>
      </c>
      <c r="B330" s="69">
        <f t="shared" si="201"/>
        <v>22</v>
      </c>
      <c r="C330" s="70">
        <f t="shared" si="202"/>
        <v>256</v>
      </c>
      <c r="D330" s="13">
        <f t="shared" si="171"/>
        <v>4.8675505653430484E-3</v>
      </c>
      <c r="E330" s="15">
        <f t="shared" si="172"/>
        <v>1</v>
      </c>
      <c r="F330" s="15">
        <f t="shared" si="203"/>
        <v>0</v>
      </c>
      <c r="G330" s="15">
        <f t="shared" si="173"/>
        <v>0</v>
      </c>
      <c r="H330" s="73">
        <f t="shared" si="174"/>
        <v>0</v>
      </c>
      <c r="I330" s="189"/>
      <c r="J330" s="189"/>
      <c r="K330" s="5">
        <f t="shared" si="216"/>
        <v>181985.75663641738</v>
      </c>
      <c r="M330" s="5">
        <f t="shared" si="175"/>
        <v>885.82487259997583</v>
      </c>
      <c r="N330" s="5">
        <f t="shared" si="176"/>
        <v>-301.13027183498707</v>
      </c>
      <c r="O330" s="5">
        <f t="shared" si="177"/>
        <v>0</v>
      </c>
      <c r="P330" s="5">
        <f t="shared" si="178"/>
        <v>0</v>
      </c>
      <c r="Q330" s="5">
        <f t="shared" si="212"/>
        <v>0</v>
      </c>
      <c r="R330" s="5">
        <f t="shared" si="204"/>
        <v>0</v>
      </c>
      <c r="S330" s="5">
        <f t="shared" si="179"/>
        <v>0</v>
      </c>
      <c r="T330" s="5">
        <f t="shared" si="180"/>
        <v>0</v>
      </c>
      <c r="U330" s="74">
        <f t="shared" si="181"/>
        <v>0</v>
      </c>
      <c r="V330" s="75">
        <f t="shared" si="182"/>
        <v>0</v>
      </c>
      <c r="W330" s="5">
        <f t="shared" si="183"/>
        <v>0</v>
      </c>
      <c r="X330" s="5">
        <f t="shared" si="184"/>
        <v>182570.45123718237</v>
      </c>
      <c r="Y330" s="5">
        <f t="shared" si="205"/>
        <v>100000</v>
      </c>
      <c r="Z330" s="215">
        <f t="shared" si="185"/>
        <v>1</v>
      </c>
      <c r="AA330" s="216">
        <f t="shared" si="206"/>
        <v>0</v>
      </c>
      <c r="AB330" s="72">
        <f t="shared" si="213"/>
        <v>29840.358821905051</v>
      </c>
      <c r="AC330" s="72">
        <f t="shared" si="186"/>
        <v>0</v>
      </c>
      <c r="AD330" s="72">
        <f t="shared" si="187"/>
        <v>0</v>
      </c>
      <c r="AE330" s="72">
        <f t="shared" si="207"/>
        <v>-38.01818718123738</v>
      </c>
      <c r="AF330" s="70">
        <f t="shared" si="188"/>
        <v>0</v>
      </c>
      <c r="AG330" s="70">
        <f t="shared" si="189"/>
        <v>12875.749000548167</v>
      </c>
      <c r="AH330" s="1">
        <f t="shared" si="223"/>
        <v>0</v>
      </c>
      <c r="AI330" s="1">
        <f t="shared" si="223"/>
        <v>0</v>
      </c>
      <c r="AJ330" s="1">
        <f t="shared" si="223"/>
        <v>0</v>
      </c>
      <c r="AK330" s="1">
        <f t="shared" si="223"/>
        <v>0</v>
      </c>
      <c r="AL330" s="1">
        <f t="shared" si="223"/>
        <v>0</v>
      </c>
      <c r="AM330" s="1">
        <f t="shared" si="223"/>
        <v>0</v>
      </c>
      <c r="AN330" s="1">
        <f t="shared" si="223"/>
        <v>0</v>
      </c>
      <c r="AO330" s="1">
        <f t="shared" si="223"/>
        <v>0</v>
      </c>
      <c r="AP330" s="1">
        <f t="shared" si="223"/>
        <v>1</v>
      </c>
      <c r="AQ330" s="1">
        <f t="shared" si="223"/>
        <v>1</v>
      </c>
      <c r="AR330" s="1">
        <f t="shared" si="223"/>
        <v>1</v>
      </c>
      <c r="AS330" s="1">
        <f t="shared" si="223"/>
        <v>1</v>
      </c>
      <c r="AT330" s="39">
        <f t="shared" si="190"/>
        <v>182570.45123718237</v>
      </c>
      <c r="AU330" s="39">
        <f t="shared" si="208"/>
        <v>182570.45123718237</v>
      </c>
      <c r="AV330" s="39">
        <f t="shared" si="218"/>
        <v>0</v>
      </c>
      <c r="AW330" s="3">
        <f t="shared" si="191"/>
        <v>256</v>
      </c>
      <c r="AX330" s="69">
        <f t="shared" si="209"/>
        <v>0</v>
      </c>
      <c r="AY330" s="75">
        <f t="shared" si="192"/>
        <v>0</v>
      </c>
      <c r="AZ330" s="75">
        <f t="shared" si="193"/>
        <v>0</v>
      </c>
      <c r="BA330" s="75">
        <f t="shared" si="194"/>
        <v>0</v>
      </c>
      <c r="BB330" s="75">
        <f t="shared" si="195"/>
        <v>0</v>
      </c>
      <c r="BD330" s="214">
        <f t="shared" si="210"/>
        <v>224329.95388726299</v>
      </c>
      <c r="BE330" s="214">
        <f t="shared" si="196"/>
        <v>1091.937393867327</v>
      </c>
      <c r="BF330" s="214">
        <f t="shared" si="197"/>
        <v>-371.19685212377556</v>
      </c>
      <c r="BG330" s="224">
        <f t="shared" si="214"/>
        <v>0</v>
      </c>
      <c r="BH330" s="19">
        <f t="shared" si="211"/>
        <v>341512.08814403787</v>
      </c>
      <c r="BI330" s="214">
        <f t="shared" si="198"/>
        <v>1662.3273577169966</v>
      </c>
      <c r="BJ330" s="214">
        <f t="shared" si="199"/>
        <v>0</v>
      </c>
      <c r="BK330" s="19">
        <f t="shared" si="215"/>
        <v>0</v>
      </c>
    </row>
    <row r="331" spans="1:63">
      <c r="A331" s="165">
        <f t="shared" si="200"/>
        <v>83.389459274469544</v>
      </c>
      <c r="B331" s="69">
        <f t="shared" si="201"/>
        <v>22</v>
      </c>
      <c r="C331" s="70">
        <f t="shared" si="202"/>
        <v>257</v>
      </c>
      <c r="D331" s="13">
        <f t="shared" ref="D331:D394" si="224">Growth_Rate_1_Monthly</f>
        <v>4.8675505653430484E-3</v>
      </c>
      <c r="E331" s="15">
        <f t="shared" ref="E331:E394" si="225">IF(Gtee_Flag="on",1,0)</f>
        <v>1</v>
      </c>
      <c r="F331" s="15">
        <f t="shared" si="203"/>
        <v>0</v>
      </c>
      <c r="G331" s="15">
        <f t="shared" ref="G331:G394" si="226">IF(AND(RP_Flag = "Yes",RP_Allowed="Yes"),IF(RP_PremFreq = "Annual",IF(MOD(C331-1, 12) = 0, 1, 0), IF(RP_PremFreq = "Half-Yearly", IF(MOD(C331-1, 6) = 0, 1, 0), IF(RP_PremFreq = "Quarterly", IF(MOD(C331-1, 3) = 0, 1, 0), IF(RP_PremFreq = "Monthly", IF(MOD(C331-1, 1) = 0, 1, 0), "Error")))),0)</f>
        <v>0</v>
      </c>
      <c r="H331" s="73">
        <f t="shared" ref="H331:H394" si="227">IF(ISERROR(VLOOKUP(Product_Code,Product_Parameters,B331+8,FALSE)),0,VLOOKUP(Product_Code,Product_Parameters,B331+8,FALSE))</f>
        <v>0</v>
      </c>
      <c r="I331" s="189"/>
      <c r="J331" s="189"/>
      <c r="K331" s="5">
        <f t="shared" si="216"/>
        <v>182570.45123718237</v>
      </c>
      <c r="M331" s="5">
        <f t="shared" ref="M331:M394" si="228">(K331+L331)*D331</f>
        <v>888.6709031344825</v>
      </c>
      <c r="N331" s="5">
        <f t="shared" ref="N331:N394" si="229">-(($K331+(L331)+M331/2)*(External_Fund_Charge_Monthly+Fund_Charge_Monthly+Gtee_Charge_Monthly*$E331))-I331*Government_Levy</f>
        <v>-302.09776097986878</v>
      </c>
      <c r="O331" s="5">
        <f t="shared" ref="O331:O394" si="230">(Reg_Contrib/Contrib_Per_Year)*(1+RP_Escalation_Rate)^(B331-1)*G331</f>
        <v>0</v>
      </c>
      <c r="P331" s="5">
        <f t="shared" ref="P331:P394" si="231">O331*(RP_Allocation_Rate-1)</f>
        <v>0</v>
      </c>
      <c r="Q331" s="5">
        <f t="shared" si="212"/>
        <v>0</v>
      </c>
      <c r="R331" s="5">
        <f t="shared" si="204"/>
        <v>0</v>
      </c>
      <c r="S331" s="5">
        <f t="shared" ref="S331:S394" si="232">(Q331+R331)*D331</f>
        <v>0</v>
      </c>
      <c r="T331" s="5">
        <f t="shared" ref="T331:T394" si="233">-(($Q331+(R331)+S331/2)*(External_Fund_Charge_Monthly+Fund_Charge_Monthly+Gtee_Charge_Monthly*$E331))-O331*Government_Levy</f>
        <v>0</v>
      </c>
      <c r="U331" s="74">
        <f t="shared" ref="U331:U394" si="234">IF(OR(Reg_Income_Flag="No",Income_Type="Fixed Percent"),0,IF(C331&gt;=Regular_Income_Start_Month,
MIN(Regular_Income_Amount/12*(1+Income_Escalation_Rate_Annual)^($B331-1),AU331),0))</f>
        <v>0</v>
      </c>
      <c r="V331" s="75">
        <f t="shared" ref="V331:V394" si="235">IF(Reg_Income_Flag="No",0,MAX(IF(C331&gt;=Regular_Income_Start_Month,
MIN(IF(Income_Type="Fixed Percent",$C$43,0)/12*(K331+L331+M331+N331+Q331+R331+S331+T331),AU331),0),0))</f>
        <v>0</v>
      </c>
      <c r="W331" s="5">
        <f t="shared" ref="W331:W394" si="236">-MAX(U331:V331)</f>
        <v>0</v>
      </c>
      <c r="X331" s="5">
        <f t="shared" ref="X331:X394" si="237">SUM(K331:N331,Q331:T331)</f>
        <v>183157.02437933697</v>
      </c>
      <c r="Y331" s="5">
        <f t="shared" si="205"/>
        <v>100000</v>
      </c>
      <c r="Z331" s="215">
        <f t="shared" ref="Z331:Z394" si="238">IFERROR(SUM(K331:N331)/X331,0)</f>
        <v>1</v>
      </c>
      <c r="AA331" s="216">
        <f t="shared" si="206"/>
        <v>0</v>
      </c>
      <c r="AB331" s="72">
        <f t="shared" si="213"/>
        <v>29840.358821905051</v>
      </c>
      <c r="AC331" s="72">
        <f t="shared" ref="AC331:AC394" si="239">IF(Y331=0,0,-IF(F331=1,1,AA331)*(MAX(X331+AB331-Y331,0)*Exit_Tax_Rate-AB331))</f>
        <v>0</v>
      </c>
      <c r="AD331" s="72">
        <f t="shared" ref="AD331:AD394" si="240">W331-IF(F331=1,AA331,1)*AC331</f>
        <v>0</v>
      </c>
      <c r="AE331" s="72">
        <f t="shared" si="207"/>
        <v>-38.140334261242948</v>
      </c>
      <c r="AF331" s="70">
        <f t="shared" ref="AF331:AF394" si="241">SUM(K331:N331,SUM(AC331:AD331)*Z331)*$H331</f>
        <v>0</v>
      </c>
      <c r="AG331" s="70">
        <f t="shared" ref="AG331:AG394" si="242">IF(F331=1,0,MAX(X331+AB331+AC331+AD331-AF331-Y331,0)*Exit_Tax_Rate-AB331)</f>
        <v>13098.646794566914</v>
      </c>
      <c r="AH331" s="1">
        <f t="shared" si="223"/>
        <v>0</v>
      </c>
      <c r="AI331" s="1">
        <f t="shared" si="223"/>
        <v>0</v>
      </c>
      <c r="AJ331" s="1">
        <f t="shared" si="223"/>
        <v>0</v>
      </c>
      <c r="AK331" s="1">
        <f t="shared" si="223"/>
        <v>0</v>
      </c>
      <c r="AL331" s="1">
        <f t="shared" si="223"/>
        <v>0</v>
      </c>
      <c r="AM331" s="1">
        <f t="shared" si="223"/>
        <v>0</v>
      </c>
      <c r="AN331" s="1">
        <f t="shared" si="223"/>
        <v>0</v>
      </c>
      <c r="AO331" s="1">
        <f t="shared" si="223"/>
        <v>0</v>
      </c>
      <c r="AP331" s="1">
        <f t="shared" si="223"/>
        <v>1</v>
      </c>
      <c r="AQ331" s="1">
        <f t="shared" si="223"/>
        <v>1</v>
      </c>
      <c r="AR331" s="1">
        <f t="shared" si="223"/>
        <v>1</v>
      </c>
      <c r="AS331" s="1">
        <f t="shared" si="223"/>
        <v>1</v>
      </c>
      <c r="AT331" s="39">
        <f t="shared" ref="AT331:AT394" si="243">SUM(K331:N331,Q331:T331,W331,AC331)</f>
        <v>183157.02437933697</v>
      </c>
      <c r="AU331" s="39">
        <f t="shared" si="208"/>
        <v>183157.02437933697</v>
      </c>
      <c r="AV331" s="39">
        <f t="shared" si="218"/>
        <v>0</v>
      </c>
      <c r="AW331" s="3">
        <f t="shared" ref="AW331:AW394" si="244">C331</f>
        <v>257</v>
      </c>
      <c r="AX331" s="69">
        <f t="shared" si="209"/>
        <v>0</v>
      </c>
      <c r="AY331" s="75">
        <f t="shared" ref="AY331:AY394" si="245">IF(OR(AND(B331=Fund_Zero_Year,BD332=0,BD331&gt;0),C331=$C$53*12),-BH331,IF(AND(B331+1=Fund_Zero_Year,BD332=0,BD331&gt;0),-BH331,0))</f>
        <v>0</v>
      </c>
      <c r="AZ331" s="75">
        <f t="shared" ref="AZ331:AZ394" si="246">IF(OR(AND(B331=Fund_Zero_Year,BD332=0,BD331&gt;0),C331=$C$53*12),-BD331,IF(AND(B331+1=Fund_Zero_Year,BD332=0,BD331&gt;0),-BD331,0))</f>
        <v>0</v>
      </c>
      <c r="BA331" s="75">
        <f t="shared" ref="BA331:BA394" si="247">AY331+AX331+IF(OR(B331&gt;Fund_Zero_Year,BD331=0,C331&gt;MAX($C$53,$C$52)*12),0,W331)</f>
        <v>0</v>
      </c>
      <c r="BB331" s="75">
        <f t="shared" ref="BB331:BB394" si="248">AZ331+AX331+IF(OR(B331&gt;Fund_Zero_Year,BD331=0,C331&gt;MAX($C$53,$C$52)*12),0,W331)</f>
        <v>0</v>
      </c>
      <c r="BD331" s="214">
        <f t="shared" si="210"/>
        <v>225050.69442900654</v>
      </c>
      <c r="BE331" s="214">
        <f t="shared" ref="BE331:BE394" si="249">BD331*D331</f>
        <v>1095.4456348987565</v>
      </c>
      <c r="BF331" s="214">
        <f t="shared" ref="BF331:BF394" si="250">-(BD331+BE331/2)*(External_Fund_Charge_Monthly+Fund_Charge_Monthly+Gtee_Charge_Monthly*$E331)-(I331+O331)*Government_Levy</f>
        <v>-372.3894553212408</v>
      </c>
      <c r="BG331" s="224">
        <f t="shared" si="214"/>
        <v>0</v>
      </c>
      <c r="BH331" s="19">
        <f t="shared" si="211"/>
        <v>343174.41550175485</v>
      </c>
      <c r="BI331" s="214">
        <f t="shared" ref="BI331:BI394" si="251">BH331*D331</f>
        <v>1670.4188201868369</v>
      </c>
      <c r="BJ331" s="214">
        <f t="shared" ref="BJ331:BJ394" si="252">-(I331+O331)*Government_Levy</f>
        <v>0</v>
      </c>
      <c r="BK331" s="19">
        <f t="shared" si="215"/>
        <v>0</v>
      </c>
    </row>
    <row r="332" spans="1:63">
      <c r="A332" s="165">
        <f t="shared" ref="A332:A395" si="253">$C$35+C331/12</f>
        <v>83.472792607802873</v>
      </c>
      <c r="B332" s="69">
        <f t="shared" ref="B332:B395" si="254">INT((C332-1)/12)+1</f>
        <v>22</v>
      </c>
      <c r="C332" s="70">
        <f t="shared" ref="C332:C395" si="255">C331+1</f>
        <v>258</v>
      </c>
      <c r="D332" s="13">
        <f t="shared" si="224"/>
        <v>4.8675505653430484E-3</v>
      </c>
      <c r="E332" s="15">
        <f t="shared" si="225"/>
        <v>1</v>
      </c>
      <c r="F332" s="15">
        <f t="shared" ref="F332:F395" si="256">IF(MOD(C332,96)=0,1,0)</f>
        <v>0</v>
      </c>
      <c r="G332" s="15">
        <f t="shared" si="226"/>
        <v>0</v>
      </c>
      <c r="H332" s="73">
        <f t="shared" si="227"/>
        <v>0</v>
      </c>
      <c r="I332" s="189"/>
      <c r="J332" s="189"/>
      <c r="K332" s="5">
        <f t="shared" si="216"/>
        <v>183157.02437933697</v>
      </c>
      <c r="M332" s="5">
        <f t="shared" si="228"/>
        <v>891.52607756419218</v>
      </c>
      <c r="N332" s="5">
        <f t="shared" si="229"/>
        <v>-303.06835853108811</v>
      </c>
      <c r="O332" s="5">
        <f t="shared" si="230"/>
        <v>0</v>
      </c>
      <c r="P332" s="5">
        <f t="shared" si="231"/>
        <v>0</v>
      </c>
      <c r="Q332" s="5">
        <f t="shared" si="212"/>
        <v>0</v>
      </c>
      <c r="R332" s="5">
        <f t="shared" ref="R332:R395" si="257">O332+P332</f>
        <v>0</v>
      </c>
      <c r="S332" s="5">
        <f t="shared" si="232"/>
        <v>0</v>
      </c>
      <c r="T332" s="5">
        <f t="shared" si="233"/>
        <v>0</v>
      </c>
      <c r="U332" s="74">
        <f t="shared" si="234"/>
        <v>0</v>
      </c>
      <c r="V332" s="75">
        <f t="shared" si="235"/>
        <v>0</v>
      </c>
      <c r="W332" s="5">
        <f t="shared" si="236"/>
        <v>0</v>
      </c>
      <c r="X332" s="5">
        <f t="shared" si="237"/>
        <v>183745.48209837009</v>
      </c>
      <c r="Y332" s="5">
        <f t="shared" ref="Y332:Y395" si="258">I332+O332+Y331*(1-AA331)</f>
        <v>100000</v>
      </c>
      <c r="Z332" s="215">
        <f t="shared" si="238"/>
        <v>1</v>
      </c>
      <c r="AA332" s="216">
        <f t="shared" ref="AA332:AA395" si="259">IFERROR(-W332/X332,0)</f>
        <v>0</v>
      </c>
      <c r="AB332" s="72">
        <f t="shared" si="213"/>
        <v>29840.358821905051</v>
      </c>
      <c r="AC332" s="72">
        <f t="shared" si="239"/>
        <v>0</v>
      </c>
      <c r="AD332" s="72">
        <f t="shared" si="240"/>
        <v>0</v>
      </c>
      <c r="AE332" s="72">
        <f t="shared" ref="AE332:AE395" si="260">-(($K332+I332+M332/2+N332/2+W332/2+$Q332+O332+S332/2+T332/2))*(Ongoing_Commission_Monthly)</f>
        <v>-38.262873782610392</v>
      </c>
      <c r="AF332" s="70">
        <f t="shared" si="241"/>
        <v>0</v>
      </c>
      <c r="AG332" s="70">
        <f t="shared" si="242"/>
        <v>13322.260727799505</v>
      </c>
      <c r="AH332" s="1">
        <f t="shared" si="223"/>
        <v>0</v>
      </c>
      <c r="AI332" s="1">
        <f t="shared" si="223"/>
        <v>0</v>
      </c>
      <c r="AJ332" s="1">
        <f t="shared" si="223"/>
        <v>0</v>
      </c>
      <c r="AK332" s="1">
        <f t="shared" si="223"/>
        <v>0</v>
      </c>
      <c r="AL332" s="1">
        <f t="shared" si="223"/>
        <v>0</v>
      </c>
      <c r="AM332" s="1">
        <f t="shared" si="223"/>
        <v>0</v>
      </c>
      <c r="AN332" s="1">
        <f t="shared" si="223"/>
        <v>0</v>
      </c>
      <c r="AO332" s="1">
        <f t="shared" si="223"/>
        <v>0</v>
      </c>
      <c r="AP332" s="1">
        <f t="shared" si="223"/>
        <v>1</v>
      </c>
      <c r="AQ332" s="1">
        <f t="shared" si="223"/>
        <v>1</v>
      </c>
      <c r="AR332" s="1">
        <f t="shared" si="223"/>
        <v>1</v>
      </c>
      <c r="AS332" s="1">
        <f t="shared" si="223"/>
        <v>1</v>
      </c>
      <c r="AT332" s="39">
        <f t="shared" si="243"/>
        <v>183745.48209837009</v>
      </c>
      <c r="AU332" s="39">
        <f t="shared" ref="AU332:AU395" si="261">MAX(0,SUM(K332:N332)-$C$51)</f>
        <v>183745.48209837009</v>
      </c>
      <c r="AV332" s="39">
        <f t="shared" si="218"/>
        <v>0</v>
      </c>
      <c r="AW332" s="3">
        <f t="shared" si="244"/>
        <v>258</v>
      </c>
      <c r="AX332" s="69">
        <f t="shared" ref="AX332:AX395" si="262">IF(OR(B332&gt;Fund_Zero_Year,SUM(K332,Q332)=0,C332&gt;$C$53*12),0,I332+O332)</f>
        <v>0</v>
      </c>
      <c r="AY332" s="75">
        <f t="shared" si="245"/>
        <v>0</v>
      </c>
      <c r="AZ332" s="75">
        <f t="shared" si="246"/>
        <v>0</v>
      </c>
      <c r="BA332" s="75">
        <f t="shared" si="247"/>
        <v>0</v>
      </c>
      <c r="BB332" s="75">
        <f t="shared" si="248"/>
        <v>0</v>
      </c>
      <c r="BD332" s="214">
        <f t="shared" ref="BD332:BD395" si="263">SUM(BD331:BG331)+L332+R332</f>
        <v>225773.75060858406</v>
      </c>
      <c r="BE332" s="214">
        <f t="shared" si="249"/>
        <v>1098.9651474144337</v>
      </c>
      <c r="BF332" s="214">
        <f t="shared" si="250"/>
        <v>-373.58589018478426</v>
      </c>
      <c r="BG332" s="224">
        <f t="shared" si="214"/>
        <v>0</v>
      </c>
      <c r="BH332" s="19">
        <f t="shared" ref="BH332:BH395" si="264">SUM(BH331:BK331)+L332+R332</f>
        <v>344844.83432194166</v>
      </c>
      <c r="BI332" s="214">
        <f t="shared" si="251"/>
        <v>1678.5496682593969</v>
      </c>
      <c r="BJ332" s="214">
        <f t="shared" si="252"/>
        <v>0</v>
      </c>
      <c r="BK332" s="19">
        <f t="shared" si="215"/>
        <v>0</v>
      </c>
    </row>
    <row r="333" spans="1:63">
      <c r="A333" s="165">
        <f t="shared" si="253"/>
        <v>83.556125941136202</v>
      </c>
      <c r="B333" s="69">
        <f t="shared" si="254"/>
        <v>22</v>
      </c>
      <c r="C333" s="70">
        <f t="shared" si="255"/>
        <v>259</v>
      </c>
      <c r="D333" s="13">
        <f t="shared" si="224"/>
        <v>4.8675505653430484E-3</v>
      </c>
      <c r="E333" s="15">
        <f t="shared" si="225"/>
        <v>1</v>
      </c>
      <c r="F333" s="15">
        <f t="shared" si="256"/>
        <v>0</v>
      </c>
      <c r="G333" s="15">
        <f t="shared" si="226"/>
        <v>0</v>
      </c>
      <c r="H333" s="73">
        <f t="shared" si="227"/>
        <v>0</v>
      </c>
      <c r="I333" s="189"/>
      <c r="J333" s="189"/>
      <c r="K333" s="5">
        <f t="shared" si="216"/>
        <v>183745.48209837009</v>
      </c>
      <c r="M333" s="5">
        <f t="shared" si="228"/>
        <v>894.3904252671523</v>
      </c>
      <c r="N333" s="5">
        <f t="shared" si="229"/>
        <v>-304.0420744755171</v>
      </c>
      <c r="O333" s="5">
        <f t="shared" si="230"/>
        <v>0</v>
      </c>
      <c r="P333" s="5">
        <f t="shared" si="231"/>
        <v>0</v>
      </c>
      <c r="Q333" s="5">
        <f t="shared" ref="Q333:Q396" si="265">SUM(Q332:T332)+SUM(AC332)*(1-Z332)</f>
        <v>0</v>
      </c>
      <c r="R333" s="5">
        <f t="shared" si="257"/>
        <v>0</v>
      </c>
      <c r="S333" s="5">
        <f t="shared" si="232"/>
        <v>0</v>
      </c>
      <c r="T333" s="5">
        <f t="shared" si="233"/>
        <v>0</v>
      </c>
      <c r="U333" s="74">
        <f t="shared" si="234"/>
        <v>0</v>
      </c>
      <c r="V333" s="75">
        <f t="shared" si="235"/>
        <v>0</v>
      </c>
      <c r="W333" s="5">
        <f t="shared" si="236"/>
        <v>0</v>
      </c>
      <c r="X333" s="5">
        <f t="shared" si="237"/>
        <v>184335.83044916173</v>
      </c>
      <c r="Y333" s="5">
        <f t="shared" si="258"/>
        <v>100000</v>
      </c>
      <c r="Z333" s="215">
        <f t="shared" si="238"/>
        <v>1</v>
      </c>
      <c r="AA333" s="216">
        <f t="shared" si="259"/>
        <v>0</v>
      </c>
      <c r="AB333" s="72">
        <f t="shared" ref="AB333:AB396" si="266">-IF(F332=1,AC332*(1-AA332),0)+AB332*(1-AA332)</f>
        <v>29840.358821905051</v>
      </c>
      <c r="AC333" s="72">
        <f t="shared" si="239"/>
        <v>0</v>
      </c>
      <c r="AD333" s="72">
        <f t="shared" si="240"/>
        <v>0</v>
      </c>
      <c r="AE333" s="72">
        <f t="shared" si="260"/>
        <v>-38.385807006198561</v>
      </c>
      <c r="AF333" s="70">
        <f t="shared" si="241"/>
        <v>0</v>
      </c>
      <c r="AG333" s="70">
        <f t="shared" si="242"/>
        <v>13546.593101100327</v>
      </c>
      <c r="AH333" s="1">
        <f t="shared" si="223"/>
        <v>0</v>
      </c>
      <c r="AI333" s="1">
        <f t="shared" si="223"/>
        <v>0</v>
      </c>
      <c r="AJ333" s="1">
        <f t="shared" si="223"/>
        <v>0</v>
      </c>
      <c r="AK333" s="1">
        <f t="shared" si="223"/>
        <v>0</v>
      </c>
      <c r="AL333" s="1">
        <f t="shared" si="223"/>
        <v>0</v>
      </c>
      <c r="AM333" s="1">
        <f t="shared" si="223"/>
        <v>0</v>
      </c>
      <c r="AN333" s="1">
        <f t="shared" si="223"/>
        <v>0</v>
      </c>
      <c r="AO333" s="1">
        <f t="shared" si="223"/>
        <v>0</v>
      </c>
      <c r="AP333" s="1">
        <f t="shared" si="223"/>
        <v>1</v>
      </c>
      <c r="AQ333" s="1">
        <f t="shared" si="223"/>
        <v>1</v>
      </c>
      <c r="AR333" s="1">
        <f t="shared" si="223"/>
        <v>1</v>
      </c>
      <c r="AS333" s="1">
        <f t="shared" si="223"/>
        <v>1</v>
      </c>
      <c r="AT333" s="39">
        <f t="shared" si="243"/>
        <v>184335.83044916173</v>
      </c>
      <c r="AU333" s="39">
        <f t="shared" si="261"/>
        <v>184335.83044916173</v>
      </c>
      <c r="AV333" s="39">
        <f t="shared" si="218"/>
        <v>0</v>
      </c>
      <c r="AW333" s="3">
        <f t="shared" si="244"/>
        <v>259</v>
      </c>
      <c r="AX333" s="69">
        <f t="shared" si="262"/>
        <v>0</v>
      </c>
      <c r="AY333" s="75">
        <f t="shared" si="245"/>
        <v>0</v>
      </c>
      <c r="AZ333" s="75">
        <f t="shared" si="246"/>
        <v>0</v>
      </c>
      <c r="BA333" s="75">
        <f t="shared" si="247"/>
        <v>0</v>
      </c>
      <c r="BB333" s="75">
        <f t="shared" si="248"/>
        <v>0</v>
      </c>
      <c r="BD333" s="214">
        <f t="shared" si="263"/>
        <v>226499.12986581368</v>
      </c>
      <c r="BE333" s="214">
        <f t="shared" si="249"/>
        <v>1102.4959676280498</v>
      </c>
      <c r="BF333" s="214">
        <f t="shared" si="250"/>
        <v>-374.7861690250092</v>
      </c>
      <c r="BG333" s="224">
        <f t="shared" ref="BG333:BG396" si="267">W333</f>
        <v>0</v>
      </c>
      <c r="BH333" s="19">
        <f t="shared" si="264"/>
        <v>346523.38399020105</v>
      </c>
      <c r="BI333" s="214">
        <f t="shared" si="251"/>
        <v>1686.7200936460895</v>
      </c>
      <c r="BJ333" s="214">
        <f t="shared" si="252"/>
        <v>0</v>
      </c>
      <c r="BK333" s="19">
        <f t="shared" ref="BK333:BK396" si="268">W333</f>
        <v>0</v>
      </c>
    </row>
    <row r="334" spans="1:63">
      <c r="A334" s="165">
        <f t="shared" si="253"/>
        <v>83.639459274469544</v>
      </c>
      <c r="B334" s="69">
        <f t="shared" si="254"/>
        <v>22</v>
      </c>
      <c r="C334" s="70">
        <f t="shared" si="255"/>
        <v>260</v>
      </c>
      <c r="D334" s="13">
        <f t="shared" si="224"/>
        <v>4.8675505653430484E-3</v>
      </c>
      <c r="E334" s="15">
        <f t="shared" si="225"/>
        <v>1</v>
      </c>
      <c r="F334" s="15">
        <f t="shared" si="256"/>
        <v>0</v>
      </c>
      <c r="G334" s="15">
        <f t="shared" si="226"/>
        <v>0</v>
      </c>
      <c r="H334" s="73">
        <f t="shared" si="227"/>
        <v>0</v>
      </c>
      <c r="I334" s="189"/>
      <c r="J334" s="189"/>
      <c r="K334" s="5">
        <f t="shared" ref="K334:K397" si="269">SUM(K333:N333)+AD333+AC333*Z333</f>
        <v>184335.83044916173</v>
      </c>
      <c r="M334" s="5">
        <f t="shared" si="228"/>
        <v>897.26397571579753</v>
      </c>
      <c r="N334" s="5">
        <f t="shared" si="229"/>
        <v>-305.01891883211351</v>
      </c>
      <c r="O334" s="5">
        <f t="shared" si="230"/>
        <v>0</v>
      </c>
      <c r="P334" s="5">
        <f t="shared" si="231"/>
        <v>0</v>
      </c>
      <c r="Q334" s="5">
        <f t="shared" si="265"/>
        <v>0</v>
      </c>
      <c r="R334" s="5">
        <f t="shared" si="257"/>
        <v>0</v>
      </c>
      <c r="S334" s="5">
        <f t="shared" si="232"/>
        <v>0</v>
      </c>
      <c r="T334" s="5">
        <f t="shared" si="233"/>
        <v>0</v>
      </c>
      <c r="U334" s="74">
        <f t="shared" si="234"/>
        <v>0</v>
      </c>
      <c r="V334" s="75">
        <f t="shared" si="235"/>
        <v>0</v>
      </c>
      <c r="W334" s="5">
        <f t="shared" si="236"/>
        <v>0</v>
      </c>
      <c r="X334" s="5">
        <f t="shared" si="237"/>
        <v>184928.0755060454</v>
      </c>
      <c r="Y334" s="5">
        <f t="shared" si="258"/>
        <v>100000</v>
      </c>
      <c r="Z334" s="215">
        <f t="shared" si="238"/>
        <v>1</v>
      </c>
      <c r="AA334" s="216">
        <f t="shared" si="259"/>
        <v>0</v>
      </c>
      <c r="AB334" s="72">
        <f t="shared" si="266"/>
        <v>29840.358821905051</v>
      </c>
      <c r="AC334" s="72">
        <f t="shared" si="239"/>
        <v>0</v>
      </c>
      <c r="AD334" s="72">
        <f t="shared" si="240"/>
        <v>0</v>
      </c>
      <c r="AE334" s="72">
        <f t="shared" si="260"/>
        <v>-38.509135196917192</v>
      </c>
      <c r="AF334" s="70">
        <f t="shared" si="241"/>
        <v>0</v>
      </c>
      <c r="AG334" s="70">
        <f t="shared" si="242"/>
        <v>13771.646222716117</v>
      </c>
      <c r="AH334" s="1">
        <f t="shared" si="223"/>
        <v>0</v>
      </c>
      <c r="AI334" s="1">
        <f t="shared" si="223"/>
        <v>0</v>
      </c>
      <c r="AJ334" s="1">
        <f t="shared" si="223"/>
        <v>0</v>
      </c>
      <c r="AK334" s="1">
        <f t="shared" si="223"/>
        <v>0</v>
      </c>
      <c r="AL334" s="1">
        <f t="shared" si="223"/>
        <v>0</v>
      </c>
      <c r="AM334" s="1">
        <f t="shared" si="223"/>
        <v>0</v>
      </c>
      <c r="AN334" s="1">
        <f t="shared" si="223"/>
        <v>0</v>
      </c>
      <c r="AO334" s="1">
        <f t="shared" si="223"/>
        <v>0</v>
      </c>
      <c r="AP334" s="1">
        <f t="shared" si="223"/>
        <v>1</v>
      </c>
      <c r="AQ334" s="1">
        <f t="shared" si="223"/>
        <v>1</v>
      </c>
      <c r="AR334" s="1">
        <f t="shared" si="223"/>
        <v>1</v>
      </c>
      <c r="AS334" s="1">
        <f t="shared" si="223"/>
        <v>1</v>
      </c>
      <c r="AT334" s="39">
        <f t="shared" si="243"/>
        <v>184928.0755060454</v>
      </c>
      <c r="AU334" s="39">
        <f t="shared" si="261"/>
        <v>184928.0755060454</v>
      </c>
      <c r="AV334" s="39">
        <f t="shared" si="218"/>
        <v>0</v>
      </c>
      <c r="AW334" s="3">
        <f t="shared" si="244"/>
        <v>260</v>
      </c>
      <c r="AX334" s="69">
        <f t="shared" si="262"/>
        <v>0</v>
      </c>
      <c r="AY334" s="75">
        <f t="shared" si="245"/>
        <v>0</v>
      </c>
      <c r="AZ334" s="75">
        <f t="shared" si="246"/>
        <v>0</v>
      </c>
      <c r="BA334" s="75">
        <f t="shared" si="247"/>
        <v>0</v>
      </c>
      <c r="BB334" s="75">
        <f t="shared" si="248"/>
        <v>0</v>
      </c>
      <c r="BD334" s="214">
        <f t="shared" si="263"/>
        <v>227226.83966441674</v>
      </c>
      <c r="BE334" s="214">
        <f t="shared" si="249"/>
        <v>1106.0381318696459</v>
      </c>
      <c r="BF334" s="214">
        <f t="shared" si="250"/>
        <v>-375.99030419207133</v>
      </c>
      <c r="BG334" s="224">
        <f t="shared" si="267"/>
        <v>0</v>
      </c>
      <c r="BH334" s="19">
        <f t="shared" si="264"/>
        <v>348210.10408384714</v>
      </c>
      <c r="BI334" s="214">
        <f t="shared" si="251"/>
        <v>1694.9302889914918</v>
      </c>
      <c r="BJ334" s="214">
        <f t="shared" si="252"/>
        <v>0</v>
      </c>
      <c r="BK334" s="19">
        <f t="shared" si="268"/>
        <v>0</v>
      </c>
    </row>
    <row r="335" spans="1:63">
      <c r="A335" s="165">
        <f t="shared" si="253"/>
        <v>83.722792607802873</v>
      </c>
      <c r="B335" s="69">
        <f t="shared" si="254"/>
        <v>22</v>
      </c>
      <c r="C335" s="70">
        <f t="shared" si="255"/>
        <v>261</v>
      </c>
      <c r="D335" s="13">
        <f t="shared" si="224"/>
        <v>4.8675505653430484E-3</v>
      </c>
      <c r="E335" s="15">
        <f t="shared" si="225"/>
        <v>1</v>
      </c>
      <c r="F335" s="15">
        <f t="shared" si="256"/>
        <v>0</v>
      </c>
      <c r="G335" s="15">
        <f t="shared" si="226"/>
        <v>0</v>
      </c>
      <c r="H335" s="73">
        <f t="shared" si="227"/>
        <v>0</v>
      </c>
      <c r="I335" s="189"/>
      <c r="J335" s="189"/>
      <c r="K335" s="5">
        <f t="shared" si="269"/>
        <v>184928.0755060454</v>
      </c>
      <c r="M335" s="5">
        <f t="shared" si="228"/>
        <v>900.14675847725323</v>
      </c>
      <c r="N335" s="5">
        <f t="shared" si="229"/>
        <v>-305.99890165202515</v>
      </c>
      <c r="O335" s="5">
        <f t="shared" si="230"/>
        <v>0</v>
      </c>
      <c r="P335" s="5">
        <f t="shared" si="231"/>
        <v>0</v>
      </c>
      <c r="Q335" s="5">
        <f t="shared" si="265"/>
        <v>0</v>
      </c>
      <c r="R335" s="5">
        <f t="shared" si="257"/>
        <v>0</v>
      </c>
      <c r="S335" s="5">
        <f t="shared" si="232"/>
        <v>0</v>
      </c>
      <c r="T335" s="5">
        <f t="shared" si="233"/>
        <v>0</v>
      </c>
      <c r="U335" s="74">
        <f t="shared" si="234"/>
        <v>0</v>
      </c>
      <c r="V335" s="75">
        <f t="shared" si="235"/>
        <v>0</v>
      </c>
      <c r="W335" s="5">
        <f t="shared" si="236"/>
        <v>0</v>
      </c>
      <c r="X335" s="5">
        <f t="shared" si="237"/>
        <v>185522.22336287063</v>
      </c>
      <c r="Y335" s="5">
        <f t="shared" si="258"/>
        <v>100000</v>
      </c>
      <c r="Z335" s="215">
        <f t="shared" si="238"/>
        <v>1</v>
      </c>
      <c r="AA335" s="216">
        <f t="shared" si="259"/>
        <v>0</v>
      </c>
      <c r="AB335" s="72">
        <f t="shared" si="266"/>
        <v>29840.358821905051</v>
      </c>
      <c r="AC335" s="72">
        <f t="shared" si="239"/>
        <v>0</v>
      </c>
      <c r="AD335" s="72">
        <f t="shared" si="240"/>
        <v>0</v>
      </c>
      <c r="AE335" s="72">
        <f t="shared" si="260"/>
        <v>-38.63285962374006</v>
      </c>
      <c r="AF335" s="70">
        <f t="shared" si="241"/>
        <v>0</v>
      </c>
      <c r="AG335" s="70">
        <f t="shared" si="242"/>
        <v>13997.422408309707</v>
      </c>
      <c r="AH335" s="1">
        <f t="shared" ref="AH335:AS344" si="270">IF($B335&lt;=AH$74,1,0)</f>
        <v>0</v>
      </c>
      <c r="AI335" s="1">
        <f t="shared" si="270"/>
        <v>0</v>
      </c>
      <c r="AJ335" s="1">
        <f t="shared" si="270"/>
        <v>0</v>
      </c>
      <c r="AK335" s="1">
        <f t="shared" si="270"/>
        <v>0</v>
      </c>
      <c r="AL335" s="1">
        <f t="shared" si="270"/>
        <v>0</v>
      </c>
      <c r="AM335" s="1">
        <f t="shared" si="270"/>
        <v>0</v>
      </c>
      <c r="AN335" s="1">
        <f t="shared" si="270"/>
        <v>0</v>
      </c>
      <c r="AO335" s="1">
        <f t="shared" si="270"/>
        <v>0</v>
      </c>
      <c r="AP335" s="1">
        <f t="shared" si="270"/>
        <v>1</v>
      </c>
      <c r="AQ335" s="1">
        <f t="shared" si="270"/>
        <v>1</v>
      </c>
      <c r="AR335" s="1">
        <f t="shared" si="270"/>
        <v>1</v>
      </c>
      <c r="AS335" s="1">
        <f t="shared" si="270"/>
        <v>1</v>
      </c>
      <c r="AT335" s="39">
        <f t="shared" si="243"/>
        <v>185522.22336287063</v>
      </c>
      <c r="AU335" s="39">
        <f t="shared" si="261"/>
        <v>185522.22336287063</v>
      </c>
      <c r="AV335" s="39">
        <f t="shared" si="218"/>
        <v>0</v>
      </c>
      <c r="AW335" s="3">
        <f t="shared" si="244"/>
        <v>261</v>
      </c>
      <c r="AX335" s="69">
        <f t="shared" si="262"/>
        <v>0</v>
      </c>
      <c r="AY335" s="75">
        <f t="shared" si="245"/>
        <v>0</v>
      </c>
      <c r="AZ335" s="75">
        <f t="shared" si="246"/>
        <v>0</v>
      </c>
      <c r="BA335" s="75">
        <f t="shared" si="247"/>
        <v>0</v>
      </c>
      <c r="BB335" s="75">
        <f t="shared" si="248"/>
        <v>0</v>
      </c>
      <c r="BD335" s="214">
        <f t="shared" si="263"/>
        <v>227956.88749209433</v>
      </c>
      <c r="BE335" s="214">
        <f t="shared" si="249"/>
        <v>1109.5916765859854</v>
      </c>
      <c r="BF335" s="214">
        <f t="shared" si="250"/>
        <v>-377.19830807580553</v>
      </c>
      <c r="BG335" s="224">
        <f t="shared" si="267"/>
        <v>0</v>
      </c>
      <c r="BH335" s="19">
        <f t="shared" si="264"/>
        <v>349905.03437283862</v>
      </c>
      <c r="BI335" s="214">
        <f t="shared" si="251"/>
        <v>1703.1804478778895</v>
      </c>
      <c r="BJ335" s="214">
        <f t="shared" si="252"/>
        <v>0</v>
      </c>
      <c r="BK335" s="19">
        <f t="shared" si="268"/>
        <v>0</v>
      </c>
    </row>
    <row r="336" spans="1:63">
      <c r="A336" s="165">
        <f t="shared" si="253"/>
        <v>83.806125941136202</v>
      </c>
      <c r="B336" s="69">
        <f t="shared" si="254"/>
        <v>22</v>
      </c>
      <c r="C336" s="70">
        <f t="shared" si="255"/>
        <v>262</v>
      </c>
      <c r="D336" s="13">
        <f t="shared" si="224"/>
        <v>4.8675505653430484E-3</v>
      </c>
      <c r="E336" s="15">
        <f t="shared" si="225"/>
        <v>1</v>
      </c>
      <c r="F336" s="15">
        <f t="shared" si="256"/>
        <v>0</v>
      </c>
      <c r="G336" s="15">
        <f t="shared" si="226"/>
        <v>0</v>
      </c>
      <c r="H336" s="73">
        <f t="shared" si="227"/>
        <v>0</v>
      </c>
      <c r="I336" s="189"/>
      <c r="J336" s="189"/>
      <c r="K336" s="5">
        <f t="shared" si="269"/>
        <v>185522.22336287063</v>
      </c>
      <c r="M336" s="5">
        <f t="shared" si="228"/>
        <v>903.03880321364022</v>
      </c>
      <c r="N336" s="5">
        <f t="shared" si="229"/>
        <v>-306.9820330186925</v>
      </c>
      <c r="O336" s="5">
        <f t="shared" si="230"/>
        <v>0</v>
      </c>
      <c r="P336" s="5">
        <f t="shared" si="231"/>
        <v>0</v>
      </c>
      <c r="Q336" s="5">
        <f t="shared" si="265"/>
        <v>0</v>
      </c>
      <c r="R336" s="5">
        <f t="shared" si="257"/>
        <v>0</v>
      </c>
      <c r="S336" s="5">
        <f t="shared" si="232"/>
        <v>0</v>
      </c>
      <c r="T336" s="5">
        <f t="shared" si="233"/>
        <v>0</v>
      </c>
      <c r="U336" s="74">
        <f t="shared" si="234"/>
        <v>0</v>
      </c>
      <c r="V336" s="75">
        <f t="shared" si="235"/>
        <v>0</v>
      </c>
      <c r="W336" s="5">
        <f t="shared" si="236"/>
        <v>0</v>
      </c>
      <c r="X336" s="5">
        <f t="shared" si="237"/>
        <v>186118.28013306559</v>
      </c>
      <c r="Y336" s="5">
        <f t="shared" si="258"/>
        <v>100000</v>
      </c>
      <c r="Z336" s="215">
        <f t="shared" si="238"/>
        <v>1</v>
      </c>
      <c r="AA336" s="216">
        <f t="shared" si="259"/>
        <v>0</v>
      </c>
      <c r="AB336" s="72">
        <f t="shared" si="266"/>
        <v>29840.358821905051</v>
      </c>
      <c r="AC336" s="72">
        <f t="shared" si="239"/>
        <v>0</v>
      </c>
      <c r="AD336" s="72">
        <f t="shared" si="240"/>
        <v>0</v>
      </c>
      <c r="AE336" s="72">
        <f t="shared" si="260"/>
        <v>-38.756981559717943</v>
      </c>
      <c r="AF336" s="70">
        <f t="shared" si="241"/>
        <v>0</v>
      </c>
      <c r="AG336" s="70">
        <f t="shared" si="242"/>
        <v>14223.923980983789</v>
      </c>
      <c r="AH336" s="1">
        <f t="shared" si="270"/>
        <v>0</v>
      </c>
      <c r="AI336" s="1">
        <f t="shared" si="270"/>
        <v>0</v>
      </c>
      <c r="AJ336" s="1">
        <f t="shared" si="270"/>
        <v>0</v>
      </c>
      <c r="AK336" s="1">
        <f t="shared" si="270"/>
        <v>0</v>
      </c>
      <c r="AL336" s="1">
        <f t="shared" si="270"/>
        <v>0</v>
      </c>
      <c r="AM336" s="1">
        <f t="shared" si="270"/>
        <v>0</v>
      </c>
      <c r="AN336" s="1">
        <f t="shared" si="270"/>
        <v>0</v>
      </c>
      <c r="AO336" s="1">
        <f t="shared" si="270"/>
        <v>0</v>
      </c>
      <c r="AP336" s="1">
        <f t="shared" si="270"/>
        <v>1</v>
      </c>
      <c r="AQ336" s="1">
        <f t="shared" si="270"/>
        <v>1</v>
      </c>
      <c r="AR336" s="1">
        <f t="shared" si="270"/>
        <v>1</v>
      </c>
      <c r="AS336" s="1">
        <f t="shared" si="270"/>
        <v>1</v>
      </c>
      <c r="AT336" s="39">
        <f t="shared" si="243"/>
        <v>186118.28013306559</v>
      </c>
      <c r="AU336" s="39">
        <f t="shared" si="261"/>
        <v>186118.28013306559</v>
      </c>
      <c r="AV336" s="39">
        <f t="shared" si="218"/>
        <v>0</v>
      </c>
      <c r="AW336" s="3">
        <f t="shared" si="244"/>
        <v>262</v>
      </c>
      <c r="AX336" s="69">
        <f t="shared" si="262"/>
        <v>0</v>
      </c>
      <c r="AY336" s="75">
        <f t="shared" si="245"/>
        <v>0</v>
      </c>
      <c r="AZ336" s="75">
        <f t="shared" si="246"/>
        <v>0</v>
      </c>
      <c r="BA336" s="75">
        <f t="shared" si="247"/>
        <v>0</v>
      </c>
      <c r="BB336" s="75">
        <f t="shared" si="248"/>
        <v>0</v>
      </c>
      <c r="BD336" s="214">
        <f t="shared" si="263"/>
        <v>228689.28086060451</v>
      </c>
      <c r="BE336" s="214">
        <f t="shared" si="249"/>
        <v>1113.1566383409306</v>
      </c>
      <c r="BF336" s="214">
        <f t="shared" si="250"/>
        <v>-378.41019310585341</v>
      </c>
      <c r="BG336" s="224">
        <f t="shared" si="267"/>
        <v>0</v>
      </c>
      <c r="BH336" s="19">
        <f t="shared" si="264"/>
        <v>351608.21482071653</v>
      </c>
      <c r="BI336" s="214">
        <f t="shared" si="251"/>
        <v>1711.4707648298388</v>
      </c>
      <c r="BJ336" s="214">
        <f t="shared" si="252"/>
        <v>0</v>
      </c>
      <c r="BK336" s="19">
        <f t="shared" si="268"/>
        <v>0</v>
      </c>
    </row>
    <row r="337" spans="1:63">
      <c r="A337" s="165">
        <f t="shared" si="253"/>
        <v>83.889459274469544</v>
      </c>
      <c r="B337" s="69">
        <f t="shared" si="254"/>
        <v>22</v>
      </c>
      <c r="C337" s="70">
        <f t="shared" si="255"/>
        <v>263</v>
      </c>
      <c r="D337" s="13">
        <f t="shared" si="224"/>
        <v>4.8675505653430484E-3</v>
      </c>
      <c r="E337" s="15">
        <f t="shared" si="225"/>
        <v>1</v>
      </c>
      <c r="F337" s="15">
        <f t="shared" si="256"/>
        <v>0</v>
      </c>
      <c r="G337" s="15">
        <f t="shared" si="226"/>
        <v>0</v>
      </c>
      <c r="H337" s="73">
        <f t="shared" si="227"/>
        <v>0</v>
      </c>
      <c r="I337" s="189"/>
      <c r="J337" s="189"/>
      <c r="K337" s="5">
        <f t="shared" si="269"/>
        <v>186118.28013306559</v>
      </c>
      <c r="M337" s="5">
        <f t="shared" si="228"/>
        <v>905.94013968237925</v>
      </c>
      <c r="N337" s="5">
        <f t="shared" si="229"/>
        <v>-307.96832304795288</v>
      </c>
      <c r="O337" s="5">
        <f t="shared" si="230"/>
        <v>0</v>
      </c>
      <c r="P337" s="5">
        <f t="shared" si="231"/>
        <v>0</v>
      </c>
      <c r="Q337" s="5">
        <f t="shared" si="265"/>
        <v>0</v>
      </c>
      <c r="R337" s="5">
        <f t="shared" si="257"/>
        <v>0</v>
      </c>
      <c r="S337" s="5">
        <f t="shared" si="232"/>
        <v>0</v>
      </c>
      <c r="T337" s="5">
        <f t="shared" si="233"/>
        <v>0</v>
      </c>
      <c r="U337" s="74">
        <f t="shared" si="234"/>
        <v>0</v>
      </c>
      <c r="V337" s="75">
        <f t="shared" si="235"/>
        <v>0</v>
      </c>
      <c r="W337" s="5">
        <f t="shared" si="236"/>
        <v>0</v>
      </c>
      <c r="X337" s="5">
        <f t="shared" si="237"/>
        <v>186716.25194970003</v>
      </c>
      <c r="Y337" s="5">
        <f t="shared" si="258"/>
        <v>100000</v>
      </c>
      <c r="Z337" s="215">
        <f t="shared" si="238"/>
        <v>1</v>
      </c>
      <c r="AA337" s="216">
        <f t="shared" si="259"/>
        <v>0</v>
      </c>
      <c r="AB337" s="72">
        <f t="shared" si="266"/>
        <v>29840.358821905051</v>
      </c>
      <c r="AC337" s="72">
        <f t="shared" si="239"/>
        <v>0</v>
      </c>
      <c r="AD337" s="72">
        <f t="shared" si="240"/>
        <v>0</v>
      </c>
      <c r="AE337" s="72">
        <f t="shared" si="260"/>
        <v>-38.881502281991771</v>
      </c>
      <c r="AF337" s="70">
        <f t="shared" si="241"/>
        <v>0</v>
      </c>
      <c r="AG337" s="70">
        <f t="shared" si="242"/>
        <v>14451.15327130488</v>
      </c>
      <c r="AH337" s="1">
        <f t="shared" si="270"/>
        <v>0</v>
      </c>
      <c r="AI337" s="1">
        <f t="shared" si="270"/>
        <v>0</v>
      </c>
      <c r="AJ337" s="1">
        <f t="shared" si="270"/>
        <v>0</v>
      </c>
      <c r="AK337" s="1">
        <f t="shared" si="270"/>
        <v>0</v>
      </c>
      <c r="AL337" s="1">
        <f t="shared" si="270"/>
        <v>0</v>
      </c>
      <c r="AM337" s="1">
        <f t="shared" si="270"/>
        <v>0</v>
      </c>
      <c r="AN337" s="1">
        <f t="shared" si="270"/>
        <v>0</v>
      </c>
      <c r="AO337" s="1">
        <f t="shared" si="270"/>
        <v>0</v>
      </c>
      <c r="AP337" s="1">
        <f t="shared" si="270"/>
        <v>1</v>
      </c>
      <c r="AQ337" s="1">
        <f t="shared" si="270"/>
        <v>1</v>
      </c>
      <c r="AR337" s="1">
        <f t="shared" si="270"/>
        <v>1</v>
      </c>
      <c r="AS337" s="1">
        <f t="shared" si="270"/>
        <v>1</v>
      </c>
      <c r="AT337" s="39">
        <f t="shared" si="243"/>
        <v>186716.25194970003</v>
      </c>
      <c r="AU337" s="39">
        <f t="shared" si="261"/>
        <v>186716.25194970003</v>
      </c>
      <c r="AV337" s="39">
        <f t="shared" si="218"/>
        <v>0</v>
      </c>
      <c r="AW337" s="3">
        <f t="shared" si="244"/>
        <v>263</v>
      </c>
      <c r="AX337" s="69">
        <f t="shared" si="262"/>
        <v>0</v>
      </c>
      <c r="AY337" s="75">
        <f t="shared" si="245"/>
        <v>0</v>
      </c>
      <c r="AZ337" s="75">
        <f t="shared" si="246"/>
        <v>0</v>
      </c>
      <c r="BA337" s="75">
        <f t="shared" si="247"/>
        <v>0</v>
      </c>
      <c r="BB337" s="75">
        <f t="shared" si="248"/>
        <v>0</v>
      </c>
      <c r="BD337" s="214">
        <f t="shared" si="263"/>
        <v>229424.02730583961</v>
      </c>
      <c r="BE337" s="214">
        <f t="shared" si="249"/>
        <v>1116.7330538158185</v>
      </c>
      <c r="BF337" s="214">
        <f t="shared" si="250"/>
        <v>-379.6259717517915</v>
      </c>
      <c r="BG337" s="224">
        <f t="shared" si="267"/>
        <v>0</v>
      </c>
      <c r="BH337" s="19">
        <f t="shared" si="264"/>
        <v>353319.68558554637</v>
      </c>
      <c r="BI337" s="214">
        <f t="shared" si="251"/>
        <v>1719.8014353187543</v>
      </c>
      <c r="BJ337" s="214">
        <f t="shared" si="252"/>
        <v>0</v>
      </c>
      <c r="BK337" s="19">
        <f t="shared" si="268"/>
        <v>0</v>
      </c>
    </row>
    <row r="338" spans="1:63">
      <c r="A338" s="165">
        <f t="shared" si="253"/>
        <v>83.972792607802873</v>
      </c>
      <c r="B338" s="69">
        <f t="shared" si="254"/>
        <v>22</v>
      </c>
      <c r="C338" s="70">
        <f t="shared" si="255"/>
        <v>264</v>
      </c>
      <c r="D338" s="13">
        <f t="shared" si="224"/>
        <v>4.8675505653430484E-3</v>
      </c>
      <c r="E338" s="15">
        <f t="shared" si="225"/>
        <v>1</v>
      </c>
      <c r="F338" s="15">
        <f t="shared" si="256"/>
        <v>0</v>
      </c>
      <c r="G338" s="15">
        <f t="shared" si="226"/>
        <v>0</v>
      </c>
      <c r="H338" s="73">
        <f t="shared" si="227"/>
        <v>0</v>
      </c>
      <c r="I338" s="189"/>
      <c r="J338" s="189"/>
      <c r="K338" s="5">
        <f t="shared" si="269"/>
        <v>186716.25194970003</v>
      </c>
      <c r="M338" s="5">
        <f t="shared" si="228"/>
        <v>908.8507977364975</v>
      </c>
      <c r="N338" s="5">
        <f t="shared" si="229"/>
        <v>-308.95778188814404</v>
      </c>
      <c r="O338" s="5">
        <f t="shared" si="230"/>
        <v>0</v>
      </c>
      <c r="P338" s="5">
        <f t="shared" si="231"/>
        <v>0</v>
      </c>
      <c r="Q338" s="5">
        <f t="shared" si="265"/>
        <v>0</v>
      </c>
      <c r="R338" s="5">
        <f t="shared" si="257"/>
        <v>0</v>
      </c>
      <c r="S338" s="5">
        <f t="shared" si="232"/>
        <v>0</v>
      </c>
      <c r="T338" s="5">
        <f t="shared" si="233"/>
        <v>0</v>
      </c>
      <c r="U338" s="74">
        <f t="shared" si="234"/>
        <v>0</v>
      </c>
      <c r="V338" s="75">
        <f t="shared" si="235"/>
        <v>0</v>
      </c>
      <c r="W338" s="5">
        <f t="shared" si="236"/>
        <v>0</v>
      </c>
      <c r="X338" s="5">
        <f t="shared" si="237"/>
        <v>187316.14496554839</v>
      </c>
      <c r="Y338" s="5">
        <f t="shared" si="258"/>
        <v>100000</v>
      </c>
      <c r="Z338" s="215">
        <f t="shared" si="238"/>
        <v>1</v>
      </c>
      <c r="AA338" s="216">
        <f t="shared" si="259"/>
        <v>0</v>
      </c>
      <c r="AB338" s="72">
        <f t="shared" si="266"/>
        <v>29840.358821905051</v>
      </c>
      <c r="AC338" s="72">
        <f t="shared" si="239"/>
        <v>0</v>
      </c>
      <c r="AD338" s="72">
        <f t="shared" si="240"/>
        <v>0</v>
      </c>
      <c r="AE338" s="72">
        <f t="shared" si="260"/>
        <v>-39.006423071805735</v>
      </c>
      <c r="AF338" s="70">
        <f t="shared" si="241"/>
        <v>0</v>
      </c>
      <c r="AG338" s="70">
        <f t="shared" si="242"/>
        <v>14679.112617327257</v>
      </c>
      <c r="AH338" s="1">
        <f t="shared" si="270"/>
        <v>0</v>
      </c>
      <c r="AI338" s="1">
        <f t="shared" si="270"/>
        <v>0</v>
      </c>
      <c r="AJ338" s="1">
        <f t="shared" si="270"/>
        <v>0</v>
      </c>
      <c r="AK338" s="1">
        <f t="shared" si="270"/>
        <v>0</v>
      </c>
      <c r="AL338" s="1">
        <f t="shared" si="270"/>
        <v>0</v>
      </c>
      <c r="AM338" s="1">
        <f t="shared" si="270"/>
        <v>0</v>
      </c>
      <c r="AN338" s="1">
        <f t="shared" si="270"/>
        <v>0</v>
      </c>
      <c r="AO338" s="1">
        <f t="shared" si="270"/>
        <v>0</v>
      </c>
      <c r="AP338" s="1">
        <f t="shared" si="270"/>
        <v>1</v>
      </c>
      <c r="AQ338" s="1">
        <f t="shared" si="270"/>
        <v>1</v>
      </c>
      <c r="AR338" s="1">
        <f t="shared" si="270"/>
        <v>1</v>
      </c>
      <c r="AS338" s="1">
        <f t="shared" si="270"/>
        <v>1</v>
      </c>
      <c r="AT338" s="39">
        <f t="shared" si="243"/>
        <v>187316.14496554839</v>
      </c>
      <c r="AU338" s="39">
        <f t="shared" si="261"/>
        <v>187316.14496554839</v>
      </c>
      <c r="AV338" s="39">
        <f t="shared" si="218"/>
        <v>0</v>
      </c>
      <c r="AW338" s="3">
        <f t="shared" si="244"/>
        <v>264</v>
      </c>
      <c r="AX338" s="69">
        <f t="shared" si="262"/>
        <v>0</v>
      </c>
      <c r="AY338" s="75">
        <f t="shared" si="245"/>
        <v>0</v>
      </c>
      <c r="AZ338" s="75">
        <f t="shared" si="246"/>
        <v>0</v>
      </c>
      <c r="BA338" s="75">
        <f t="shared" si="247"/>
        <v>0</v>
      </c>
      <c r="BB338" s="75">
        <f t="shared" si="248"/>
        <v>0</v>
      </c>
      <c r="BD338" s="214">
        <f t="shared" si="263"/>
        <v>230161.13438790364</v>
      </c>
      <c r="BE338" s="214">
        <f t="shared" si="249"/>
        <v>1120.3209598098376</v>
      </c>
      <c r="BF338" s="214">
        <f t="shared" si="250"/>
        <v>-380.84565652325898</v>
      </c>
      <c r="BG338" s="224">
        <f t="shared" si="267"/>
        <v>0</v>
      </c>
      <c r="BH338" s="19">
        <f t="shared" si="264"/>
        <v>355039.48702086514</v>
      </c>
      <c r="BI338" s="214">
        <f t="shared" si="251"/>
        <v>1728.1726557675181</v>
      </c>
      <c r="BJ338" s="214">
        <f t="shared" si="252"/>
        <v>0</v>
      </c>
      <c r="BK338" s="19">
        <f t="shared" si="268"/>
        <v>0</v>
      </c>
    </row>
    <row r="339" spans="1:63">
      <c r="A339" s="165">
        <f t="shared" si="253"/>
        <v>84.056125941136202</v>
      </c>
      <c r="B339" s="69">
        <f t="shared" si="254"/>
        <v>23</v>
      </c>
      <c r="C339" s="70">
        <f t="shared" si="255"/>
        <v>265</v>
      </c>
      <c r="D339" s="13">
        <f t="shared" si="224"/>
        <v>4.8675505653430484E-3</v>
      </c>
      <c r="E339" s="15">
        <f t="shared" si="225"/>
        <v>1</v>
      </c>
      <c r="F339" s="15">
        <f t="shared" si="256"/>
        <v>0</v>
      </c>
      <c r="G339" s="15">
        <f t="shared" si="226"/>
        <v>0</v>
      </c>
      <c r="H339" s="73">
        <f t="shared" si="227"/>
        <v>0</v>
      </c>
      <c r="I339" s="189"/>
      <c r="J339" s="189"/>
      <c r="K339" s="5">
        <f t="shared" si="269"/>
        <v>187316.14496554839</v>
      </c>
      <c r="M339" s="5">
        <f t="shared" si="228"/>
        <v>911.7708073249355</v>
      </c>
      <c r="N339" s="5">
        <f t="shared" si="229"/>
        <v>-309.95041972020925</v>
      </c>
      <c r="O339" s="5">
        <f t="shared" si="230"/>
        <v>0</v>
      </c>
      <c r="P339" s="5">
        <f t="shared" si="231"/>
        <v>0</v>
      </c>
      <c r="Q339" s="5">
        <f t="shared" si="265"/>
        <v>0</v>
      </c>
      <c r="R339" s="5">
        <f t="shared" si="257"/>
        <v>0</v>
      </c>
      <c r="S339" s="5">
        <f t="shared" si="232"/>
        <v>0</v>
      </c>
      <c r="T339" s="5">
        <f t="shared" si="233"/>
        <v>0</v>
      </c>
      <c r="U339" s="74">
        <f t="shared" si="234"/>
        <v>0</v>
      </c>
      <c r="V339" s="75">
        <f t="shared" si="235"/>
        <v>0</v>
      </c>
      <c r="W339" s="5">
        <f t="shared" si="236"/>
        <v>0</v>
      </c>
      <c r="X339" s="5">
        <f t="shared" si="237"/>
        <v>187917.96535315312</v>
      </c>
      <c r="Y339" s="5">
        <f t="shared" si="258"/>
        <v>100000</v>
      </c>
      <c r="Z339" s="215">
        <f t="shared" si="238"/>
        <v>1</v>
      </c>
      <c r="AA339" s="216">
        <f t="shared" si="259"/>
        <v>0</v>
      </c>
      <c r="AB339" s="72">
        <f t="shared" si="266"/>
        <v>29840.358821905051</v>
      </c>
      <c r="AC339" s="72">
        <f t="shared" si="239"/>
        <v>0</v>
      </c>
      <c r="AD339" s="72">
        <f t="shared" si="240"/>
        <v>0</v>
      </c>
      <c r="AE339" s="72">
        <f t="shared" si="260"/>
        <v>-39.131745214520478</v>
      </c>
      <c r="AF339" s="70">
        <f t="shared" si="241"/>
        <v>0</v>
      </c>
      <c r="AG339" s="70">
        <f t="shared" si="242"/>
        <v>14907.804364617055</v>
      </c>
      <c r="AH339" s="1">
        <f t="shared" si="270"/>
        <v>0</v>
      </c>
      <c r="AI339" s="1">
        <f t="shared" si="270"/>
        <v>0</v>
      </c>
      <c r="AJ339" s="1">
        <f t="shared" si="270"/>
        <v>0</v>
      </c>
      <c r="AK339" s="1">
        <f t="shared" si="270"/>
        <v>0</v>
      </c>
      <c r="AL339" s="1">
        <f t="shared" si="270"/>
        <v>0</v>
      </c>
      <c r="AM339" s="1">
        <f t="shared" si="270"/>
        <v>0</v>
      </c>
      <c r="AN339" s="1">
        <f t="shared" si="270"/>
        <v>0</v>
      </c>
      <c r="AO339" s="1">
        <f t="shared" si="270"/>
        <v>0</v>
      </c>
      <c r="AP339" s="1">
        <f t="shared" si="270"/>
        <v>1</v>
      </c>
      <c r="AQ339" s="1">
        <f t="shared" si="270"/>
        <v>1</v>
      </c>
      <c r="AR339" s="1">
        <f t="shared" si="270"/>
        <v>1</v>
      </c>
      <c r="AS339" s="1">
        <f t="shared" si="270"/>
        <v>1</v>
      </c>
      <c r="AT339" s="39">
        <f t="shared" si="243"/>
        <v>187917.96535315312</v>
      </c>
      <c r="AU339" s="39">
        <f t="shared" si="261"/>
        <v>187917.96535315312</v>
      </c>
      <c r="AV339" s="39">
        <f t="shared" si="218"/>
        <v>0</v>
      </c>
      <c r="AW339" s="3">
        <f t="shared" si="244"/>
        <v>265</v>
      </c>
      <c r="AX339" s="69">
        <f t="shared" si="262"/>
        <v>0</v>
      </c>
      <c r="AY339" s="75">
        <f t="shared" si="245"/>
        <v>0</v>
      </c>
      <c r="AZ339" s="75">
        <f t="shared" si="246"/>
        <v>0</v>
      </c>
      <c r="BA339" s="75">
        <f t="shared" si="247"/>
        <v>0</v>
      </c>
      <c r="BB339" s="75">
        <f t="shared" si="248"/>
        <v>0</v>
      </c>
      <c r="BD339" s="214">
        <f t="shared" si="263"/>
        <v>230900.60969119024</v>
      </c>
      <c r="BE339" s="214">
        <f t="shared" si="249"/>
        <v>1123.9203932404075</v>
      </c>
      <c r="BF339" s="214">
        <f t="shared" si="250"/>
        <v>-382.06925997008716</v>
      </c>
      <c r="BG339" s="224">
        <f t="shared" si="267"/>
        <v>0</v>
      </c>
      <c r="BH339" s="19">
        <f t="shared" si="264"/>
        <v>356767.65967663267</v>
      </c>
      <c r="BI339" s="214">
        <f t="shared" si="251"/>
        <v>1736.5846235551096</v>
      </c>
      <c r="BJ339" s="214">
        <f t="shared" si="252"/>
        <v>0</v>
      </c>
      <c r="BK339" s="19">
        <f t="shared" si="268"/>
        <v>0</v>
      </c>
    </row>
    <row r="340" spans="1:63">
      <c r="A340" s="165">
        <f t="shared" si="253"/>
        <v>84.139459274469544</v>
      </c>
      <c r="B340" s="69">
        <f t="shared" si="254"/>
        <v>23</v>
      </c>
      <c r="C340" s="70">
        <f t="shared" si="255"/>
        <v>266</v>
      </c>
      <c r="D340" s="13">
        <f t="shared" si="224"/>
        <v>4.8675505653430484E-3</v>
      </c>
      <c r="E340" s="15">
        <f t="shared" si="225"/>
        <v>1</v>
      </c>
      <c r="F340" s="15">
        <f t="shared" si="256"/>
        <v>0</v>
      </c>
      <c r="G340" s="15">
        <f t="shared" si="226"/>
        <v>0</v>
      </c>
      <c r="H340" s="73">
        <f t="shared" si="227"/>
        <v>0</v>
      </c>
      <c r="I340" s="189"/>
      <c r="J340" s="189"/>
      <c r="K340" s="5">
        <f t="shared" si="269"/>
        <v>187917.96535315312</v>
      </c>
      <c r="M340" s="5">
        <f t="shared" si="228"/>
        <v>914.70019849285586</v>
      </c>
      <c r="N340" s="5">
        <f t="shared" si="229"/>
        <v>-310.9462467578017</v>
      </c>
      <c r="O340" s="5">
        <f t="shared" si="230"/>
        <v>0</v>
      </c>
      <c r="P340" s="5">
        <f t="shared" si="231"/>
        <v>0</v>
      </c>
      <c r="Q340" s="5">
        <f t="shared" si="265"/>
        <v>0</v>
      </c>
      <c r="R340" s="5">
        <f t="shared" si="257"/>
        <v>0</v>
      </c>
      <c r="S340" s="5">
        <f t="shared" si="232"/>
        <v>0</v>
      </c>
      <c r="T340" s="5">
        <f t="shared" si="233"/>
        <v>0</v>
      </c>
      <c r="U340" s="74">
        <f t="shared" si="234"/>
        <v>0</v>
      </c>
      <c r="V340" s="75">
        <f t="shared" si="235"/>
        <v>0</v>
      </c>
      <c r="W340" s="5">
        <f t="shared" si="236"/>
        <v>0</v>
      </c>
      <c r="X340" s="5">
        <f t="shared" si="237"/>
        <v>188521.71930488816</v>
      </c>
      <c r="Y340" s="5">
        <f t="shared" si="258"/>
        <v>100000</v>
      </c>
      <c r="Z340" s="215">
        <f t="shared" si="238"/>
        <v>1</v>
      </c>
      <c r="AA340" s="216">
        <f t="shared" si="259"/>
        <v>0</v>
      </c>
      <c r="AB340" s="72">
        <f t="shared" si="266"/>
        <v>29840.358821905051</v>
      </c>
      <c r="AC340" s="72">
        <f t="shared" si="239"/>
        <v>0</v>
      </c>
      <c r="AD340" s="72">
        <f t="shared" si="240"/>
        <v>0</v>
      </c>
      <c r="AE340" s="72">
        <f t="shared" si="260"/>
        <v>-39.257469999626338</v>
      </c>
      <c r="AF340" s="70">
        <f t="shared" si="241"/>
        <v>0</v>
      </c>
      <c r="AG340" s="70">
        <f t="shared" si="242"/>
        <v>15137.230866276368</v>
      </c>
      <c r="AH340" s="1">
        <f t="shared" si="270"/>
        <v>0</v>
      </c>
      <c r="AI340" s="1">
        <f t="shared" si="270"/>
        <v>0</v>
      </c>
      <c r="AJ340" s="1">
        <f t="shared" si="270"/>
        <v>0</v>
      </c>
      <c r="AK340" s="1">
        <f t="shared" si="270"/>
        <v>0</v>
      </c>
      <c r="AL340" s="1">
        <f t="shared" si="270"/>
        <v>0</v>
      </c>
      <c r="AM340" s="1">
        <f t="shared" si="270"/>
        <v>0</v>
      </c>
      <c r="AN340" s="1">
        <f t="shared" si="270"/>
        <v>0</v>
      </c>
      <c r="AO340" s="1">
        <f t="shared" si="270"/>
        <v>0</v>
      </c>
      <c r="AP340" s="1">
        <f t="shared" si="270"/>
        <v>1</v>
      </c>
      <c r="AQ340" s="1">
        <f t="shared" si="270"/>
        <v>1</v>
      </c>
      <c r="AR340" s="1">
        <f t="shared" si="270"/>
        <v>1</v>
      </c>
      <c r="AS340" s="1">
        <f t="shared" si="270"/>
        <v>1</v>
      </c>
      <c r="AT340" s="39">
        <f t="shared" si="243"/>
        <v>188521.71930488816</v>
      </c>
      <c r="AU340" s="39">
        <f t="shared" si="261"/>
        <v>188521.71930488816</v>
      </c>
      <c r="AV340" s="39">
        <f t="shared" si="218"/>
        <v>0</v>
      </c>
      <c r="AW340" s="3">
        <f t="shared" si="244"/>
        <v>266</v>
      </c>
      <c r="AX340" s="69">
        <f t="shared" si="262"/>
        <v>0</v>
      </c>
      <c r="AY340" s="75">
        <f t="shared" si="245"/>
        <v>0</v>
      </c>
      <c r="AZ340" s="75">
        <f t="shared" si="246"/>
        <v>0</v>
      </c>
      <c r="BA340" s="75">
        <f t="shared" si="247"/>
        <v>0</v>
      </c>
      <c r="BB340" s="75">
        <f t="shared" si="248"/>
        <v>0</v>
      </c>
      <c r="BD340" s="214">
        <f t="shared" si="263"/>
        <v>231642.46082446055</v>
      </c>
      <c r="BE340" s="214">
        <f t="shared" si="249"/>
        <v>1127.5313911435578</v>
      </c>
      <c r="BF340" s="214">
        <f t="shared" si="250"/>
        <v>-383.29679468242784</v>
      </c>
      <c r="BG340" s="224">
        <f t="shared" si="267"/>
        <v>0</v>
      </c>
      <c r="BH340" s="19">
        <f t="shared" si="264"/>
        <v>358504.2443001878</v>
      </c>
      <c r="BI340" s="214">
        <f t="shared" si="251"/>
        <v>1745.0375370212614</v>
      </c>
      <c r="BJ340" s="214">
        <f t="shared" si="252"/>
        <v>0</v>
      </c>
      <c r="BK340" s="19">
        <f t="shared" si="268"/>
        <v>0</v>
      </c>
    </row>
    <row r="341" spans="1:63">
      <c r="A341" s="165">
        <f t="shared" si="253"/>
        <v>84.222792607802873</v>
      </c>
      <c r="B341" s="69">
        <f t="shared" si="254"/>
        <v>23</v>
      </c>
      <c r="C341" s="70">
        <f t="shared" si="255"/>
        <v>267</v>
      </c>
      <c r="D341" s="13">
        <f t="shared" si="224"/>
        <v>4.8675505653430484E-3</v>
      </c>
      <c r="E341" s="15">
        <f t="shared" si="225"/>
        <v>1</v>
      </c>
      <c r="F341" s="15">
        <f t="shared" si="256"/>
        <v>0</v>
      </c>
      <c r="G341" s="15">
        <f t="shared" si="226"/>
        <v>0</v>
      </c>
      <c r="H341" s="73">
        <f t="shared" si="227"/>
        <v>0</v>
      </c>
      <c r="I341" s="189"/>
      <c r="J341" s="189"/>
      <c r="K341" s="5">
        <f t="shared" si="269"/>
        <v>188521.71930488816</v>
      </c>
      <c r="M341" s="5">
        <f t="shared" si="228"/>
        <v>917.63900138195186</v>
      </c>
      <c r="N341" s="5">
        <f t="shared" si="229"/>
        <v>-311.94527324738925</v>
      </c>
      <c r="O341" s="5">
        <f t="shared" si="230"/>
        <v>0</v>
      </c>
      <c r="P341" s="5">
        <f t="shared" si="231"/>
        <v>0</v>
      </c>
      <c r="Q341" s="5">
        <f t="shared" si="265"/>
        <v>0</v>
      </c>
      <c r="R341" s="5">
        <f t="shared" si="257"/>
        <v>0</v>
      </c>
      <c r="S341" s="5">
        <f t="shared" si="232"/>
        <v>0</v>
      </c>
      <c r="T341" s="5">
        <f t="shared" si="233"/>
        <v>0</v>
      </c>
      <c r="U341" s="74">
        <f t="shared" si="234"/>
        <v>0</v>
      </c>
      <c r="V341" s="75">
        <f t="shared" si="235"/>
        <v>0</v>
      </c>
      <c r="W341" s="5">
        <f t="shared" si="236"/>
        <v>0</v>
      </c>
      <c r="X341" s="5">
        <f t="shared" si="237"/>
        <v>189127.41303302272</v>
      </c>
      <c r="Y341" s="5">
        <f t="shared" si="258"/>
        <v>100000</v>
      </c>
      <c r="Z341" s="215">
        <f t="shared" si="238"/>
        <v>1</v>
      </c>
      <c r="AA341" s="216">
        <f t="shared" si="259"/>
        <v>0</v>
      </c>
      <c r="AB341" s="72">
        <f t="shared" si="266"/>
        <v>29840.358821905051</v>
      </c>
      <c r="AC341" s="72">
        <f t="shared" si="239"/>
        <v>0</v>
      </c>
      <c r="AD341" s="72">
        <f t="shared" si="240"/>
        <v>0</v>
      </c>
      <c r="AE341" s="72">
        <f t="shared" si="260"/>
        <v>-39.383598720756602</v>
      </c>
      <c r="AF341" s="70">
        <f t="shared" si="241"/>
        <v>0</v>
      </c>
      <c r="AG341" s="70">
        <f t="shared" si="242"/>
        <v>15367.394482967502</v>
      </c>
      <c r="AH341" s="1">
        <f t="shared" si="270"/>
        <v>0</v>
      </c>
      <c r="AI341" s="1">
        <f t="shared" si="270"/>
        <v>0</v>
      </c>
      <c r="AJ341" s="1">
        <f t="shared" si="270"/>
        <v>0</v>
      </c>
      <c r="AK341" s="1">
        <f t="shared" si="270"/>
        <v>0</v>
      </c>
      <c r="AL341" s="1">
        <f t="shared" si="270"/>
        <v>0</v>
      </c>
      <c r="AM341" s="1">
        <f t="shared" si="270"/>
        <v>0</v>
      </c>
      <c r="AN341" s="1">
        <f t="shared" si="270"/>
        <v>0</v>
      </c>
      <c r="AO341" s="1">
        <f t="shared" si="270"/>
        <v>0</v>
      </c>
      <c r="AP341" s="1">
        <f t="shared" si="270"/>
        <v>1</v>
      </c>
      <c r="AQ341" s="1">
        <f t="shared" si="270"/>
        <v>1</v>
      </c>
      <c r="AR341" s="1">
        <f t="shared" si="270"/>
        <v>1</v>
      </c>
      <c r="AS341" s="1">
        <f t="shared" si="270"/>
        <v>1</v>
      </c>
      <c r="AT341" s="39">
        <f t="shared" si="243"/>
        <v>189127.41303302272</v>
      </c>
      <c r="AU341" s="39">
        <f t="shared" si="261"/>
        <v>189127.41303302272</v>
      </c>
      <c r="AV341" s="39">
        <f t="shared" si="218"/>
        <v>0</v>
      </c>
      <c r="AW341" s="3">
        <f t="shared" si="244"/>
        <v>267</v>
      </c>
      <c r="AX341" s="69">
        <f t="shared" si="262"/>
        <v>0</v>
      </c>
      <c r="AY341" s="75">
        <f t="shared" si="245"/>
        <v>0</v>
      </c>
      <c r="AZ341" s="75">
        <f t="shared" si="246"/>
        <v>0</v>
      </c>
      <c r="BA341" s="75">
        <f t="shared" si="247"/>
        <v>0</v>
      </c>
      <c r="BB341" s="75">
        <f t="shared" si="248"/>
        <v>0</v>
      </c>
      <c r="BD341" s="214">
        <f t="shared" si="263"/>
        <v>232386.69542092169</v>
      </c>
      <c r="BE341" s="214">
        <f t="shared" si="249"/>
        <v>1131.1539906743101</v>
      </c>
      <c r="BF341" s="214">
        <f t="shared" si="250"/>
        <v>-384.52827329088336</v>
      </c>
      <c r="BG341" s="224">
        <f t="shared" si="267"/>
        <v>0</v>
      </c>
      <c r="BH341" s="19">
        <f t="shared" si="264"/>
        <v>360249.28183720907</v>
      </c>
      <c r="BI341" s="214">
        <f t="shared" si="251"/>
        <v>1753.5315954711341</v>
      </c>
      <c r="BJ341" s="214">
        <f t="shared" si="252"/>
        <v>0</v>
      </c>
      <c r="BK341" s="19">
        <f t="shared" si="268"/>
        <v>0</v>
      </c>
    </row>
    <row r="342" spans="1:63">
      <c r="A342" s="165">
        <f t="shared" si="253"/>
        <v>84.306125941136202</v>
      </c>
      <c r="B342" s="69">
        <f t="shared" si="254"/>
        <v>23</v>
      </c>
      <c r="C342" s="70">
        <f t="shared" si="255"/>
        <v>268</v>
      </c>
      <c r="D342" s="13">
        <f t="shared" si="224"/>
        <v>4.8675505653430484E-3</v>
      </c>
      <c r="E342" s="15">
        <f t="shared" si="225"/>
        <v>1</v>
      </c>
      <c r="F342" s="15">
        <f t="shared" si="256"/>
        <v>0</v>
      </c>
      <c r="G342" s="15">
        <f t="shared" si="226"/>
        <v>0</v>
      </c>
      <c r="H342" s="73">
        <f t="shared" si="227"/>
        <v>0</v>
      </c>
      <c r="I342" s="189"/>
      <c r="J342" s="189"/>
      <c r="K342" s="5">
        <f t="shared" si="269"/>
        <v>189127.41303302272</v>
      </c>
      <c r="M342" s="5">
        <f t="shared" si="228"/>
        <v>920.58724623075796</v>
      </c>
      <c r="N342" s="5">
        <f t="shared" si="229"/>
        <v>-312.94750946836069</v>
      </c>
      <c r="O342" s="5">
        <f t="shared" si="230"/>
        <v>0</v>
      </c>
      <c r="P342" s="5">
        <f t="shared" si="231"/>
        <v>0</v>
      </c>
      <c r="Q342" s="5">
        <f t="shared" si="265"/>
        <v>0</v>
      </c>
      <c r="R342" s="5">
        <f t="shared" si="257"/>
        <v>0</v>
      </c>
      <c r="S342" s="5">
        <f t="shared" si="232"/>
        <v>0</v>
      </c>
      <c r="T342" s="5">
        <f t="shared" si="233"/>
        <v>0</v>
      </c>
      <c r="U342" s="74">
        <f t="shared" si="234"/>
        <v>0</v>
      </c>
      <c r="V342" s="75">
        <f t="shared" si="235"/>
        <v>0</v>
      </c>
      <c r="W342" s="5">
        <f t="shared" si="236"/>
        <v>0</v>
      </c>
      <c r="X342" s="5">
        <f t="shared" si="237"/>
        <v>189735.05276978511</v>
      </c>
      <c r="Y342" s="5">
        <f t="shared" si="258"/>
        <v>100000</v>
      </c>
      <c r="Z342" s="215">
        <f t="shared" si="238"/>
        <v>1</v>
      </c>
      <c r="AA342" s="216">
        <f t="shared" si="259"/>
        <v>0</v>
      </c>
      <c r="AB342" s="72">
        <f t="shared" si="266"/>
        <v>29840.358821905051</v>
      </c>
      <c r="AC342" s="72">
        <f t="shared" si="239"/>
        <v>0</v>
      </c>
      <c r="AD342" s="72">
        <f t="shared" si="240"/>
        <v>0</v>
      </c>
      <c r="AE342" s="72">
        <f t="shared" si="260"/>
        <v>-39.510132675700817</v>
      </c>
      <c r="AF342" s="70">
        <f t="shared" si="241"/>
        <v>0</v>
      </c>
      <c r="AG342" s="70">
        <f t="shared" si="242"/>
        <v>15598.297582937208</v>
      </c>
      <c r="AH342" s="1">
        <f t="shared" si="270"/>
        <v>0</v>
      </c>
      <c r="AI342" s="1">
        <f t="shared" si="270"/>
        <v>0</v>
      </c>
      <c r="AJ342" s="1">
        <f t="shared" si="270"/>
        <v>0</v>
      </c>
      <c r="AK342" s="1">
        <f t="shared" si="270"/>
        <v>0</v>
      </c>
      <c r="AL342" s="1">
        <f t="shared" si="270"/>
        <v>0</v>
      </c>
      <c r="AM342" s="1">
        <f t="shared" si="270"/>
        <v>0</v>
      </c>
      <c r="AN342" s="1">
        <f t="shared" si="270"/>
        <v>0</v>
      </c>
      <c r="AO342" s="1">
        <f t="shared" si="270"/>
        <v>0</v>
      </c>
      <c r="AP342" s="1">
        <f t="shared" si="270"/>
        <v>1</v>
      </c>
      <c r="AQ342" s="1">
        <f t="shared" si="270"/>
        <v>1</v>
      </c>
      <c r="AR342" s="1">
        <f t="shared" si="270"/>
        <v>1</v>
      </c>
      <c r="AS342" s="1">
        <f t="shared" si="270"/>
        <v>1</v>
      </c>
      <c r="AT342" s="39">
        <f t="shared" si="243"/>
        <v>189735.05276978511</v>
      </c>
      <c r="AU342" s="39">
        <f t="shared" si="261"/>
        <v>189735.05276978511</v>
      </c>
      <c r="AV342" s="39">
        <f t="shared" si="218"/>
        <v>0</v>
      </c>
      <c r="AW342" s="3">
        <f t="shared" si="244"/>
        <v>268</v>
      </c>
      <c r="AX342" s="69">
        <f t="shared" si="262"/>
        <v>0</v>
      </c>
      <c r="AY342" s="75">
        <f t="shared" si="245"/>
        <v>0</v>
      </c>
      <c r="AZ342" s="75">
        <f t="shared" si="246"/>
        <v>0</v>
      </c>
      <c r="BA342" s="75">
        <f t="shared" si="247"/>
        <v>0</v>
      </c>
      <c r="BB342" s="75">
        <f t="shared" si="248"/>
        <v>0</v>
      </c>
      <c r="BD342" s="214">
        <f t="shared" si="263"/>
        <v>233133.32113830509</v>
      </c>
      <c r="BE342" s="214">
        <f t="shared" si="249"/>
        <v>1134.7882291070594</v>
      </c>
      <c r="BF342" s="214">
        <f t="shared" si="250"/>
        <v>-385.76370846663639</v>
      </c>
      <c r="BG342" s="224">
        <f t="shared" si="267"/>
        <v>0</v>
      </c>
      <c r="BH342" s="19">
        <f t="shared" si="264"/>
        <v>362002.81343268021</v>
      </c>
      <c r="BI342" s="214">
        <f t="shared" si="251"/>
        <v>1762.0669991800166</v>
      </c>
      <c r="BJ342" s="214">
        <f t="shared" si="252"/>
        <v>0</v>
      </c>
      <c r="BK342" s="19">
        <f t="shared" si="268"/>
        <v>0</v>
      </c>
    </row>
    <row r="343" spans="1:63">
      <c r="A343" s="165">
        <f t="shared" si="253"/>
        <v>84.389459274469544</v>
      </c>
      <c r="B343" s="69">
        <f t="shared" si="254"/>
        <v>23</v>
      </c>
      <c r="C343" s="70">
        <f t="shared" si="255"/>
        <v>269</v>
      </c>
      <c r="D343" s="13">
        <f t="shared" si="224"/>
        <v>4.8675505653430484E-3</v>
      </c>
      <c r="E343" s="15">
        <f t="shared" si="225"/>
        <v>1</v>
      </c>
      <c r="F343" s="15">
        <f t="shared" si="256"/>
        <v>0</v>
      </c>
      <c r="G343" s="15">
        <f t="shared" si="226"/>
        <v>0</v>
      </c>
      <c r="H343" s="73">
        <f t="shared" si="227"/>
        <v>0</v>
      </c>
      <c r="I343" s="189"/>
      <c r="J343" s="189"/>
      <c r="K343" s="5">
        <f t="shared" si="269"/>
        <v>189735.05276978511</v>
      </c>
      <c r="M343" s="5">
        <f t="shared" si="228"/>
        <v>923.54496337496062</v>
      </c>
      <c r="N343" s="5">
        <f t="shared" si="229"/>
        <v>-313.95296573313072</v>
      </c>
      <c r="O343" s="5">
        <f t="shared" si="230"/>
        <v>0</v>
      </c>
      <c r="P343" s="5">
        <f t="shared" si="231"/>
        <v>0</v>
      </c>
      <c r="Q343" s="5">
        <f t="shared" si="265"/>
        <v>0</v>
      </c>
      <c r="R343" s="5">
        <f t="shared" si="257"/>
        <v>0</v>
      </c>
      <c r="S343" s="5">
        <f t="shared" si="232"/>
        <v>0</v>
      </c>
      <c r="T343" s="5">
        <f t="shared" si="233"/>
        <v>0</v>
      </c>
      <c r="U343" s="74">
        <f t="shared" si="234"/>
        <v>0</v>
      </c>
      <c r="V343" s="75">
        <f t="shared" si="235"/>
        <v>0</v>
      </c>
      <c r="W343" s="5">
        <f t="shared" si="236"/>
        <v>0</v>
      </c>
      <c r="X343" s="5">
        <f t="shared" si="237"/>
        <v>190344.64476742694</v>
      </c>
      <c r="Y343" s="5">
        <f t="shared" si="258"/>
        <v>100000</v>
      </c>
      <c r="Z343" s="215">
        <f t="shared" si="238"/>
        <v>1</v>
      </c>
      <c r="AA343" s="216">
        <f t="shared" si="259"/>
        <v>0</v>
      </c>
      <c r="AB343" s="72">
        <f t="shared" si="266"/>
        <v>29840.358821905051</v>
      </c>
      <c r="AC343" s="72">
        <f t="shared" si="239"/>
        <v>0</v>
      </c>
      <c r="AD343" s="72">
        <f t="shared" si="240"/>
        <v>0</v>
      </c>
      <c r="AE343" s="72">
        <f t="shared" si="260"/>
        <v>-39.637073166418141</v>
      </c>
      <c r="AF343" s="70">
        <f t="shared" si="241"/>
        <v>0</v>
      </c>
      <c r="AG343" s="70">
        <f t="shared" si="242"/>
        <v>15829.942542041106</v>
      </c>
      <c r="AH343" s="1">
        <f t="shared" si="270"/>
        <v>0</v>
      </c>
      <c r="AI343" s="1">
        <f t="shared" si="270"/>
        <v>0</v>
      </c>
      <c r="AJ343" s="1">
        <f t="shared" si="270"/>
        <v>0</v>
      </c>
      <c r="AK343" s="1">
        <f t="shared" si="270"/>
        <v>0</v>
      </c>
      <c r="AL343" s="1">
        <f t="shared" si="270"/>
        <v>0</v>
      </c>
      <c r="AM343" s="1">
        <f t="shared" si="270"/>
        <v>0</v>
      </c>
      <c r="AN343" s="1">
        <f t="shared" si="270"/>
        <v>0</v>
      </c>
      <c r="AO343" s="1">
        <f t="shared" si="270"/>
        <v>0</v>
      </c>
      <c r="AP343" s="1">
        <f t="shared" si="270"/>
        <v>1</v>
      </c>
      <c r="AQ343" s="1">
        <f t="shared" si="270"/>
        <v>1</v>
      </c>
      <c r="AR343" s="1">
        <f t="shared" si="270"/>
        <v>1</v>
      </c>
      <c r="AS343" s="1">
        <f t="shared" si="270"/>
        <v>1</v>
      </c>
      <c r="AT343" s="39">
        <f t="shared" si="243"/>
        <v>190344.64476742694</v>
      </c>
      <c r="AU343" s="39">
        <f t="shared" si="261"/>
        <v>190344.64476742694</v>
      </c>
      <c r="AV343" s="39">
        <f t="shared" ref="AV343:AV406" si="271">IF(W343=0,0,IF(W343&gt;W331,"Y","N"))</f>
        <v>0</v>
      </c>
      <c r="AW343" s="3">
        <f t="shared" si="244"/>
        <v>269</v>
      </c>
      <c r="AX343" s="69">
        <f t="shared" si="262"/>
        <v>0</v>
      </c>
      <c r="AY343" s="75">
        <f t="shared" si="245"/>
        <v>0</v>
      </c>
      <c r="AZ343" s="75">
        <f t="shared" si="246"/>
        <v>0</v>
      </c>
      <c r="BA343" s="75">
        <f t="shared" si="247"/>
        <v>0</v>
      </c>
      <c r="BB343" s="75">
        <f t="shared" si="248"/>
        <v>0</v>
      </c>
      <c r="BD343" s="214">
        <f t="shared" si="263"/>
        <v>233882.34565894553</v>
      </c>
      <c r="BE343" s="214">
        <f t="shared" si="249"/>
        <v>1138.4341438359586</v>
      </c>
      <c r="BF343" s="214">
        <f t="shared" si="250"/>
        <v>-387.0031129215804</v>
      </c>
      <c r="BG343" s="224">
        <f t="shared" si="267"/>
        <v>0</v>
      </c>
      <c r="BH343" s="19">
        <f t="shared" si="264"/>
        <v>363764.88043186022</v>
      </c>
      <c r="BI343" s="214">
        <f t="shared" si="251"/>
        <v>1770.6439493980477</v>
      </c>
      <c r="BJ343" s="214">
        <f t="shared" si="252"/>
        <v>0</v>
      </c>
      <c r="BK343" s="19">
        <f t="shared" si="268"/>
        <v>0</v>
      </c>
    </row>
    <row r="344" spans="1:63">
      <c r="A344" s="165">
        <f t="shared" si="253"/>
        <v>84.472792607802873</v>
      </c>
      <c r="B344" s="69">
        <f t="shared" si="254"/>
        <v>23</v>
      </c>
      <c r="C344" s="70">
        <f t="shared" si="255"/>
        <v>270</v>
      </c>
      <c r="D344" s="13">
        <f t="shared" si="224"/>
        <v>4.8675505653430484E-3</v>
      </c>
      <c r="E344" s="15">
        <f t="shared" si="225"/>
        <v>1</v>
      </c>
      <c r="F344" s="15">
        <f t="shared" si="256"/>
        <v>0</v>
      </c>
      <c r="G344" s="15">
        <f t="shared" si="226"/>
        <v>0</v>
      </c>
      <c r="H344" s="73">
        <f t="shared" si="227"/>
        <v>0</v>
      </c>
      <c r="I344" s="189"/>
      <c r="J344" s="189"/>
      <c r="K344" s="5">
        <f t="shared" si="269"/>
        <v>190344.64476742694</v>
      </c>
      <c r="M344" s="5">
        <f t="shared" si="228"/>
        <v>926.51218324771071</v>
      </c>
      <c r="N344" s="5">
        <f t="shared" si="229"/>
        <v>-314.96165238724649</v>
      </c>
      <c r="O344" s="5">
        <f t="shared" si="230"/>
        <v>0</v>
      </c>
      <c r="P344" s="5">
        <f t="shared" si="231"/>
        <v>0</v>
      </c>
      <c r="Q344" s="5">
        <f t="shared" si="265"/>
        <v>0</v>
      </c>
      <c r="R344" s="5">
        <f t="shared" si="257"/>
        <v>0</v>
      </c>
      <c r="S344" s="5">
        <f t="shared" si="232"/>
        <v>0</v>
      </c>
      <c r="T344" s="5">
        <f t="shared" si="233"/>
        <v>0</v>
      </c>
      <c r="U344" s="74">
        <f t="shared" si="234"/>
        <v>0</v>
      </c>
      <c r="V344" s="75">
        <f t="shared" si="235"/>
        <v>0</v>
      </c>
      <c r="W344" s="5">
        <f t="shared" si="236"/>
        <v>0</v>
      </c>
      <c r="X344" s="5">
        <f t="shared" si="237"/>
        <v>190956.19529828741</v>
      </c>
      <c r="Y344" s="5">
        <f t="shared" si="258"/>
        <v>100000</v>
      </c>
      <c r="Z344" s="215">
        <f t="shared" si="238"/>
        <v>1</v>
      </c>
      <c r="AA344" s="216">
        <f t="shared" si="259"/>
        <v>0</v>
      </c>
      <c r="AB344" s="72">
        <f t="shared" si="266"/>
        <v>29840.358821905051</v>
      </c>
      <c r="AC344" s="72">
        <f t="shared" si="239"/>
        <v>0</v>
      </c>
      <c r="AD344" s="72">
        <f t="shared" si="240"/>
        <v>0</v>
      </c>
      <c r="AE344" s="72">
        <f t="shared" si="260"/>
        <v>-39.764421499050755</v>
      </c>
      <c r="AF344" s="70">
        <f t="shared" si="241"/>
        <v>0</v>
      </c>
      <c r="AG344" s="70">
        <f t="shared" si="242"/>
        <v>16062.331743768082</v>
      </c>
      <c r="AH344" s="1">
        <f t="shared" si="270"/>
        <v>0</v>
      </c>
      <c r="AI344" s="1">
        <f t="shared" si="270"/>
        <v>0</v>
      </c>
      <c r="AJ344" s="1">
        <f t="shared" si="270"/>
        <v>0</v>
      </c>
      <c r="AK344" s="1">
        <f t="shared" si="270"/>
        <v>0</v>
      </c>
      <c r="AL344" s="1">
        <f t="shared" si="270"/>
        <v>0</v>
      </c>
      <c r="AM344" s="1">
        <f t="shared" si="270"/>
        <v>0</v>
      </c>
      <c r="AN344" s="1">
        <f t="shared" si="270"/>
        <v>0</v>
      </c>
      <c r="AO344" s="1">
        <f t="shared" si="270"/>
        <v>0</v>
      </c>
      <c r="AP344" s="1">
        <f t="shared" si="270"/>
        <v>1</v>
      </c>
      <c r="AQ344" s="1">
        <f t="shared" si="270"/>
        <v>1</v>
      </c>
      <c r="AR344" s="1">
        <f t="shared" si="270"/>
        <v>1</v>
      </c>
      <c r="AS344" s="1">
        <f t="shared" si="270"/>
        <v>1</v>
      </c>
      <c r="AT344" s="39">
        <f t="shared" si="243"/>
        <v>190956.19529828741</v>
      </c>
      <c r="AU344" s="39">
        <f t="shared" si="261"/>
        <v>190956.19529828741</v>
      </c>
      <c r="AV344" s="39">
        <f t="shared" si="271"/>
        <v>0</v>
      </c>
      <c r="AW344" s="3">
        <f t="shared" si="244"/>
        <v>270</v>
      </c>
      <c r="AX344" s="69">
        <f t="shared" si="262"/>
        <v>0</v>
      </c>
      <c r="AY344" s="75">
        <f t="shared" si="245"/>
        <v>0</v>
      </c>
      <c r="AZ344" s="75">
        <f t="shared" si="246"/>
        <v>0</v>
      </c>
      <c r="BA344" s="75">
        <f t="shared" si="247"/>
        <v>0</v>
      </c>
      <c r="BB344" s="75">
        <f t="shared" si="248"/>
        <v>0</v>
      </c>
      <c r="BD344" s="214">
        <f t="shared" si="263"/>
        <v>234633.77668985992</v>
      </c>
      <c r="BE344" s="214">
        <f t="shared" si="249"/>
        <v>1142.0917723753023</v>
      </c>
      <c r="BF344" s="214">
        <f t="shared" si="250"/>
        <v>-388.24649940845012</v>
      </c>
      <c r="BG344" s="224">
        <f t="shared" si="267"/>
        <v>0</v>
      </c>
      <c r="BH344" s="19">
        <f t="shared" si="264"/>
        <v>365535.52438125829</v>
      </c>
      <c r="BI344" s="214">
        <f t="shared" si="251"/>
        <v>1779.2626483549614</v>
      </c>
      <c r="BJ344" s="214">
        <f t="shared" si="252"/>
        <v>0</v>
      </c>
      <c r="BK344" s="19">
        <f t="shared" si="268"/>
        <v>0</v>
      </c>
    </row>
    <row r="345" spans="1:63">
      <c r="A345" s="165">
        <f t="shared" si="253"/>
        <v>84.556125941136202</v>
      </c>
      <c r="B345" s="69">
        <f t="shared" si="254"/>
        <v>23</v>
      </c>
      <c r="C345" s="70">
        <f t="shared" si="255"/>
        <v>271</v>
      </c>
      <c r="D345" s="13">
        <f t="shared" si="224"/>
        <v>4.8675505653430484E-3</v>
      </c>
      <c r="E345" s="15">
        <f t="shared" si="225"/>
        <v>1</v>
      </c>
      <c r="F345" s="15">
        <f t="shared" si="256"/>
        <v>0</v>
      </c>
      <c r="G345" s="15">
        <f t="shared" si="226"/>
        <v>0</v>
      </c>
      <c r="H345" s="73">
        <f t="shared" si="227"/>
        <v>0</v>
      </c>
      <c r="I345" s="189"/>
      <c r="J345" s="189"/>
      <c r="K345" s="5">
        <f t="shared" si="269"/>
        <v>190956.19529828741</v>
      </c>
      <c r="M345" s="5">
        <f t="shared" si="228"/>
        <v>929.48893637993638</v>
      </c>
      <c r="N345" s="5">
        <f t="shared" si="229"/>
        <v>-315.97357980949397</v>
      </c>
      <c r="O345" s="5">
        <f t="shared" si="230"/>
        <v>0</v>
      </c>
      <c r="P345" s="5">
        <f t="shared" si="231"/>
        <v>0</v>
      </c>
      <c r="Q345" s="5">
        <f t="shared" si="265"/>
        <v>0</v>
      </c>
      <c r="R345" s="5">
        <f t="shared" si="257"/>
        <v>0</v>
      </c>
      <c r="S345" s="5">
        <f t="shared" si="232"/>
        <v>0</v>
      </c>
      <c r="T345" s="5">
        <f t="shared" si="233"/>
        <v>0</v>
      </c>
      <c r="U345" s="74">
        <f t="shared" si="234"/>
        <v>0</v>
      </c>
      <c r="V345" s="75">
        <f t="shared" si="235"/>
        <v>0</v>
      </c>
      <c r="W345" s="5">
        <f t="shared" si="236"/>
        <v>0</v>
      </c>
      <c r="X345" s="5">
        <f t="shared" si="237"/>
        <v>191569.71065485783</v>
      </c>
      <c r="Y345" s="5">
        <f t="shared" si="258"/>
        <v>100000</v>
      </c>
      <c r="Z345" s="215">
        <f t="shared" si="238"/>
        <v>1</v>
      </c>
      <c r="AA345" s="216">
        <f t="shared" si="259"/>
        <v>0</v>
      </c>
      <c r="AB345" s="72">
        <f t="shared" si="266"/>
        <v>29840.358821905051</v>
      </c>
      <c r="AC345" s="72">
        <f t="shared" si="239"/>
        <v>0</v>
      </c>
      <c r="AD345" s="72">
        <f t="shared" si="240"/>
        <v>0</v>
      </c>
      <c r="AE345" s="72">
        <f t="shared" si="260"/>
        <v>-39.892178983937271</v>
      </c>
      <c r="AF345" s="70">
        <f t="shared" si="241"/>
        <v>0</v>
      </c>
      <c r="AG345" s="70">
        <f t="shared" si="242"/>
        <v>16295.467579264841</v>
      </c>
      <c r="AH345" s="1">
        <f t="shared" ref="AH345:AS354" si="272">IF($B345&lt;=AH$74,1,0)</f>
        <v>0</v>
      </c>
      <c r="AI345" s="1">
        <f t="shared" si="272"/>
        <v>0</v>
      </c>
      <c r="AJ345" s="1">
        <f t="shared" si="272"/>
        <v>0</v>
      </c>
      <c r="AK345" s="1">
        <f t="shared" si="272"/>
        <v>0</v>
      </c>
      <c r="AL345" s="1">
        <f t="shared" si="272"/>
        <v>0</v>
      </c>
      <c r="AM345" s="1">
        <f t="shared" si="272"/>
        <v>0</v>
      </c>
      <c r="AN345" s="1">
        <f t="shared" si="272"/>
        <v>0</v>
      </c>
      <c r="AO345" s="1">
        <f t="shared" si="272"/>
        <v>0</v>
      </c>
      <c r="AP345" s="1">
        <f t="shared" si="272"/>
        <v>1</v>
      </c>
      <c r="AQ345" s="1">
        <f t="shared" si="272"/>
        <v>1</v>
      </c>
      <c r="AR345" s="1">
        <f t="shared" si="272"/>
        <v>1</v>
      </c>
      <c r="AS345" s="1">
        <f t="shared" si="272"/>
        <v>1</v>
      </c>
      <c r="AT345" s="39">
        <f t="shared" si="243"/>
        <v>191569.71065485783</v>
      </c>
      <c r="AU345" s="39">
        <f t="shared" si="261"/>
        <v>191569.71065485783</v>
      </c>
      <c r="AV345" s="39">
        <f t="shared" si="271"/>
        <v>0</v>
      </c>
      <c r="AW345" s="3">
        <f t="shared" si="244"/>
        <v>271</v>
      </c>
      <c r="AX345" s="69">
        <f t="shared" si="262"/>
        <v>0</v>
      </c>
      <c r="AY345" s="75">
        <f t="shared" si="245"/>
        <v>0</v>
      </c>
      <c r="AZ345" s="75">
        <f t="shared" si="246"/>
        <v>0</v>
      </c>
      <c r="BA345" s="75">
        <f t="shared" si="247"/>
        <v>0</v>
      </c>
      <c r="BB345" s="75">
        <f t="shared" si="248"/>
        <v>0</v>
      </c>
      <c r="BD345" s="214">
        <f t="shared" si="263"/>
        <v>235387.62196282679</v>
      </c>
      <c r="BE345" s="214">
        <f t="shared" si="249"/>
        <v>1145.7611523599132</v>
      </c>
      <c r="BF345" s="214">
        <f t="shared" si="250"/>
        <v>-389.49388072095337</v>
      </c>
      <c r="BG345" s="224">
        <f t="shared" si="267"/>
        <v>0</v>
      </c>
      <c r="BH345" s="19">
        <f t="shared" si="264"/>
        <v>367314.78702961328</v>
      </c>
      <c r="BI345" s="214">
        <f t="shared" si="251"/>
        <v>1787.9232992648556</v>
      </c>
      <c r="BJ345" s="214">
        <f t="shared" si="252"/>
        <v>0</v>
      </c>
      <c r="BK345" s="19">
        <f t="shared" si="268"/>
        <v>0</v>
      </c>
    </row>
    <row r="346" spans="1:63">
      <c r="A346" s="165">
        <f t="shared" si="253"/>
        <v>84.639459274469544</v>
      </c>
      <c r="B346" s="69">
        <f t="shared" si="254"/>
        <v>23</v>
      </c>
      <c r="C346" s="70">
        <f t="shared" si="255"/>
        <v>272</v>
      </c>
      <c r="D346" s="13">
        <f t="shared" si="224"/>
        <v>4.8675505653430484E-3</v>
      </c>
      <c r="E346" s="15">
        <f t="shared" si="225"/>
        <v>1</v>
      </c>
      <c r="F346" s="15">
        <f t="shared" si="256"/>
        <v>0</v>
      </c>
      <c r="G346" s="15">
        <f t="shared" si="226"/>
        <v>0</v>
      </c>
      <c r="H346" s="73">
        <f t="shared" si="227"/>
        <v>0</v>
      </c>
      <c r="I346" s="189"/>
      <c r="J346" s="189"/>
      <c r="K346" s="5">
        <f t="shared" si="269"/>
        <v>191569.71065485783</v>
      </c>
      <c r="M346" s="5">
        <f t="shared" si="228"/>
        <v>932.47525340065749</v>
      </c>
      <c r="N346" s="5">
        <f t="shared" si="229"/>
        <v>-316.98875841200453</v>
      </c>
      <c r="O346" s="5">
        <f t="shared" si="230"/>
        <v>0</v>
      </c>
      <c r="P346" s="5">
        <f t="shared" si="231"/>
        <v>0</v>
      </c>
      <c r="Q346" s="5">
        <f t="shared" si="265"/>
        <v>0</v>
      </c>
      <c r="R346" s="5">
        <f t="shared" si="257"/>
        <v>0</v>
      </c>
      <c r="S346" s="5">
        <f t="shared" si="232"/>
        <v>0</v>
      </c>
      <c r="T346" s="5">
        <f t="shared" si="233"/>
        <v>0</v>
      </c>
      <c r="U346" s="74">
        <f t="shared" si="234"/>
        <v>0</v>
      </c>
      <c r="V346" s="75">
        <f t="shared" si="235"/>
        <v>0</v>
      </c>
      <c r="W346" s="5">
        <f t="shared" si="236"/>
        <v>0</v>
      </c>
      <c r="X346" s="5">
        <f t="shared" si="237"/>
        <v>192185.19714984647</v>
      </c>
      <c r="Y346" s="5">
        <f t="shared" si="258"/>
        <v>100000</v>
      </c>
      <c r="Z346" s="215">
        <f t="shared" si="238"/>
        <v>1</v>
      </c>
      <c r="AA346" s="216">
        <f t="shared" si="259"/>
        <v>0</v>
      </c>
      <c r="AB346" s="72">
        <f t="shared" si="266"/>
        <v>29840.358821905051</v>
      </c>
      <c r="AC346" s="72">
        <f t="shared" si="239"/>
        <v>0</v>
      </c>
      <c r="AD346" s="72">
        <f t="shared" si="240"/>
        <v>0</v>
      </c>
      <c r="AE346" s="72">
        <f t="shared" si="260"/>
        <v>-40.020346935626243</v>
      </c>
      <c r="AF346" s="70">
        <f t="shared" si="241"/>
        <v>0</v>
      </c>
      <c r="AG346" s="70">
        <f t="shared" si="242"/>
        <v>16529.352447360528</v>
      </c>
      <c r="AH346" s="1">
        <f t="shared" si="272"/>
        <v>0</v>
      </c>
      <c r="AI346" s="1">
        <f t="shared" si="272"/>
        <v>0</v>
      </c>
      <c r="AJ346" s="1">
        <f t="shared" si="272"/>
        <v>0</v>
      </c>
      <c r="AK346" s="1">
        <f t="shared" si="272"/>
        <v>0</v>
      </c>
      <c r="AL346" s="1">
        <f t="shared" si="272"/>
        <v>0</v>
      </c>
      <c r="AM346" s="1">
        <f t="shared" si="272"/>
        <v>0</v>
      </c>
      <c r="AN346" s="1">
        <f t="shared" si="272"/>
        <v>0</v>
      </c>
      <c r="AO346" s="1">
        <f t="shared" si="272"/>
        <v>0</v>
      </c>
      <c r="AP346" s="1">
        <f t="shared" si="272"/>
        <v>1</v>
      </c>
      <c r="AQ346" s="1">
        <f t="shared" si="272"/>
        <v>1</v>
      </c>
      <c r="AR346" s="1">
        <f t="shared" si="272"/>
        <v>1</v>
      </c>
      <c r="AS346" s="1">
        <f t="shared" si="272"/>
        <v>1</v>
      </c>
      <c r="AT346" s="39">
        <f t="shared" si="243"/>
        <v>192185.19714984647</v>
      </c>
      <c r="AU346" s="39">
        <f t="shared" si="261"/>
        <v>192185.19714984647</v>
      </c>
      <c r="AV346" s="39">
        <f t="shared" si="271"/>
        <v>0</v>
      </c>
      <c r="AW346" s="3">
        <f t="shared" si="244"/>
        <v>272</v>
      </c>
      <c r="AX346" s="69">
        <f t="shared" si="262"/>
        <v>0</v>
      </c>
      <c r="AY346" s="75">
        <f t="shared" si="245"/>
        <v>0</v>
      </c>
      <c r="AZ346" s="75">
        <f t="shared" si="246"/>
        <v>0</v>
      </c>
      <c r="BA346" s="75">
        <f t="shared" si="247"/>
        <v>0</v>
      </c>
      <c r="BB346" s="75">
        <f t="shared" si="248"/>
        <v>0</v>
      </c>
      <c r="BD346" s="214">
        <f t="shared" si="263"/>
        <v>236143.88923446575</v>
      </c>
      <c r="BE346" s="214">
        <f t="shared" si="249"/>
        <v>1149.4423215455299</v>
      </c>
      <c r="BF346" s="214">
        <f t="shared" si="250"/>
        <v>-390.74526969390212</v>
      </c>
      <c r="BG346" s="224">
        <f t="shared" si="267"/>
        <v>0</v>
      </c>
      <c r="BH346" s="19">
        <f t="shared" si="264"/>
        <v>369102.71032887814</v>
      </c>
      <c r="BI346" s="214">
        <f t="shared" si="251"/>
        <v>1796.6261063309821</v>
      </c>
      <c r="BJ346" s="214">
        <f t="shared" si="252"/>
        <v>0</v>
      </c>
      <c r="BK346" s="19">
        <f t="shared" si="268"/>
        <v>0</v>
      </c>
    </row>
    <row r="347" spans="1:63">
      <c r="A347" s="165">
        <f t="shared" si="253"/>
        <v>84.722792607802873</v>
      </c>
      <c r="B347" s="69">
        <f t="shared" si="254"/>
        <v>23</v>
      </c>
      <c r="C347" s="70">
        <f t="shared" si="255"/>
        <v>273</v>
      </c>
      <c r="D347" s="13">
        <f t="shared" si="224"/>
        <v>4.8675505653430484E-3</v>
      </c>
      <c r="E347" s="15">
        <f t="shared" si="225"/>
        <v>1</v>
      </c>
      <c r="F347" s="15">
        <f t="shared" si="256"/>
        <v>0</v>
      </c>
      <c r="G347" s="15">
        <f t="shared" si="226"/>
        <v>0</v>
      </c>
      <c r="H347" s="73">
        <f t="shared" si="227"/>
        <v>0</v>
      </c>
      <c r="I347" s="189"/>
      <c r="J347" s="189"/>
      <c r="K347" s="5">
        <f t="shared" si="269"/>
        <v>192185.19714984647</v>
      </c>
      <c r="M347" s="5">
        <f t="shared" si="228"/>
        <v>935.47116503730035</v>
      </c>
      <c r="N347" s="5">
        <f t="shared" si="229"/>
        <v>-318.0071986403625</v>
      </c>
      <c r="O347" s="5">
        <f t="shared" si="230"/>
        <v>0</v>
      </c>
      <c r="P347" s="5">
        <f t="shared" si="231"/>
        <v>0</v>
      </c>
      <c r="Q347" s="5">
        <f t="shared" si="265"/>
        <v>0</v>
      </c>
      <c r="R347" s="5">
        <f t="shared" si="257"/>
        <v>0</v>
      </c>
      <c r="S347" s="5">
        <f t="shared" si="232"/>
        <v>0</v>
      </c>
      <c r="T347" s="5">
        <f t="shared" si="233"/>
        <v>0</v>
      </c>
      <c r="U347" s="74">
        <f t="shared" si="234"/>
        <v>0</v>
      </c>
      <c r="V347" s="75">
        <f t="shared" si="235"/>
        <v>0</v>
      </c>
      <c r="W347" s="5">
        <f t="shared" si="236"/>
        <v>0</v>
      </c>
      <c r="X347" s="5">
        <f t="shared" si="237"/>
        <v>192802.66111624343</v>
      </c>
      <c r="Y347" s="5">
        <f t="shared" si="258"/>
        <v>100000</v>
      </c>
      <c r="Z347" s="215">
        <f t="shared" si="238"/>
        <v>1</v>
      </c>
      <c r="AA347" s="216">
        <f t="shared" si="259"/>
        <v>0</v>
      </c>
      <c r="AB347" s="72">
        <f t="shared" si="266"/>
        <v>29840.358821905051</v>
      </c>
      <c r="AC347" s="72">
        <f t="shared" si="239"/>
        <v>0</v>
      </c>
      <c r="AD347" s="72">
        <f t="shared" si="240"/>
        <v>0</v>
      </c>
      <c r="AE347" s="72">
        <f t="shared" si="260"/>
        <v>-40.148926672889701</v>
      </c>
      <c r="AF347" s="70">
        <f t="shared" si="241"/>
        <v>0</v>
      </c>
      <c r="AG347" s="70">
        <f t="shared" si="242"/>
        <v>16763.988754591366</v>
      </c>
      <c r="AH347" s="1">
        <f t="shared" si="272"/>
        <v>0</v>
      </c>
      <c r="AI347" s="1">
        <f t="shared" si="272"/>
        <v>0</v>
      </c>
      <c r="AJ347" s="1">
        <f t="shared" si="272"/>
        <v>0</v>
      </c>
      <c r="AK347" s="1">
        <f t="shared" si="272"/>
        <v>0</v>
      </c>
      <c r="AL347" s="1">
        <f t="shared" si="272"/>
        <v>0</v>
      </c>
      <c r="AM347" s="1">
        <f t="shared" si="272"/>
        <v>0</v>
      </c>
      <c r="AN347" s="1">
        <f t="shared" si="272"/>
        <v>0</v>
      </c>
      <c r="AO347" s="1">
        <f t="shared" si="272"/>
        <v>0</v>
      </c>
      <c r="AP347" s="1">
        <f t="shared" si="272"/>
        <v>1</v>
      </c>
      <c r="AQ347" s="1">
        <f t="shared" si="272"/>
        <v>1</v>
      </c>
      <c r="AR347" s="1">
        <f t="shared" si="272"/>
        <v>1</v>
      </c>
      <c r="AS347" s="1">
        <f t="shared" si="272"/>
        <v>1</v>
      </c>
      <c r="AT347" s="39">
        <f t="shared" si="243"/>
        <v>192802.66111624343</v>
      </c>
      <c r="AU347" s="39">
        <f t="shared" si="261"/>
        <v>192802.66111624343</v>
      </c>
      <c r="AV347" s="39">
        <f t="shared" si="271"/>
        <v>0</v>
      </c>
      <c r="AW347" s="3">
        <f t="shared" si="244"/>
        <v>273</v>
      </c>
      <c r="AX347" s="69">
        <f t="shared" si="262"/>
        <v>0</v>
      </c>
      <c r="AY347" s="75">
        <f t="shared" si="245"/>
        <v>0</v>
      </c>
      <c r="AZ347" s="75">
        <f t="shared" si="246"/>
        <v>0</v>
      </c>
      <c r="BA347" s="75">
        <f t="shared" si="247"/>
        <v>0</v>
      </c>
      <c r="BB347" s="75">
        <f t="shared" si="248"/>
        <v>0</v>
      </c>
      <c r="BD347" s="214">
        <f t="shared" si="263"/>
        <v>236902.58628631738</v>
      </c>
      <c r="BE347" s="214">
        <f t="shared" si="249"/>
        <v>1153.1353178091945</v>
      </c>
      <c r="BF347" s="214">
        <f t="shared" si="250"/>
        <v>-392.00067920334482</v>
      </c>
      <c r="BG347" s="224">
        <f t="shared" si="267"/>
        <v>0</v>
      </c>
      <c r="BH347" s="19">
        <f t="shared" si="264"/>
        <v>370899.33643520914</v>
      </c>
      <c r="BI347" s="214">
        <f t="shared" si="251"/>
        <v>1805.3712747505638</v>
      </c>
      <c r="BJ347" s="214">
        <f t="shared" si="252"/>
        <v>0</v>
      </c>
      <c r="BK347" s="19">
        <f t="shared" si="268"/>
        <v>0</v>
      </c>
    </row>
    <row r="348" spans="1:63">
      <c r="A348" s="165">
        <f t="shared" si="253"/>
        <v>84.806125941136202</v>
      </c>
      <c r="B348" s="69">
        <f t="shared" si="254"/>
        <v>23</v>
      </c>
      <c r="C348" s="70">
        <f t="shared" si="255"/>
        <v>274</v>
      </c>
      <c r="D348" s="13">
        <f t="shared" si="224"/>
        <v>4.8675505653430484E-3</v>
      </c>
      <c r="E348" s="15">
        <f t="shared" si="225"/>
        <v>1</v>
      </c>
      <c r="F348" s="15">
        <f t="shared" si="256"/>
        <v>0</v>
      </c>
      <c r="G348" s="15">
        <f t="shared" si="226"/>
        <v>0</v>
      </c>
      <c r="H348" s="73">
        <f t="shared" si="227"/>
        <v>0</v>
      </c>
      <c r="I348" s="189"/>
      <c r="J348" s="189"/>
      <c r="K348" s="5">
        <f t="shared" si="269"/>
        <v>192802.66111624343</v>
      </c>
      <c r="M348" s="5">
        <f t="shared" si="228"/>
        <v>938.47670211601485</v>
      </c>
      <c r="N348" s="5">
        <f t="shared" si="229"/>
        <v>-319.0289109737123</v>
      </c>
      <c r="O348" s="5">
        <f t="shared" si="230"/>
        <v>0</v>
      </c>
      <c r="P348" s="5">
        <f t="shared" si="231"/>
        <v>0</v>
      </c>
      <c r="Q348" s="5">
        <f t="shared" si="265"/>
        <v>0</v>
      </c>
      <c r="R348" s="5">
        <f t="shared" si="257"/>
        <v>0</v>
      </c>
      <c r="S348" s="5">
        <f t="shared" si="232"/>
        <v>0</v>
      </c>
      <c r="T348" s="5">
        <f t="shared" si="233"/>
        <v>0</v>
      </c>
      <c r="U348" s="74">
        <f t="shared" si="234"/>
        <v>0</v>
      </c>
      <c r="V348" s="75">
        <f t="shared" si="235"/>
        <v>0</v>
      </c>
      <c r="W348" s="5">
        <f t="shared" si="236"/>
        <v>0</v>
      </c>
      <c r="X348" s="5">
        <f t="shared" si="237"/>
        <v>193422.10890738573</v>
      </c>
      <c r="Y348" s="5">
        <f t="shared" si="258"/>
        <v>100000</v>
      </c>
      <c r="Z348" s="215">
        <f t="shared" si="238"/>
        <v>1</v>
      </c>
      <c r="AA348" s="216">
        <f t="shared" si="259"/>
        <v>0</v>
      </c>
      <c r="AB348" s="72">
        <f t="shared" si="266"/>
        <v>29840.358821905051</v>
      </c>
      <c r="AC348" s="72">
        <f t="shared" si="239"/>
        <v>0</v>
      </c>
      <c r="AD348" s="72">
        <f t="shared" si="240"/>
        <v>0</v>
      </c>
      <c r="AE348" s="72">
        <f t="shared" si="260"/>
        <v>-40.277919518736688</v>
      </c>
      <c r="AF348" s="70">
        <f t="shared" si="241"/>
        <v>0</v>
      </c>
      <c r="AG348" s="70">
        <f t="shared" si="242"/>
        <v>16999.378915225447</v>
      </c>
      <c r="AH348" s="1">
        <f t="shared" si="272"/>
        <v>0</v>
      </c>
      <c r="AI348" s="1">
        <f t="shared" si="272"/>
        <v>0</v>
      </c>
      <c r="AJ348" s="1">
        <f t="shared" si="272"/>
        <v>0</v>
      </c>
      <c r="AK348" s="1">
        <f t="shared" si="272"/>
        <v>0</v>
      </c>
      <c r="AL348" s="1">
        <f t="shared" si="272"/>
        <v>0</v>
      </c>
      <c r="AM348" s="1">
        <f t="shared" si="272"/>
        <v>0</v>
      </c>
      <c r="AN348" s="1">
        <f t="shared" si="272"/>
        <v>0</v>
      </c>
      <c r="AO348" s="1">
        <f t="shared" si="272"/>
        <v>0</v>
      </c>
      <c r="AP348" s="1">
        <f t="shared" si="272"/>
        <v>1</v>
      </c>
      <c r="AQ348" s="1">
        <f t="shared" si="272"/>
        <v>1</v>
      </c>
      <c r="AR348" s="1">
        <f t="shared" si="272"/>
        <v>1</v>
      </c>
      <c r="AS348" s="1">
        <f t="shared" si="272"/>
        <v>1</v>
      </c>
      <c r="AT348" s="39">
        <f t="shared" si="243"/>
        <v>193422.10890738573</v>
      </c>
      <c r="AU348" s="39">
        <f t="shared" si="261"/>
        <v>193422.10890738573</v>
      </c>
      <c r="AV348" s="39">
        <f t="shared" si="271"/>
        <v>0</v>
      </c>
      <c r="AW348" s="3">
        <f t="shared" si="244"/>
        <v>274</v>
      </c>
      <c r="AX348" s="69">
        <f t="shared" si="262"/>
        <v>0</v>
      </c>
      <c r="AY348" s="75">
        <f t="shared" si="245"/>
        <v>0</v>
      </c>
      <c r="AZ348" s="75">
        <f t="shared" si="246"/>
        <v>0</v>
      </c>
      <c r="BA348" s="75">
        <f t="shared" si="247"/>
        <v>0</v>
      </c>
      <c r="BB348" s="75">
        <f t="shared" si="248"/>
        <v>0</v>
      </c>
      <c r="BD348" s="214">
        <f t="shared" si="263"/>
        <v>237663.72092492323</v>
      </c>
      <c r="BE348" s="214">
        <f t="shared" si="249"/>
        <v>1156.8401791496426</v>
      </c>
      <c r="BF348" s="214">
        <f t="shared" si="250"/>
        <v>-393.26012216669892</v>
      </c>
      <c r="BG348" s="224">
        <f t="shared" si="267"/>
        <v>0</v>
      </c>
      <c r="BH348" s="19">
        <f t="shared" si="264"/>
        <v>372704.70770995971</v>
      </c>
      <c r="BI348" s="214">
        <f t="shared" si="251"/>
        <v>1814.15901071963</v>
      </c>
      <c r="BJ348" s="214">
        <f t="shared" si="252"/>
        <v>0</v>
      </c>
      <c r="BK348" s="19">
        <f t="shared" si="268"/>
        <v>0</v>
      </c>
    </row>
    <row r="349" spans="1:63">
      <c r="A349" s="165">
        <f t="shared" si="253"/>
        <v>84.889459274469544</v>
      </c>
      <c r="B349" s="69">
        <f t="shared" si="254"/>
        <v>23</v>
      </c>
      <c r="C349" s="70">
        <f t="shared" si="255"/>
        <v>275</v>
      </c>
      <c r="D349" s="13">
        <f t="shared" si="224"/>
        <v>4.8675505653430484E-3</v>
      </c>
      <c r="E349" s="15">
        <f t="shared" si="225"/>
        <v>1</v>
      </c>
      <c r="F349" s="15">
        <f t="shared" si="256"/>
        <v>0</v>
      </c>
      <c r="G349" s="15">
        <f t="shared" si="226"/>
        <v>0</v>
      </c>
      <c r="H349" s="73">
        <f t="shared" si="227"/>
        <v>0</v>
      </c>
      <c r="I349" s="189"/>
      <c r="J349" s="189"/>
      <c r="K349" s="5">
        <f t="shared" si="269"/>
        <v>193422.10890738573</v>
      </c>
      <c r="M349" s="5">
        <f t="shared" si="228"/>
        <v>941.49189556199008</v>
      </c>
      <c r="N349" s="5">
        <f t="shared" si="229"/>
        <v>-320.05390592486629</v>
      </c>
      <c r="O349" s="5">
        <f t="shared" si="230"/>
        <v>0</v>
      </c>
      <c r="P349" s="5">
        <f t="shared" si="231"/>
        <v>0</v>
      </c>
      <c r="Q349" s="5">
        <f t="shared" si="265"/>
        <v>0</v>
      </c>
      <c r="R349" s="5">
        <f t="shared" si="257"/>
        <v>0</v>
      </c>
      <c r="S349" s="5">
        <f t="shared" si="232"/>
        <v>0</v>
      </c>
      <c r="T349" s="5">
        <f t="shared" si="233"/>
        <v>0</v>
      </c>
      <c r="U349" s="74">
        <f t="shared" si="234"/>
        <v>0</v>
      </c>
      <c r="V349" s="75">
        <f t="shared" si="235"/>
        <v>0</v>
      </c>
      <c r="W349" s="5">
        <f t="shared" si="236"/>
        <v>0</v>
      </c>
      <c r="X349" s="5">
        <f t="shared" si="237"/>
        <v>194043.54689702284</v>
      </c>
      <c r="Y349" s="5">
        <f t="shared" si="258"/>
        <v>100000</v>
      </c>
      <c r="Z349" s="215">
        <f t="shared" si="238"/>
        <v>1</v>
      </c>
      <c r="AA349" s="216">
        <f t="shared" si="259"/>
        <v>0</v>
      </c>
      <c r="AB349" s="72">
        <f t="shared" si="266"/>
        <v>29840.358821905051</v>
      </c>
      <c r="AC349" s="72">
        <f t="shared" si="239"/>
        <v>0</v>
      </c>
      <c r="AD349" s="72">
        <f t="shared" si="240"/>
        <v>0</v>
      </c>
      <c r="AE349" s="72">
        <f t="shared" si="260"/>
        <v>-40.40732680042688</v>
      </c>
      <c r="AF349" s="70">
        <f t="shared" si="241"/>
        <v>0</v>
      </c>
      <c r="AG349" s="70">
        <f t="shared" si="242"/>
        <v>17235.525351287542</v>
      </c>
      <c r="AH349" s="1">
        <f t="shared" si="272"/>
        <v>0</v>
      </c>
      <c r="AI349" s="1">
        <f t="shared" si="272"/>
        <v>0</v>
      </c>
      <c r="AJ349" s="1">
        <f t="shared" si="272"/>
        <v>0</v>
      </c>
      <c r="AK349" s="1">
        <f t="shared" si="272"/>
        <v>0</v>
      </c>
      <c r="AL349" s="1">
        <f t="shared" si="272"/>
        <v>0</v>
      </c>
      <c r="AM349" s="1">
        <f t="shared" si="272"/>
        <v>0</v>
      </c>
      <c r="AN349" s="1">
        <f t="shared" si="272"/>
        <v>0</v>
      </c>
      <c r="AO349" s="1">
        <f t="shared" si="272"/>
        <v>0</v>
      </c>
      <c r="AP349" s="1">
        <f t="shared" si="272"/>
        <v>1</v>
      </c>
      <c r="AQ349" s="1">
        <f t="shared" si="272"/>
        <v>1</v>
      </c>
      <c r="AR349" s="1">
        <f t="shared" si="272"/>
        <v>1</v>
      </c>
      <c r="AS349" s="1">
        <f t="shared" si="272"/>
        <v>1</v>
      </c>
      <c r="AT349" s="39">
        <f t="shared" si="243"/>
        <v>194043.54689702284</v>
      </c>
      <c r="AU349" s="39">
        <f t="shared" si="261"/>
        <v>194043.54689702284</v>
      </c>
      <c r="AV349" s="39">
        <f t="shared" si="271"/>
        <v>0</v>
      </c>
      <c r="AW349" s="3">
        <f t="shared" si="244"/>
        <v>275</v>
      </c>
      <c r="AX349" s="69">
        <f t="shared" si="262"/>
        <v>0</v>
      </c>
      <c r="AY349" s="75">
        <f t="shared" si="245"/>
        <v>0</v>
      </c>
      <c r="AZ349" s="75">
        <f t="shared" si="246"/>
        <v>0</v>
      </c>
      <c r="BA349" s="75">
        <f t="shared" si="247"/>
        <v>0</v>
      </c>
      <c r="BB349" s="75">
        <f t="shared" si="248"/>
        <v>0</v>
      </c>
      <c r="BD349" s="214">
        <f t="shared" si="263"/>
        <v>238427.30098190618</v>
      </c>
      <c r="BE349" s="214">
        <f t="shared" si="249"/>
        <v>1160.5569436876947</v>
      </c>
      <c r="BF349" s="214">
        <f t="shared" si="250"/>
        <v>-394.52361154288366</v>
      </c>
      <c r="BG349" s="224">
        <f t="shared" si="267"/>
        <v>0</v>
      </c>
      <c r="BH349" s="19">
        <f t="shared" si="264"/>
        <v>374518.86672067933</v>
      </c>
      <c r="BI349" s="214">
        <f t="shared" si="251"/>
        <v>1822.9895214378805</v>
      </c>
      <c r="BJ349" s="214">
        <f t="shared" si="252"/>
        <v>0</v>
      </c>
      <c r="BK349" s="19">
        <f t="shared" si="268"/>
        <v>0</v>
      </c>
    </row>
    <row r="350" spans="1:63">
      <c r="A350" s="165">
        <f t="shared" si="253"/>
        <v>84.972792607802873</v>
      </c>
      <c r="B350" s="69">
        <f t="shared" si="254"/>
        <v>23</v>
      </c>
      <c r="C350" s="70">
        <f t="shared" si="255"/>
        <v>276</v>
      </c>
      <c r="D350" s="13">
        <f t="shared" si="224"/>
        <v>4.8675505653430484E-3</v>
      </c>
      <c r="E350" s="15">
        <f t="shared" si="225"/>
        <v>1</v>
      </c>
      <c r="F350" s="15">
        <f t="shared" si="256"/>
        <v>0</v>
      </c>
      <c r="G350" s="15">
        <f t="shared" si="226"/>
        <v>0</v>
      </c>
      <c r="H350" s="73">
        <f t="shared" si="227"/>
        <v>0</v>
      </c>
      <c r="I350" s="189"/>
      <c r="J350" s="189"/>
      <c r="K350" s="5">
        <f t="shared" si="269"/>
        <v>194043.54689702284</v>
      </c>
      <c r="M350" s="5">
        <f t="shared" si="228"/>
        <v>944.5167763997739</v>
      </c>
      <c r="N350" s="5">
        <f t="shared" si="229"/>
        <v>-321.08219404041301</v>
      </c>
      <c r="O350" s="5">
        <f t="shared" si="230"/>
        <v>0</v>
      </c>
      <c r="P350" s="5">
        <f t="shared" si="231"/>
        <v>0</v>
      </c>
      <c r="Q350" s="5">
        <f t="shared" si="265"/>
        <v>0</v>
      </c>
      <c r="R350" s="5">
        <f t="shared" si="257"/>
        <v>0</v>
      </c>
      <c r="S350" s="5">
        <f t="shared" si="232"/>
        <v>0</v>
      </c>
      <c r="T350" s="5">
        <f t="shared" si="233"/>
        <v>0</v>
      </c>
      <c r="U350" s="74">
        <f t="shared" si="234"/>
        <v>0</v>
      </c>
      <c r="V350" s="75">
        <f t="shared" si="235"/>
        <v>0</v>
      </c>
      <c r="W350" s="5">
        <f t="shared" si="236"/>
        <v>0</v>
      </c>
      <c r="X350" s="5">
        <f t="shared" si="237"/>
        <v>194666.9814793822</v>
      </c>
      <c r="Y350" s="5">
        <f t="shared" si="258"/>
        <v>100000</v>
      </c>
      <c r="Z350" s="215">
        <f t="shared" si="238"/>
        <v>1</v>
      </c>
      <c r="AA350" s="216">
        <f t="shared" si="259"/>
        <v>0</v>
      </c>
      <c r="AB350" s="72">
        <f t="shared" si="266"/>
        <v>29840.358821905051</v>
      </c>
      <c r="AC350" s="72">
        <f t="shared" si="239"/>
        <v>0</v>
      </c>
      <c r="AD350" s="72">
        <f t="shared" si="240"/>
        <v>0</v>
      </c>
      <c r="AE350" s="72">
        <f t="shared" si="260"/>
        <v>-40.537149849484265</v>
      </c>
      <c r="AF350" s="70">
        <f t="shared" si="241"/>
        <v>0</v>
      </c>
      <c r="AG350" s="70">
        <f t="shared" si="242"/>
        <v>17472.430492584106</v>
      </c>
      <c r="AH350" s="1">
        <f t="shared" si="272"/>
        <v>0</v>
      </c>
      <c r="AI350" s="1">
        <f t="shared" si="272"/>
        <v>0</v>
      </c>
      <c r="AJ350" s="1">
        <f t="shared" si="272"/>
        <v>0</v>
      </c>
      <c r="AK350" s="1">
        <f t="shared" si="272"/>
        <v>0</v>
      </c>
      <c r="AL350" s="1">
        <f t="shared" si="272"/>
        <v>0</v>
      </c>
      <c r="AM350" s="1">
        <f t="shared" si="272"/>
        <v>0</v>
      </c>
      <c r="AN350" s="1">
        <f t="shared" si="272"/>
        <v>0</v>
      </c>
      <c r="AO350" s="1">
        <f t="shared" si="272"/>
        <v>0</v>
      </c>
      <c r="AP350" s="1">
        <f t="shared" si="272"/>
        <v>1</v>
      </c>
      <c r="AQ350" s="1">
        <f t="shared" si="272"/>
        <v>1</v>
      </c>
      <c r="AR350" s="1">
        <f t="shared" si="272"/>
        <v>1</v>
      </c>
      <c r="AS350" s="1">
        <f t="shared" si="272"/>
        <v>1</v>
      </c>
      <c r="AT350" s="39">
        <f t="shared" si="243"/>
        <v>194666.9814793822</v>
      </c>
      <c r="AU350" s="39">
        <f t="shared" si="261"/>
        <v>194666.9814793822</v>
      </c>
      <c r="AV350" s="39">
        <f t="shared" si="271"/>
        <v>0</v>
      </c>
      <c r="AW350" s="3">
        <f t="shared" si="244"/>
        <v>276</v>
      </c>
      <c r="AX350" s="69">
        <f t="shared" si="262"/>
        <v>0</v>
      </c>
      <c r="AY350" s="75">
        <f t="shared" si="245"/>
        <v>0</v>
      </c>
      <c r="AZ350" s="75">
        <f t="shared" si="246"/>
        <v>0</v>
      </c>
      <c r="BA350" s="75">
        <f t="shared" si="247"/>
        <v>0</v>
      </c>
      <c r="BB350" s="75">
        <f t="shared" si="248"/>
        <v>0</v>
      </c>
      <c r="BD350" s="214">
        <f t="shared" si="263"/>
        <v>239193.334314051</v>
      </c>
      <c r="BE350" s="214">
        <f t="shared" si="249"/>
        <v>1164.2856496666477</v>
      </c>
      <c r="BF350" s="214">
        <f t="shared" si="250"/>
        <v>-395.79116033245339</v>
      </c>
      <c r="BG350" s="224">
        <f t="shared" si="267"/>
        <v>0</v>
      </c>
      <c r="BH350" s="19">
        <f t="shared" si="264"/>
        <v>376341.85624211724</v>
      </c>
      <c r="BI350" s="214">
        <f t="shared" si="251"/>
        <v>1831.8630151135701</v>
      </c>
      <c r="BJ350" s="214">
        <f t="shared" si="252"/>
        <v>0</v>
      </c>
      <c r="BK350" s="19">
        <f t="shared" si="268"/>
        <v>0</v>
      </c>
    </row>
    <row r="351" spans="1:63">
      <c r="A351" s="165">
        <f t="shared" si="253"/>
        <v>85.056125941136202</v>
      </c>
      <c r="B351" s="69">
        <f t="shared" si="254"/>
        <v>24</v>
      </c>
      <c r="C351" s="70">
        <f t="shared" si="255"/>
        <v>277</v>
      </c>
      <c r="D351" s="13">
        <f t="shared" si="224"/>
        <v>4.8675505653430484E-3</v>
      </c>
      <c r="E351" s="15">
        <f t="shared" si="225"/>
        <v>1</v>
      </c>
      <c r="F351" s="15">
        <f t="shared" si="256"/>
        <v>0</v>
      </c>
      <c r="G351" s="15">
        <f t="shared" si="226"/>
        <v>0</v>
      </c>
      <c r="H351" s="73">
        <f t="shared" si="227"/>
        <v>0</v>
      </c>
      <c r="I351" s="189"/>
      <c r="J351" s="189"/>
      <c r="K351" s="5">
        <f t="shared" si="269"/>
        <v>194666.9814793822</v>
      </c>
      <c r="M351" s="5">
        <f t="shared" si="228"/>
        <v>947.55137575359151</v>
      </c>
      <c r="N351" s="5">
        <f t="shared" si="229"/>
        <v>-322.11378590082592</v>
      </c>
      <c r="O351" s="5">
        <f t="shared" si="230"/>
        <v>0</v>
      </c>
      <c r="P351" s="5">
        <f t="shared" si="231"/>
        <v>0</v>
      </c>
      <c r="Q351" s="5">
        <f t="shared" si="265"/>
        <v>0</v>
      </c>
      <c r="R351" s="5">
        <f t="shared" si="257"/>
        <v>0</v>
      </c>
      <c r="S351" s="5">
        <f t="shared" si="232"/>
        <v>0</v>
      </c>
      <c r="T351" s="5">
        <f t="shared" si="233"/>
        <v>0</v>
      </c>
      <c r="U351" s="74">
        <f t="shared" si="234"/>
        <v>0</v>
      </c>
      <c r="V351" s="75">
        <f t="shared" si="235"/>
        <v>0</v>
      </c>
      <c r="W351" s="5">
        <f t="shared" si="236"/>
        <v>0</v>
      </c>
      <c r="X351" s="5">
        <f t="shared" si="237"/>
        <v>195292.41906923498</v>
      </c>
      <c r="Y351" s="5">
        <f t="shared" si="258"/>
        <v>100000</v>
      </c>
      <c r="Z351" s="215">
        <f t="shared" si="238"/>
        <v>1</v>
      </c>
      <c r="AA351" s="216">
        <f t="shared" si="259"/>
        <v>0</v>
      </c>
      <c r="AB351" s="72">
        <f t="shared" si="266"/>
        <v>29840.358821905051</v>
      </c>
      <c r="AC351" s="72">
        <f t="shared" si="239"/>
        <v>0</v>
      </c>
      <c r="AD351" s="72">
        <f t="shared" si="240"/>
        <v>0</v>
      </c>
      <c r="AE351" s="72">
        <f t="shared" si="260"/>
        <v>-40.667390001710842</v>
      </c>
      <c r="AF351" s="70">
        <f t="shared" si="241"/>
        <v>0</v>
      </c>
      <c r="AG351" s="70">
        <f t="shared" si="242"/>
        <v>17710.096776728162</v>
      </c>
      <c r="AH351" s="1">
        <f t="shared" si="272"/>
        <v>0</v>
      </c>
      <c r="AI351" s="1">
        <f t="shared" si="272"/>
        <v>0</v>
      </c>
      <c r="AJ351" s="1">
        <f t="shared" si="272"/>
        <v>0</v>
      </c>
      <c r="AK351" s="1">
        <f t="shared" si="272"/>
        <v>0</v>
      </c>
      <c r="AL351" s="1">
        <f t="shared" si="272"/>
        <v>0</v>
      </c>
      <c r="AM351" s="1">
        <f t="shared" si="272"/>
        <v>0</v>
      </c>
      <c r="AN351" s="1">
        <f t="shared" si="272"/>
        <v>0</v>
      </c>
      <c r="AO351" s="1">
        <f t="shared" si="272"/>
        <v>0</v>
      </c>
      <c r="AP351" s="1">
        <f t="shared" si="272"/>
        <v>1</v>
      </c>
      <c r="AQ351" s="1">
        <f t="shared" si="272"/>
        <v>1</v>
      </c>
      <c r="AR351" s="1">
        <f t="shared" si="272"/>
        <v>1</v>
      </c>
      <c r="AS351" s="1">
        <f t="shared" si="272"/>
        <v>1</v>
      </c>
      <c r="AT351" s="39">
        <f t="shared" si="243"/>
        <v>195292.41906923498</v>
      </c>
      <c r="AU351" s="39">
        <f t="shared" si="261"/>
        <v>195292.41906923498</v>
      </c>
      <c r="AV351" s="39">
        <f t="shared" si="271"/>
        <v>0</v>
      </c>
      <c r="AW351" s="3">
        <f t="shared" si="244"/>
        <v>277</v>
      </c>
      <c r="AX351" s="69">
        <f t="shared" si="262"/>
        <v>0</v>
      </c>
      <c r="AY351" s="75">
        <f t="shared" si="245"/>
        <v>0</v>
      </c>
      <c r="AZ351" s="75">
        <f t="shared" si="246"/>
        <v>0</v>
      </c>
      <c r="BA351" s="75">
        <f t="shared" si="247"/>
        <v>0</v>
      </c>
      <c r="BB351" s="75">
        <f t="shared" si="248"/>
        <v>0</v>
      </c>
      <c r="BD351" s="214">
        <f t="shared" si="263"/>
        <v>239961.8288033852</v>
      </c>
      <c r="BE351" s="214">
        <f t="shared" si="249"/>
        <v>1168.0263354526694</v>
      </c>
      <c r="BF351" s="214">
        <f t="shared" si="250"/>
        <v>-397.06278157773164</v>
      </c>
      <c r="BG351" s="224">
        <f t="shared" si="267"/>
        <v>0</v>
      </c>
      <c r="BH351" s="19">
        <f t="shared" si="264"/>
        <v>378173.71925723081</v>
      </c>
      <c r="BI351" s="214">
        <f t="shared" si="251"/>
        <v>1840.779700968417</v>
      </c>
      <c r="BJ351" s="214">
        <f t="shared" si="252"/>
        <v>0</v>
      </c>
      <c r="BK351" s="19">
        <f t="shared" si="268"/>
        <v>0</v>
      </c>
    </row>
    <row r="352" spans="1:63">
      <c r="A352" s="165">
        <f t="shared" si="253"/>
        <v>85.139459274469544</v>
      </c>
      <c r="B352" s="69">
        <f t="shared" si="254"/>
        <v>24</v>
      </c>
      <c r="C352" s="70">
        <f t="shared" si="255"/>
        <v>278</v>
      </c>
      <c r="D352" s="13">
        <f t="shared" si="224"/>
        <v>4.8675505653430484E-3</v>
      </c>
      <c r="E352" s="15">
        <f t="shared" si="225"/>
        <v>1</v>
      </c>
      <c r="F352" s="15">
        <f t="shared" si="256"/>
        <v>0</v>
      </c>
      <c r="G352" s="15">
        <f t="shared" si="226"/>
        <v>0</v>
      </c>
      <c r="H352" s="73">
        <f t="shared" si="227"/>
        <v>0</v>
      </c>
      <c r="I352" s="189"/>
      <c r="J352" s="189"/>
      <c r="K352" s="5">
        <f t="shared" si="269"/>
        <v>195292.41906923498</v>
      </c>
      <c r="M352" s="5">
        <f t="shared" si="228"/>
        <v>950.59572484766625</v>
      </c>
      <c r="N352" s="5">
        <f t="shared" si="229"/>
        <v>-323.14869212057181</v>
      </c>
      <c r="O352" s="5">
        <f t="shared" si="230"/>
        <v>0</v>
      </c>
      <c r="P352" s="5">
        <f t="shared" si="231"/>
        <v>0</v>
      </c>
      <c r="Q352" s="5">
        <f t="shared" si="265"/>
        <v>0</v>
      </c>
      <c r="R352" s="5">
        <f t="shared" si="257"/>
        <v>0</v>
      </c>
      <c r="S352" s="5">
        <f t="shared" si="232"/>
        <v>0</v>
      </c>
      <c r="T352" s="5">
        <f t="shared" si="233"/>
        <v>0</v>
      </c>
      <c r="U352" s="74">
        <f t="shared" si="234"/>
        <v>0</v>
      </c>
      <c r="V352" s="75">
        <f t="shared" si="235"/>
        <v>0</v>
      </c>
      <c r="W352" s="5">
        <f t="shared" si="236"/>
        <v>0</v>
      </c>
      <c r="X352" s="5">
        <f t="shared" si="237"/>
        <v>195919.86610196208</v>
      </c>
      <c r="Y352" s="5">
        <f t="shared" si="258"/>
        <v>100000</v>
      </c>
      <c r="Z352" s="215">
        <f t="shared" si="238"/>
        <v>1</v>
      </c>
      <c r="AA352" s="216">
        <f t="shared" si="259"/>
        <v>0</v>
      </c>
      <c r="AB352" s="72">
        <f t="shared" si="266"/>
        <v>29840.358821905051</v>
      </c>
      <c r="AC352" s="72">
        <f t="shared" si="239"/>
        <v>0</v>
      </c>
      <c r="AD352" s="72">
        <f t="shared" si="240"/>
        <v>0</v>
      </c>
      <c r="AE352" s="72">
        <f t="shared" si="260"/>
        <v>-40.798048597200328</v>
      </c>
      <c r="AF352" s="70">
        <f t="shared" si="241"/>
        <v>0</v>
      </c>
      <c r="AG352" s="70">
        <f t="shared" si="242"/>
        <v>17948.526649164458</v>
      </c>
      <c r="AH352" s="1">
        <f t="shared" si="272"/>
        <v>0</v>
      </c>
      <c r="AI352" s="1">
        <f t="shared" si="272"/>
        <v>0</v>
      </c>
      <c r="AJ352" s="1">
        <f t="shared" si="272"/>
        <v>0</v>
      </c>
      <c r="AK352" s="1">
        <f t="shared" si="272"/>
        <v>0</v>
      </c>
      <c r="AL352" s="1">
        <f t="shared" si="272"/>
        <v>0</v>
      </c>
      <c r="AM352" s="1">
        <f t="shared" si="272"/>
        <v>0</v>
      </c>
      <c r="AN352" s="1">
        <f t="shared" si="272"/>
        <v>0</v>
      </c>
      <c r="AO352" s="1">
        <f t="shared" si="272"/>
        <v>0</v>
      </c>
      <c r="AP352" s="1">
        <f t="shared" si="272"/>
        <v>1</v>
      </c>
      <c r="AQ352" s="1">
        <f t="shared" si="272"/>
        <v>1</v>
      </c>
      <c r="AR352" s="1">
        <f t="shared" si="272"/>
        <v>1</v>
      </c>
      <c r="AS352" s="1">
        <f t="shared" si="272"/>
        <v>1</v>
      </c>
      <c r="AT352" s="39">
        <f t="shared" si="243"/>
        <v>195919.86610196208</v>
      </c>
      <c r="AU352" s="39">
        <f t="shared" si="261"/>
        <v>195919.86610196208</v>
      </c>
      <c r="AV352" s="39">
        <f t="shared" si="271"/>
        <v>0</v>
      </c>
      <c r="AW352" s="3">
        <f t="shared" si="244"/>
        <v>278</v>
      </c>
      <c r="AX352" s="69">
        <f t="shared" si="262"/>
        <v>0</v>
      </c>
      <c r="AY352" s="75">
        <f t="shared" si="245"/>
        <v>0</v>
      </c>
      <c r="AZ352" s="75">
        <f t="shared" si="246"/>
        <v>0</v>
      </c>
      <c r="BA352" s="75">
        <f t="shared" si="247"/>
        <v>0</v>
      </c>
      <c r="BB352" s="75">
        <f t="shared" si="248"/>
        <v>0</v>
      </c>
      <c r="BD352" s="214">
        <f t="shared" si="263"/>
        <v>240732.79235726016</v>
      </c>
      <c r="BE352" s="214">
        <f t="shared" si="249"/>
        <v>1171.7790395351924</v>
      </c>
      <c r="BF352" s="214">
        <f t="shared" si="250"/>
        <v>-398.33848836294482</v>
      </c>
      <c r="BG352" s="224">
        <f t="shared" si="267"/>
        <v>0</v>
      </c>
      <c r="BH352" s="19">
        <f t="shared" si="264"/>
        <v>380014.49895819923</v>
      </c>
      <c r="BI352" s="214">
        <f t="shared" si="251"/>
        <v>1849.7397892425379</v>
      </c>
      <c r="BJ352" s="214">
        <f t="shared" si="252"/>
        <v>0</v>
      </c>
      <c r="BK352" s="19">
        <f t="shared" si="268"/>
        <v>0</v>
      </c>
    </row>
    <row r="353" spans="1:63">
      <c r="A353" s="165">
        <f t="shared" si="253"/>
        <v>85.222792607802873</v>
      </c>
      <c r="B353" s="69">
        <f t="shared" si="254"/>
        <v>24</v>
      </c>
      <c r="C353" s="70">
        <f t="shared" si="255"/>
        <v>279</v>
      </c>
      <c r="D353" s="13">
        <f t="shared" si="224"/>
        <v>4.8675505653430484E-3</v>
      </c>
      <c r="E353" s="15">
        <f t="shared" si="225"/>
        <v>1</v>
      </c>
      <c r="F353" s="15">
        <f t="shared" si="256"/>
        <v>0</v>
      </c>
      <c r="G353" s="15">
        <f t="shared" si="226"/>
        <v>0</v>
      </c>
      <c r="H353" s="73">
        <f t="shared" si="227"/>
        <v>0</v>
      </c>
      <c r="I353" s="189"/>
      <c r="J353" s="189"/>
      <c r="K353" s="5">
        <f t="shared" si="269"/>
        <v>195919.86610196208</v>
      </c>
      <c r="M353" s="5">
        <f t="shared" si="228"/>
        <v>953.64985500653984</v>
      </c>
      <c r="N353" s="5">
        <f t="shared" si="229"/>
        <v>-324.18692334822026</v>
      </c>
      <c r="O353" s="5">
        <f t="shared" si="230"/>
        <v>0</v>
      </c>
      <c r="P353" s="5">
        <f t="shared" si="231"/>
        <v>0</v>
      </c>
      <c r="Q353" s="5">
        <f t="shared" si="265"/>
        <v>0</v>
      </c>
      <c r="R353" s="5">
        <f t="shared" si="257"/>
        <v>0</v>
      </c>
      <c r="S353" s="5">
        <f t="shared" si="232"/>
        <v>0</v>
      </c>
      <c r="T353" s="5">
        <f t="shared" si="233"/>
        <v>0</v>
      </c>
      <c r="U353" s="74">
        <f t="shared" si="234"/>
        <v>0</v>
      </c>
      <c r="V353" s="75">
        <f t="shared" si="235"/>
        <v>0</v>
      </c>
      <c r="W353" s="5">
        <f t="shared" si="236"/>
        <v>0</v>
      </c>
      <c r="X353" s="5">
        <f t="shared" si="237"/>
        <v>196549.32903362039</v>
      </c>
      <c r="Y353" s="5">
        <f t="shared" si="258"/>
        <v>100000</v>
      </c>
      <c r="Z353" s="215">
        <f t="shared" si="238"/>
        <v>1</v>
      </c>
      <c r="AA353" s="216">
        <f t="shared" si="259"/>
        <v>0</v>
      </c>
      <c r="AB353" s="72">
        <f t="shared" si="266"/>
        <v>29840.358821905051</v>
      </c>
      <c r="AC353" s="72">
        <f t="shared" si="239"/>
        <v>0</v>
      </c>
      <c r="AD353" s="72">
        <f t="shared" si="240"/>
        <v>0</v>
      </c>
      <c r="AE353" s="72">
        <f t="shared" si="260"/>
        <v>-40.929126980351967</v>
      </c>
      <c r="AF353" s="70">
        <f t="shared" si="241"/>
        <v>0</v>
      </c>
      <c r="AG353" s="70">
        <f t="shared" si="242"/>
        <v>18187.722563194613</v>
      </c>
      <c r="AH353" s="1">
        <f t="shared" si="272"/>
        <v>0</v>
      </c>
      <c r="AI353" s="1">
        <f t="shared" si="272"/>
        <v>0</v>
      </c>
      <c r="AJ353" s="1">
        <f t="shared" si="272"/>
        <v>0</v>
      </c>
      <c r="AK353" s="1">
        <f t="shared" si="272"/>
        <v>0</v>
      </c>
      <c r="AL353" s="1">
        <f t="shared" si="272"/>
        <v>0</v>
      </c>
      <c r="AM353" s="1">
        <f t="shared" si="272"/>
        <v>0</v>
      </c>
      <c r="AN353" s="1">
        <f t="shared" si="272"/>
        <v>0</v>
      </c>
      <c r="AO353" s="1">
        <f t="shared" si="272"/>
        <v>0</v>
      </c>
      <c r="AP353" s="1">
        <f t="shared" si="272"/>
        <v>1</v>
      </c>
      <c r="AQ353" s="1">
        <f t="shared" si="272"/>
        <v>1</v>
      </c>
      <c r="AR353" s="1">
        <f t="shared" si="272"/>
        <v>1</v>
      </c>
      <c r="AS353" s="1">
        <f t="shared" si="272"/>
        <v>1</v>
      </c>
      <c r="AT353" s="39">
        <f t="shared" si="243"/>
        <v>196549.32903362039</v>
      </c>
      <c r="AU353" s="39">
        <f t="shared" si="261"/>
        <v>196549.32903362039</v>
      </c>
      <c r="AV353" s="39">
        <f t="shared" si="271"/>
        <v>0</v>
      </c>
      <c r="AW353" s="3">
        <f t="shared" si="244"/>
        <v>279</v>
      </c>
      <c r="AX353" s="69">
        <f t="shared" si="262"/>
        <v>0</v>
      </c>
      <c r="AY353" s="75">
        <f t="shared" si="245"/>
        <v>0</v>
      </c>
      <c r="AZ353" s="75">
        <f t="shared" si="246"/>
        <v>0</v>
      </c>
      <c r="BA353" s="75">
        <f t="shared" si="247"/>
        <v>0</v>
      </c>
      <c r="BB353" s="75">
        <f t="shared" si="248"/>
        <v>0</v>
      </c>
      <c r="BD353" s="214">
        <f t="shared" si="263"/>
        <v>241506.23290843243</v>
      </c>
      <c r="BE353" s="214">
        <f t="shared" si="249"/>
        <v>1175.5438005273102</v>
      </c>
      <c r="BF353" s="214">
        <f t="shared" si="250"/>
        <v>-399.61829381435723</v>
      </c>
      <c r="BG353" s="224">
        <f t="shared" si="267"/>
        <v>0</v>
      </c>
      <c r="BH353" s="19">
        <f t="shared" si="264"/>
        <v>381864.23874744179</v>
      </c>
      <c r="BI353" s="214">
        <f t="shared" si="251"/>
        <v>1858.743491199403</v>
      </c>
      <c r="BJ353" s="214">
        <f t="shared" si="252"/>
        <v>0</v>
      </c>
      <c r="BK353" s="19">
        <f t="shared" si="268"/>
        <v>0</v>
      </c>
    </row>
    <row r="354" spans="1:63">
      <c r="A354" s="165">
        <f t="shared" si="253"/>
        <v>85.306125941136202</v>
      </c>
      <c r="B354" s="69">
        <f t="shared" si="254"/>
        <v>24</v>
      </c>
      <c r="C354" s="70">
        <f t="shared" si="255"/>
        <v>280</v>
      </c>
      <c r="D354" s="13">
        <f t="shared" si="224"/>
        <v>4.8675505653430484E-3</v>
      </c>
      <c r="E354" s="15">
        <f t="shared" si="225"/>
        <v>1</v>
      </c>
      <c r="F354" s="15">
        <f t="shared" si="256"/>
        <v>0</v>
      </c>
      <c r="G354" s="15">
        <f t="shared" si="226"/>
        <v>0</v>
      </c>
      <c r="H354" s="73">
        <f t="shared" si="227"/>
        <v>0</v>
      </c>
      <c r="I354" s="189"/>
      <c r="J354" s="189"/>
      <c r="K354" s="5">
        <f t="shared" si="269"/>
        <v>196549.32903362039</v>
      </c>
      <c r="M354" s="5">
        <f t="shared" si="228"/>
        <v>956.71379765539575</v>
      </c>
      <c r="N354" s="5">
        <f t="shared" si="229"/>
        <v>-325.22849026655342</v>
      </c>
      <c r="O354" s="5">
        <f t="shared" si="230"/>
        <v>0</v>
      </c>
      <c r="P354" s="5">
        <f t="shared" si="231"/>
        <v>0</v>
      </c>
      <c r="Q354" s="5">
        <f t="shared" si="265"/>
        <v>0</v>
      </c>
      <c r="R354" s="5">
        <f t="shared" si="257"/>
        <v>0</v>
      </c>
      <c r="S354" s="5">
        <f t="shared" si="232"/>
        <v>0</v>
      </c>
      <c r="T354" s="5">
        <f t="shared" si="233"/>
        <v>0</v>
      </c>
      <c r="U354" s="74">
        <f t="shared" si="234"/>
        <v>0</v>
      </c>
      <c r="V354" s="75">
        <f t="shared" si="235"/>
        <v>0</v>
      </c>
      <c r="W354" s="5">
        <f t="shared" si="236"/>
        <v>0</v>
      </c>
      <c r="X354" s="5">
        <f t="shared" si="237"/>
        <v>197180.81434100925</v>
      </c>
      <c r="Y354" s="5">
        <f t="shared" si="258"/>
        <v>100000</v>
      </c>
      <c r="Z354" s="215">
        <f t="shared" si="238"/>
        <v>1</v>
      </c>
      <c r="AA354" s="216">
        <f t="shared" si="259"/>
        <v>0</v>
      </c>
      <c r="AB354" s="72">
        <f t="shared" si="266"/>
        <v>29840.358821905051</v>
      </c>
      <c r="AC354" s="72">
        <f t="shared" si="239"/>
        <v>0</v>
      </c>
      <c r="AD354" s="72">
        <f t="shared" si="240"/>
        <v>0</v>
      </c>
      <c r="AE354" s="72">
        <f t="shared" si="260"/>
        <v>-41.060626499884414</v>
      </c>
      <c r="AF354" s="70">
        <f t="shared" si="241"/>
        <v>0</v>
      </c>
      <c r="AG354" s="70">
        <f t="shared" si="242"/>
        <v>18427.686980002378</v>
      </c>
      <c r="AH354" s="1">
        <f t="shared" si="272"/>
        <v>0</v>
      </c>
      <c r="AI354" s="1">
        <f t="shared" si="272"/>
        <v>0</v>
      </c>
      <c r="AJ354" s="1">
        <f t="shared" si="272"/>
        <v>0</v>
      </c>
      <c r="AK354" s="1">
        <f t="shared" si="272"/>
        <v>0</v>
      </c>
      <c r="AL354" s="1">
        <f t="shared" si="272"/>
        <v>0</v>
      </c>
      <c r="AM354" s="1">
        <f t="shared" si="272"/>
        <v>0</v>
      </c>
      <c r="AN354" s="1">
        <f t="shared" si="272"/>
        <v>0</v>
      </c>
      <c r="AO354" s="1">
        <f t="shared" si="272"/>
        <v>0</v>
      </c>
      <c r="AP354" s="1">
        <f t="shared" si="272"/>
        <v>1</v>
      </c>
      <c r="AQ354" s="1">
        <f t="shared" si="272"/>
        <v>1</v>
      </c>
      <c r="AR354" s="1">
        <f t="shared" si="272"/>
        <v>1</v>
      </c>
      <c r="AS354" s="1">
        <f t="shared" si="272"/>
        <v>1</v>
      </c>
      <c r="AT354" s="39">
        <f t="shared" si="243"/>
        <v>197180.81434100925</v>
      </c>
      <c r="AU354" s="39">
        <f t="shared" si="261"/>
        <v>197180.81434100925</v>
      </c>
      <c r="AV354" s="39">
        <f t="shared" si="271"/>
        <v>0</v>
      </c>
      <c r="AW354" s="3">
        <f t="shared" si="244"/>
        <v>280</v>
      </c>
      <c r="AX354" s="69">
        <f t="shared" si="262"/>
        <v>0</v>
      </c>
      <c r="AY354" s="75">
        <f t="shared" si="245"/>
        <v>0</v>
      </c>
      <c r="AZ354" s="75">
        <f t="shared" si="246"/>
        <v>0</v>
      </c>
      <c r="BA354" s="75">
        <f t="shared" si="247"/>
        <v>0</v>
      </c>
      <c r="BB354" s="75">
        <f t="shared" si="248"/>
        <v>0</v>
      </c>
      <c r="BD354" s="214">
        <f t="shared" si="263"/>
        <v>242282.15841514539</v>
      </c>
      <c r="BE354" s="214">
        <f t="shared" si="249"/>
        <v>1179.3206571661749</v>
      </c>
      <c r="BF354" s="214">
        <f t="shared" si="250"/>
        <v>-400.90221110040613</v>
      </c>
      <c r="BG354" s="224">
        <f t="shared" si="267"/>
        <v>0</v>
      </c>
      <c r="BH354" s="19">
        <f t="shared" si="264"/>
        <v>383722.98223864118</v>
      </c>
      <c r="BI354" s="214">
        <f t="shared" si="251"/>
        <v>1867.7910191308183</v>
      </c>
      <c r="BJ354" s="214">
        <f t="shared" si="252"/>
        <v>0</v>
      </c>
      <c r="BK354" s="19">
        <f t="shared" si="268"/>
        <v>0</v>
      </c>
    </row>
    <row r="355" spans="1:63">
      <c r="A355" s="165">
        <f t="shared" si="253"/>
        <v>85.389459274469544</v>
      </c>
      <c r="B355" s="69">
        <f t="shared" si="254"/>
        <v>24</v>
      </c>
      <c r="C355" s="70">
        <f t="shared" si="255"/>
        <v>281</v>
      </c>
      <c r="D355" s="13">
        <f t="shared" si="224"/>
        <v>4.8675505653430484E-3</v>
      </c>
      <c r="E355" s="15">
        <f t="shared" si="225"/>
        <v>1</v>
      </c>
      <c r="F355" s="15">
        <f t="shared" si="256"/>
        <v>0</v>
      </c>
      <c r="G355" s="15">
        <f t="shared" si="226"/>
        <v>0</v>
      </c>
      <c r="H355" s="73">
        <f t="shared" si="227"/>
        <v>0</v>
      </c>
      <c r="I355" s="189"/>
      <c r="J355" s="189"/>
      <c r="K355" s="5">
        <f t="shared" si="269"/>
        <v>197180.81434100925</v>
      </c>
      <c r="M355" s="5">
        <f t="shared" si="228"/>
        <v>959.78758432038217</v>
      </c>
      <c r="N355" s="5">
        <f t="shared" si="229"/>
        <v>-326.27340359267555</v>
      </c>
      <c r="O355" s="5">
        <f t="shared" si="230"/>
        <v>0</v>
      </c>
      <c r="P355" s="5">
        <f t="shared" si="231"/>
        <v>0</v>
      </c>
      <c r="Q355" s="5">
        <f t="shared" si="265"/>
        <v>0</v>
      </c>
      <c r="R355" s="5">
        <f t="shared" si="257"/>
        <v>0</v>
      </c>
      <c r="S355" s="5">
        <f t="shared" si="232"/>
        <v>0</v>
      </c>
      <c r="T355" s="5">
        <f t="shared" si="233"/>
        <v>0</v>
      </c>
      <c r="U355" s="74">
        <f t="shared" si="234"/>
        <v>0</v>
      </c>
      <c r="V355" s="75">
        <f t="shared" si="235"/>
        <v>0</v>
      </c>
      <c r="W355" s="5">
        <f t="shared" si="236"/>
        <v>0</v>
      </c>
      <c r="X355" s="5">
        <f t="shared" si="237"/>
        <v>197814.32852173696</v>
      </c>
      <c r="Y355" s="5">
        <f t="shared" si="258"/>
        <v>100000</v>
      </c>
      <c r="Z355" s="215">
        <f t="shared" si="238"/>
        <v>1</v>
      </c>
      <c r="AA355" s="216">
        <f t="shared" si="259"/>
        <v>0</v>
      </c>
      <c r="AB355" s="72">
        <f t="shared" si="266"/>
        <v>29840.358821905051</v>
      </c>
      <c r="AC355" s="72">
        <f t="shared" si="239"/>
        <v>0</v>
      </c>
      <c r="AD355" s="72">
        <f t="shared" si="240"/>
        <v>0</v>
      </c>
      <c r="AE355" s="72">
        <f t="shared" si="260"/>
        <v>-41.192548508849512</v>
      </c>
      <c r="AF355" s="70">
        <f t="shared" si="241"/>
        <v>0</v>
      </c>
      <c r="AG355" s="70">
        <f t="shared" si="242"/>
        <v>18668.422368678912</v>
      </c>
      <c r="AH355" s="1">
        <f t="shared" ref="AH355:AS364" si="273">IF($B355&lt;=AH$74,1,0)</f>
        <v>0</v>
      </c>
      <c r="AI355" s="1">
        <f t="shared" si="273"/>
        <v>0</v>
      </c>
      <c r="AJ355" s="1">
        <f t="shared" si="273"/>
        <v>0</v>
      </c>
      <c r="AK355" s="1">
        <f t="shared" si="273"/>
        <v>0</v>
      </c>
      <c r="AL355" s="1">
        <f t="shared" si="273"/>
        <v>0</v>
      </c>
      <c r="AM355" s="1">
        <f t="shared" si="273"/>
        <v>0</v>
      </c>
      <c r="AN355" s="1">
        <f t="shared" si="273"/>
        <v>0</v>
      </c>
      <c r="AO355" s="1">
        <f t="shared" si="273"/>
        <v>0</v>
      </c>
      <c r="AP355" s="1">
        <f t="shared" si="273"/>
        <v>1</v>
      </c>
      <c r="AQ355" s="1">
        <f t="shared" si="273"/>
        <v>1</v>
      </c>
      <c r="AR355" s="1">
        <f t="shared" si="273"/>
        <v>1</v>
      </c>
      <c r="AS355" s="1">
        <f t="shared" si="273"/>
        <v>1</v>
      </c>
      <c r="AT355" s="39">
        <f t="shared" si="243"/>
        <v>197814.32852173696</v>
      </c>
      <c r="AU355" s="39">
        <f t="shared" si="261"/>
        <v>197814.32852173696</v>
      </c>
      <c r="AV355" s="39">
        <f t="shared" si="271"/>
        <v>0</v>
      </c>
      <c r="AW355" s="3">
        <f t="shared" si="244"/>
        <v>281</v>
      </c>
      <c r="AX355" s="69">
        <f t="shared" si="262"/>
        <v>0</v>
      </c>
      <c r="AY355" s="75">
        <f t="shared" si="245"/>
        <v>0</v>
      </c>
      <c r="AZ355" s="75">
        <f t="shared" si="246"/>
        <v>0</v>
      </c>
      <c r="BA355" s="75">
        <f t="shared" si="247"/>
        <v>0</v>
      </c>
      <c r="BB355" s="75">
        <f t="shared" si="248"/>
        <v>0</v>
      </c>
      <c r="BD355" s="214">
        <f t="shared" si="263"/>
        <v>243060.57686121116</v>
      </c>
      <c r="BE355" s="214">
        <f t="shared" si="249"/>
        <v>1183.1096483133958</v>
      </c>
      <c r="BF355" s="214">
        <f t="shared" si="250"/>
        <v>-402.19025343183682</v>
      </c>
      <c r="BG355" s="224">
        <f t="shared" si="267"/>
        <v>0</v>
      </c>
      <c r="BH355" s="19">
        <f t="shared" si="264"/>
        <v>385590.77325777197</v>
      </c>
      <c r="BI355" s="214">
        <f t="shared" si="251"/>
        <v>1876.8825863619311</v>
      </c>
      <c r="BJ355" s="214">
        <f t="shared" si="252"/>
        <v>0</v>
      </c>
      <c r="BK355" s="19">
        <f t="shared" si="268"/>
        <v>0</v>
      </c>
    </row>
    <row r="356" spans="1:63">
      <c r="A356" s="165">
        <f t="shared" si="253"/>
        <v>85.472792607802873</v>
      </c>
      <c r="B356" s="69">
        <f t="shared" si="254"/>
        <v>24</v>
      </c>
      <c r="C356" s="70">
        <f t="shared" si="255"/>
        <v>282</v>
      </c>
      <c r="D356" s="13">
        <f t="shared" si="224"/>
        <v>4.8675505653430484E-3</v>
      </c>
      <c r="E356" s="15">
        <f t="shared" si="225"/>
        <v>1</v>
      </c>
      <c r="F356" s="15">
        <f t="shared" si="256"/>
        <v>0</v>
      </c>
      <c r="G356" s="15">
        <f t="shared" si="226"/>
        <v>0</v>
      </c>
      <c r="H356" s="73">
        <f t="shared" si="227"/>
        <v>0</v>
      </c>
      <c r="I356" s="189"/>
      <c r="J356" s="189"/>
      <c r="K356" s="5">
        <f t="shared" si="269"/>
        <v>197814.32852173696</v>
      </c>
      <c r="M356" s="5">
        <f t="shared" si="228"/>
        <v>962.87124662893621</v>
      </c>
      <c r="N356" s="5">
        <f t="shared" si="229"/>
        <v>-327.32167407812335</v>
      </c>
      <c r="O356" s="5">
        <f t="shared" si="230"/>
        <v>0</v>
      </c>
      <c r="P356" s="5">
        <f t="shared" si="231"/>
        <v>0</v>
      </c>
      <c r="Q356" s="5">
        <f t="shared" si="265"/>
        <v>0</v>
      </c>
      <c r="R356" s="5">
        <f t="shared" si="257"/>
        <v>0</v>
      </c>
      <c r="S356" s="5">
        <f t="shared" si="232"/>
        <v>0</v>
      </c>
      <c r="T356" s="5">
        <f t="shared" si="233"/>
        <v>0</v>
      </c>
      <c r="U356" s="74">
        <f t="shared" si="234"/>
        <v>0</v>
      </c>
      <c r="V356" s="75">
        <f t="shared" si="235"/>
        <v>0</v>
      </c>
      <c r="W356" s="5">
        <f t="shared" si="236"/>
        <v>0</v>
      </c>
      <c r="X356" s="5">
        <f t="shared" si="237"/>
        <v>198449.87809428776</v>
      </c>
      <c r="Y356" s="5">
        <f t="shared" si="258"/>
        <v>100000</v>
      </c>
      <c r="Z356" s="215">
        <f t="shared" si="238"/>
        <v>1</v>
      </c>
      <c r="AA356" s="216">
        <f t="shared" si="259"/>
        <v>0</v>
      </c>
      <c r="AB356" s="72">
        <f t="shared" si="266"/>
        <v>29840.358821905051</v>
      </c>
      <c r="AC356" s="72">
        <f t="shared" si="239"/>
        <v>0</v>
      </c>
      <c r="AD356" s="72">
        <f t="shared" si="240"/>
        <v>0</v>
      </c>
      <c r="AE356" s="72">
        <f t="shared" si="260"/>
        <v>-41.324894364646312</v>
      </c>
      <c r="AF356" s="70">
        <f t="shared" si="241"/>
        <v>0</v>
      </c>
      <c r="AG356" s="70">
        <f t="shared" si="242"/>
        <v>18909.931206248213</v>
      </c>
      <c r="AH356" s="1">
        <f t="shared" si="273"/>
        <v>0</v>
      </c>
      <c r="AI356" s="1">
        <f t="shared" si="273"/>
        <v>0</v>
      </c>
      <c r="AJ356" s="1">
        <f t="shared" si="273"/>
        <v>0</v>
      </c>
      <c r="AK356" s="1">
        <f t="shared" si="273"/>
        <v>0</v>
      </c>
      <c r="AL356" s="1">
        <f t="shared" si="273"/>
        <v>0</v>
      </c>
      <c r="AM356" s="1">
        <f t="shared" si="273"/>
        <v>0</v>
      </c>
      <c r="AN356" s="1">
        <f t="shared" si="273"/>
        <v>0</v>
      </c>
      <c r="AO356" s="1">
        <f t="shared" si="273"/>
        <v>0</v>
      </c>
      <c r="AP356" s="1">
        <f t="shared" si="273"/>
        <v>1</v>
      </c>
      <c r="AQ356" s="1">
        <f t="shared" si="273"/>
        <v>1</v>
      </c>
      <c r="AR356" s="1">
        <f t="shared" si="273"/>
        <v>1</v>
      </c>
      <c r="AS356" s="1">
        <f t="shared" si="273"/>
        <v>1</v>
      </c>
      <c r="AT356" s="39">
        <f t="shared" si="243"/>
        <v>198449.87809428776</v>
      </c>
      <c r="AU356" s="39">
        <f t="shared" si="261"/>
        <v>198449.87809428776</v>
      </c>
      <c r="AV356" s="39">
        <f t="shared" si="271"/>
        <v>0</v>
      </c>
      <c r="AW356" s="3">
        <f t="shared" si="244"/>
        <v>282</v>
      </c>
      <c r="AX356" s="69">
        <f t="shared" si="262"/>
        <v>0</v>
      </c>
      <c r="AY356" s="75">
        <f t="shared" si="245"/>
        <v>0</v>
      </c>
      <c r="AZ356" s="75">
        <f t="shared" si="246"/>
        <v>0</v>
      </c>
      <c r="BA356" s="75">
        <f t="shared" si="247"/>
        <v>0</v>
      </c>
      <c r="BB356" s="75">
        <f t="shared" si="248"/>
        <v>0</v>
      </c>
      <c r="BD356" s="214">
        <f t="shared" si="263"/>
        <v>243841.49625609271</v>
      </c>
      <c r="BE356" s="214">
        <f t="shared" si="249"/>
        <v>1186.9108129554388</v>
      </c>
      <c r="BF356" s="214">
        <f t="shared" si="250"/>
        <v>-403.48243406183917</v>
      </c>
      <c r="BG356" s="224">
        <f t="shared" si="267"/>
        <v>0</v>
      </c>
      <c r="BH356" s="19">
        <f t="shared" si="264"/>
        <v>387467.65584413393</v>
      </c>
      <c r="BI356" s="214">
        <f t="shared" si="251"/>
        <v>1886.0184072562599</v>
      </c>
      <c r="BJ356" s="214">
        <f t="shared" si="252"/>
        <v>0</v>
      </c>
      <c r="BK356" s="19">
        <f t="shared" si="268"/>
        <v>0</v>
      </c>
    </row>
    <row r="357" spans="1:63">
      <c r="A357" s="165">
        <f t="shared" si="253"/>
        <v>85.556125941136202</v>
      </c>
      <c r="B357" s="69">
        <f t="shared" si="254"/>
        <v>24</v>
      </c>
      <c r="C357" s="70">
        <f t="shared" si="255"/>
        <v>283</v>
      </c>
      <c r="D357" s="13">
        <f t="shared" si="224"/>
        <v>4.8675505653430484E-3</v>
      </c>
      <c r="E357" s="15">
        <f t="shared" si="225"/>
        <v>1</v>
      </c>
      <c r="F357" s="15">
        <f t="shared" si="256"/>
        <v>0</v>
      </c>
      <c r="G357" s="15">
        <f t="shared" si="226"/>
        <v>0</v>
      </c>
      <c r="H357" s="73">
        <f t="shared" si="227"/>
        <v>0</v>
      </c>
      <c r="I357" s="189"/>
      <c r="J357" s="189"/>
      <c r="K357" s="5">
        <f t="shared" si="269"/>
        <v>198449.87809428776</v>
      </c>
      <c r="M357" s="5">
        <f t="shared" si="228"/>
        <v>965.96481631010943</v>
      </c>
      <c r="N357" s="5">
        <f t="shared" si="229"/>
        <v>-328.37331250897699</v>
      </c>
      <c r="O357" s="5">
        <f t="shared" si="230"/>
        <v>0</v>
      </c>
      <c r="P357" s="5">
        <f t="shared" si="231"/>
        <v>0</v>
      </c>
      <c r="Q357" s="5">
        <f t="shared" si="265"/>
        <v>0</v>
      </c>
      <c r="R357" s="5">
        <f t="shared" si="257"/>
        <v>0</v>
      </c>
      <c r="S357" s="5">
        <f t="shared" si="232"/>
        <v>0</v>
      </c>
      <c r="T357" s="5">
        <f t="shared" si="233"/>
        <v>0</v>
      </c>
      <c r="U357" s="74">
        <f t="shared" si="234"/>
        <v>0</v>
      </c>
      <c r="V357" s="75">
        <f t="shared" si="235"/>
        <v>0</v>
      </c>
      <c r="W357" s="5">
        <f t="shared" si="236"/>
        <v>0</v>
      </c>
      <c r="X357" s="5">
        <f t="shared" si="237"/>
        <v>199087.46959808891</v>
      </c>
      <c r="Y357" s="5">
        <f t="shared" si="258"/>
        <v>100000</v>
      </c>
      <c r="Z357" s="215">
        <f t="shared" si="238"/>
        <v>1</v>
      </c>
      <c r="AA357" s="216">
        <f t="shared" si="259"/>
        <v>0</v>
      </c>
      <c r="AB357" s="72">
        <f t="shared" si="266"/>
        <v>29840.358821905051</v>
      </c>
      <c r="AC357" s="72">
        <f t="shared" si="239"/>
        <v>0</v>
      </c>
      <c r="AD357" s="72">
        <f t="shared" si="240"/>
        <v>0</v>
      </c>
      <c r="AE357" s="72">
        <f t="shared" si="260"/>
        <v>-41.457665429034961</v>
      </c>
      <c r="AF357" s="70">
        <f t="shared" si="241"/>
        <v>0</v>
      </c>
      <c r="AG357" s="70">
        <f t="shared" si="242"/>
        <v>19152.215977692649</v>
      </c>
      <c r="AH357" s="1">
        <f t="shared" si="273"/>
        <v>0</v>
      </c>
      <c r="AI357" s="1">
        <f t="shared" si="273"/>
        <v>0</v>
      </c>
      <c r="AJ357" s="1">
        <f t="shared" si="273"/>
        <v>0</v>
      </c>
      <c r="AK357" s="1">
        <f t="shared" si="273"/>
        <v>0</v>
      </c>
      <c r="AL357" s="1">
        <f t="shared" si="273"/>
        <v>0</v>
      </c>
      <c r="AM357" s="1">
        <f t="shared" si="273"/>
        <v>0</v>
      </c>
      <c r="AN357" s="1">
        <f t="shared" si="273"/>
        <v>0</v>
      </c>
      <c r="AO357" s="1">
        <f t="shared" si="273"/>
        <v>0</v>
      </c>
      <c r="AP357" s="1">
        <f t="shared" si="273"/>
        <v>1</v>
      </c>
      <c r="AQ357" s="1">
        <f t="shared" si="273"/>
        <v>1</v>
      </c>
      <c r="AR357" s="1">
        <f t="shared" si="273"/>
        <v>1</v>
      </c>
      <c r="AS357" s="1">
        <f t="shared" si="273"/>
        <v>1</v>
      </c>
      <c r="AT357" s="39">
        <f t="shared" si="243"/>
        <v>199087.46959808891</v>
      </c>
      <c r="AU357" s="39">
        <f t="shared" si="261"/>
        <v>199087.46959808891</v>
      </c>
      <c r="AV357" s="39">
        <f t="shared" si="271"/>
        <v>0</v>
      </c>
      <c r="AW357" s="3">
        <f t="shared" si="244"/>
        <v>283</v>
      </c>
      <c r="AX357" s="69">
        <f t="shared" si="262"/>
        <v>0</v>
      </c>
      <c r="AY357" s="75">
        <f t="shared" si="245"/>
        <v>0</v>
      </c>
      <c r="AZ357" s="75">
        <f t="shared" si="246"/>
        <v>0</v>
      </c>
      <c r="BA357" s="75">
        <f t="shared" si="247"/>
        <v>0</v>
      </c>
      <c r="BB357" s="75">
        <f t="shared" si="248"/>
        <v>0</v>
      </c>
      <c r="BD357" s="214">
        <f t="shared" si="263"/>
        <v>244624.9246349863</v>
      </c>
      <c r="BE357" s="214">
        <f t="shared" si="249"/>
        <v>1190.7241902040282</v>
      </c>
      <c r="BF357" s="214">
        <f t="shared" si="250"/>
        <v>-404.7787662861835</v>
      </c>
      <c r="BG357" s="224">
        <f t="shared" si="267"/>
        <v>0</v>
      </c>
      <c r="BH357" s="19">
        <f t="shared" si="264"/>
        <v>389353.67425139021</v>
      </c>
      <c r="BI357" s="214">
        <f t="shared" si="251"/>
        <v>1895.1986972207476</v>
      </c>
      <c r="BJ357" s="214">
        <f t="shared" si="252"/>
        <v>0</v>
      </c>
      <c r="BK357" s="19">
        <f t="shared" si="268"/>
        <v>0</v>
      </c>
    </row>
    <row r="358" spans="1:63">
      <c r="A358" s="165">
        <f t="shared" si="253"/>
        <v>85.639459274469544</v>
      </c>
      <c r="B358" s="69">
        <f t="shared" si="254"/>
        <v>24</v>
      </c>
      <c r="C358" s="70">
        <f t="shared" si="255"/>
        <v>284</v>
      </c>
      <c r="D358" s="13">
        <f t="shared" si="224"/>
        <v>4.8675505653430484E-3</v>
      </c>
      <c r="E358" s="15">
        <f t="shared" si="225"/>
        <v>1</v>
      </c>
      <c r="F358" s="15">
        <f t="shared" si="256"/>
        <v>0</v>
      </c>
      <c r="G358" s="15">
        <f t="shared" si="226"/>
        <v>0</v>
      </c>
      <c r="H358" s="73">
        <f t="shared" si="227"/>
        <v>0</v>
      </c>
      <c r="I358" s="189"/>
      <c r="J358" s="189"/>
      <c r="K358" s="5">
        <f t="shared" si="269"/>
        <v>199087.46959808891</v>
      </c>
      <c r="M358" s="5">
        <f t="shared" si="228"/>
        <v>969.06832519489467</v>
      </c>
      <c r="N358" s="5">
        <f t="shared" si="229"/>
        <v>-329.42832970597061</v>
      </c>
      <c r="O358" s="5">
        <f t="shared" si="230"/>
        <v>0</v>
      </c>
      <c r="P358" s="5">
        <f t="shared" si="231"/>
        <v>0</v>
      </c>
      <c r="Q358" s="5">
        <f t="shared" si="265"/>
        <v>0</v>
      </c>
      <c r="R358" s="5">
        <f t="shared" si="257"/>
        <v>0</v>
      </c>
      <c r="S358" s="5">
        <f t="shared" si="232"/>
        <v>0</v>
      </c>
      <c r="T358" s="5">
        <f t="shared" si="233"/>
        <v>0</v>
      </c>
      <c r="U358" s="74">
        <f t="shared" si="234"/>
        <v>0</v>
      </c>
      <c r="V358" s="75">
        <f t="shared" si="235"/>
        <v>0</v>
      </c>
      <c r="W358" s="5">
        <f t="shared" si="236"/>
        <v>0</v>
      </c>
      <c r="X358" s="5">
        <f t="shared" si="237"/>
        <v>199727.10959357786</v>
      </c>
      <c r="Y358" s="5">
        <f t="shared" si="258"/>
        <v>100000</v>
      </c>
      <c r="Z358" s="215">
        <f t="shared" si="238"/>
        <v>1</v>
      </c>
      <c r="AA358" s="216">
        <f t="shared" si="259"/>
        <v>0</v>
      </c>
      <c r="AB358" s="72">
        <f t="shared" si="266"/>
        <v>29840.358821905051</v>
      </c>
      <c r="AC358" s="72">
        <f t="shared" si="239"/>
        <v>0</v>
      </c>
      <c r="AD358" s="72">
        <f t="shared" si="240"/>
        <v>0</v>
      </c>
      <c r="AE358" s="72">
        <f t="shared" si="260"/>
        <v>-41.590863068150796</v>
      </c>
      <c r="AF358" s="70">
        <f t="shared" si="241"/>
        <v>0</v>
      </c>
      <c r="AG358" s="70">
        <f t="shared" si="242"/>
        <v>19395.279175978452</v>
      </c>
      <c r="AH358" s="1">
        <f t="shared" si="273"/>
        <v>0</v>
      </c>
      <c r="AI358" s="1">
        <f t="shared" si="273"/>
        <v>0</v>
      </c>
      <c r="AJ358" s="1">
        <f t="shared" si="273"/>
        <v>0</v>
      </c>
      <c r="AK358" s="1">
        <f t="shared" si="273"/>
        <v>0</v>
      </c>
      <c r="AL358" s="1">
        <f t="shared" si="273"/>
        <v>0</v>
      </c>
      <c r="AM358" s="1">
        <f t="shared" si="273"/>
        <v>0</v>
      </c>
      <c r="AN358" s="1">
        <f t="shared" si="273"/>
        <v>0</v>
      </c>
      <c r="AO358" s="1">
        <f t="shared" si="273"/>
        <v>0</v>
      </c>
      <c r="AP358" s="1">
        <f t="shared" si="273"/>
        <v>1</v>
      </c>
      <c r="AQ358" s="1">
        <f t="shared" si="273"/>
        <v>1</v>
      </c>
      <c r="AR358" s="1">
        <f t="shared" si="273"/>
        <v>1</v>
      </c>
      <c r="AS358" s="1">
        <f t="shared" si="273"/>
        <v>1</v>
      </c>
      <c r="AT358" s="39">
        <f t="shared" si="243"/>
        <v>199727.10959357786</v>
      </c>
      <c r="AU358" s="39">
        <f t="shared" si="261"/>
        <v>199727.10959357786</v>
      </c>
      <c r="AV358" s="39">
        <f t="shared" si="271"/>
        <v>0</v>
      </c>
      <c r="AW358" s="3">
        <f t="shared" si="244"/>
        <v>284</v>
      </c>
      <c r="AX358" s="69">
        <f t="shared" si="262"/>
        <v>0</v>
      </c>
      <c r="AY358" s="75">
        <f t="shared" si="245"/>
        <v>0</v>
      </c>
      <c r="AZ358" s="75">
        <f t="shared" si="246"/>
        <v>0</v>
      </c>
      <c r="BA358" s="75">
        <f t="shared" si="247"/>
        <v>0</v>
      </c>
      <c r="BB358" s="75">
        <f t="shared" si="248"/>
        <v>0</v>
      </c>
      <c r="BD358" s="214">
        <f t="shared" si="263"/>
        <v>245410.87005890414</v>
      </c>
      <c r="BE358" s="214">
        <f t="shared" si="249"/>
        <v>1194.5498192965483</v>
      </c>
      <c r="BF358" s="214">
        <f t="shared" si="250"/>
        <v>-406.0792634433576</v>
      </c>
      <c r="BG358" s="224">
        <f t="shared" si="267"/>
        <v>0</v>
      </c>
      <c r="BH358" s="19">
        <f t="shared" si="264"/>
        <v>391248.87294861098</v>
      </c>
      <c r="BI358" s="214">
        <f t="shared" si="251"/>
        <v>1904.4236727108419</v>
      </c>
      <c r="BJ358" s="214">
        <f t="shared" si="252"/>
        <v>0</v>
      </c>
      <c r="BK358" s="19">
        <f t="shared" si="268"/>
        <v>0</v>
      </c>
    </row>
    <row r="359" spans="1:63">
      <c r="A359" s="165">
        <f t="shared" si="253"/>
        <v>85.722792607802873</v>
      </c>
      <c r="B359" s="69">
        <f t="shared" si="254"/>
        <v>24</v>
      </c>
      <c r="C359" s="70">
        <f t="shared" si="255"/>
        <v>285</v>
      </c>
      <c r="D359" s="13">
        <f t="shared" si="224"/>
        <v>4.8675505653430484E-3</v>
      </c>
      <c r="E359" s="15">
        <f t="shared" si="225"/>
        <v>1</v>
      </c>
      <c r="F359" s="15">
        <f t="shared" si="256"/>
        <v>0</v>
      </c>
      <c r="G359" s="15">
        <f t="shared" si="226"/>
        <v>0</v>
      </c>
      <c r="H359" s="73">
        <f t="shared" si="227"/>
        <v>0</v>
      </c>
      <c r="I359" s="189"/>
      <c r="J359" s="189"/>
      <c r="K359" s="5">
        <f t="shared" si="269"/>
        <v>199727.10959357786</v>
      </c>
      <c r="M359" s="5">
        <f t="shared" si="228"/>
        <v>972.1818052165529</v>
      </c>
      <c r="N359" s="5">
        <f t="shared" si="229"/>
        <v>-330.48673652460388</v>
      </c>
      <c r="O359" s="5">
        <f t="shared" si="230"/>
        <v>0</v>
      </c>
      <c r="P359" s="5">
        <f t="shared" si="231"/>
        <v>0</v>
      </c>
      <c r="Q359" s="5">
        <f t="shared" si="265"/>
        <v>0</v>
      </c>
      <c r="R359" s="5">
        <f t="shared" si="257"/>
        <v>0</v>
      </c>
      <c r="S359" s="5">
        <f t="shared" si="232"/>
        <v>0</v>
      </c>
      <c r="T359" s="5">
        <f t="shared" si="233"/>
        <v>0</v>
      </c>
      <c r="U359" s="74">
        <f t="shared" si="234"/>
        <v>0</v>
      </c>
      <c r="V359" s="75">
        <f t="shared" si="235"/>
        <v>0</v>
      </c>
      <c r="W359" s="5">
        <f t="shared" si="236"/>
        <v>0</v>
      </c>
      <c r="X359" s="5">
        <f t="shared" si="237"/>
        <v>200368.8046622698</v>
      </c>
      <c r="Y359" s="5">
        <f t="shared" si="258"/>
        <v>100000</v>
      </c>
      <c r="Z359" s="215">
        <f t="shared" si="238"/>
        <v>1</v>
      </c>
      <c r="AA359" s="216">
        <f t="shared" si="259"/>
        <v>0</v>
      </c>
      <c r="AB359" s="72">
        <f t="shared" si="266"/>
        <v>29840.358821905051</v>
      </c>
      <c r="AC359" s="72">
        <f t="shared" si="239"/>
        <v>0</v>
      </c>
      <c r="AD359" s="72">
        <f t="shared" si="240"/>
        <v>0</v>
      </c>
      <c r="AE359" s="72">
        <f t="shared" si="260"/>
        <v>-41.724488652518303</v>
      </c>
      <c r="AF359" s="70">
        <f t="shared" si="241"/>
        <v>0</v>
      </c>
      <c r="AG359" s="70">
        <f t="shared" si="242"/>
        <v>19639.123302081389</v>
      </c>
      <c r="AH359" s="1">
        <f t="shared" si="273"/>
        <v>0</v>
      </c>
      <c r="AI359" s="1">
        <f t="shared" si="273"/>
        <v>0</v>
      </c>
      <c r="AJ359" s="1">
        <f t="shared" si="273"/>
        <v>0</v>
      </c>
      <c r="AK359" s="1">
        <f t="shared" si="273"/>
        <v>0</v>
      </c>
      <c r="AL359" s="1">
        <f t="shared" si="273"/>
        <v>0</v>
      </c>
      <c r="AM359" s="1">
        <f t="shared" si="273"/>
        <v>0</v>
      </c>
      <c r="AN359" s="1">
        <f t="shared" si="273"/>
        <v>0</v>
      </c>
      <c r="AO359" s="1">
        <f t="shared" si="273"/>
        <v>0</v>
      </c>
      <c r="AP359" s="1">
        <f t="shared" si="273"/>
        <v>1</v>
      </c>
      <c r="AQ359" s="1">
        <f t="shared" si="273"/>
        <v>1</v>
      </c>
      <c r="AR359" s="1">
        <f t="shared" si="273"/>
        <v>1</v>
      </c>
      <c r="AS359" s="1">
        <f t="shared" si="273"/>
        <v>1</v>
      </c>
      <c r="AT359" s="39">
        <f t="shared" si="243"/>
        <v>200368.8046622698</v>
      </c>
      <c r="AU359" s="39">
        <f t="shared" si="261"/>
        <v>200368.8046622698</v>
      </c>
      <c r="AV359" s="39">
        <f t="shared" si="271"/>
        <v>0</v>
      </c>
      <c r="AW359" s="3">
        <f t="shared" si="244"/>
        <v>285</v>
      </c>
      <c r="AX359" s="69">
        <f t="shared" si="262"/>
        <v>0</v>
      </c>
      <c r="AY359" s="75">
        <f t="shared" si="245"/>
        <v>0</v>
      </c>
      <c r="AZ359" s="75">
        <f t="shared" si="246"/>
        <v>0</v>
      </c>
      <c r="BA359" s="75">
        <f t="shared" si="247"/>
        <v>0</v>
      </c>
      <c r="BB359" s="75">
        <f t="shared" si="248"/>
        <v>0</v>
      </c>
      <c r="BD359" s="214">
        <f t="shared" si="263"/>
        <v>246199.34061475733</v>
      </c>
      <c r="BE359" s="214">
        <f t="shared" si="249"/>
        <v>1198.3877395964478</v>
      </c>
      <c r="BF359" s="214">
        <f t="shared" si="250"/>
        <v>-407.383938914704</v>
      </c>
      <c r="BG359" s="224">
        <f t="shared" si="267"/>
        <v>0</v>
      </c>
      <c r="BH359" s="19">
        <f t="shared" si="264"/>
        <v>393153.29662132182</v>
      </c>
      <c r="BI359" s="214">
        <f t="shared" si="251"/>
        <v>1913.6935512355983</v>
      </c>
      <c r="BJ359" s="214">
        <f t="shared" si="252"/>
        <v>0</v>
      </c>
      <c r="BK359" s="19">
        <f t="shared" si="268"/>
        <v>0</v>
      </c>
    </row>
    <row r="360" spans="1:63">
      <c r="A360" s="165">
        <f t="shared" si="253"/>
        <v>85.806125941136202</v>
      </c>
      <c r="B360" s="69">
        <f t="shared" si="254"/>
        <v>24</v>
      </c>
      <c r="C360" s="70">
        <f t="shared" si="255"/>
        <v>286</v>
      </c>
      <c r="D360" s="13">
        <f t="shared" si="224"/>
        <v>4.8675505653430484E-3</v>
      </c>
      <c r="E360" s="15">
        <f t="shared" si="225"/>
        <v>1</v>
      </c>
      <c r="F360" s="15">
        <f t="shared" si="256"/>
        <v>0</v>
      </c>
      <c r="G360" s="15">
        <f t="shared" si="226"/>
        <v>0</v>
      </c>
      <c r="H360" s="73">
        <f t="shared" si="227"/>
        <v>0</v>
      </c>
      <c r="I360" s="189"/>
      <c r="J360" s="189"/>
      <c r="K360" s="5">
        <f t="shared" si="269"/>
        <v>200368.8046622698</v>
      </c>
      <c r="M360" s="5">
        <f t="shared" si="228"/>
        <v>975.30528841094224</v>
      </c>
      <c r="N360" s="5">
        <f t="shared" si="229"/>
        <v>-331.54854385525357</v>
      </c>
      <c r="O360" s="5">
        <f t="shared" si="230"/>
        <v>0</v>
      </c>
      <c r="P360" s="5">
        <f t="shared" si="231"/>
        <v>0</v>
      </c>
      <c r="Q360" s="5">
        <f t="shared" si="265"/>
        <v>0</v>
      </c>
      <c r="R360" s="5">
        <f t="shared" si="257"/>
        <v>0</v>
      </c>
      <c r="S360" s="5">
        <f t="shared" si="232"/>
        <v>0</v>
      </c>
      <c r="T360" s="5">
        <f t="shared" si="233"/>
        <v>0</v>
      </c>
      <c r="U360" s="74">
        <f t="shared" si="234"/>
        <v>0</v>
      </c>
      <c r="V360" s="75">
        <f t="shared" si="235"/>
        <v>0</v>
      </c>
      <c r="W360" s="5">
        <f t="shared" si="236"/>
        <v>0</v>
      </c>
      <c r="X360" s="5">
        <f t="shared" si="237"/>
        <v>201012.56140682549</v>
      </c>
      <c r="Y360" s="5">
        <f t="shared" si="258"/>
        <v>100000</v>
      </c>
      <c r="Z360" s="215">
        <f t="shared" si="238"/>
        <v>1</v>
      </c>
      <c r="AA360" s="216">
        <f t="shared" si="259"/>
        <v>0</v>
      </c>
      <c r="AB360" s="72">
        <f t="shared" si="266"/>
        <v>29840.358821905051</v>
      </c>
      <c r="AC360" s="72">
        <f t="shared" si="239"/>
        <v>0</v>
      </c>
      <c r="AD360" s="72">
        <f t="shared" si="240"/>
        <v>0</v>
      </c>
      <c r="AE360" s="72">
        <f t="shared" si="260"/>
        <v>-41.858543557065296</v>
      </c>
      <c r="AF360" s="70">
        <f t="shared" si="241"/>
        <v>0</v>
      </c>
      <c r="AG360" s="70">
        <f t="shared" si="242"/>
        <v>19883.750865012553</v>
      </c>
      <c r="AH360" s="1">
        <f t="shared" si="273"/>
        <v>0</v>
      </c>
      <c r="AI360" s="1">
        <f t="shared" si="273"/>
        <v>0</v>
      </c>
      <c r="AJ360" s="1">
        <f t="shared" si="273"/>
        <v>0</v>
      </c>
      <c r="AK360" s="1">
        <f t="shared" si="273"/>
        <v>0</v>
      </c>
      <c r="AL360" s="1">
        <f t="shared" si="273"/>
        <v>0</v>
      </c>
      <c r="AM360" s="1">
        <f t="shared" si="273"/>
        <v>0</v>
      </c>
      <c r="AN360" s="1">
        <f t="shared" si="273"/>
        <v>0</v>
      </c>
      <c r="AO360" s="1">
        <f t="shared" si="273"/>
        <v>0</v>
      </c>
      <c r="AP360" s="1">
        <f t="shared" si="273"/>
        <v>1</v>
      </c>
      <c r="AQ360" s="1">
        <f t="shared" si="273"/>
        <v>1</v>
      </c>
      <c r="AR360" s="1">
        <f t="shared" si="273"/>
        <v>1</v>
      </c>
      <c r="AS360" s="1">
        <f t="shared" si="273"/>
        <v>1</v>
      </c>
      <c r="AT360" s="39">
        <f t="shared" si="243"/>
        <v>201012.56140682549</v>
      </c>
      <c r="AU360" s="39">
        <f t="shared" si="261"/>
        <v>201012.56140682549</v>
      </c>
      <c r="AV360" s="39">
        <f t="shared" si="271"/>
        <v>0</v>
      </c>
      <c r="AW360" s="3">
        <f t="shared" si="244"/>
        <v>286</v>
      </c>
      <c r="AX360" s="69">
        <f t="shared" si="262"/>
        <v>0</v>
      </c>
      <c r="AY360" s="75">
        <f t="shared" si="245"/>
        <v>0</v>
      </c>
      <c r="AZ360" s="75">
        <f t="shared" si="246"/>
        <v>0</v>
      </c>
      <c r="BA360" s="75">
        <f t="shared" si="247"/>
        <v>0</v>
      </c>
      <c r="BB360" s="75">
        <f t="shared" si="248"/>
        <v>0</v>
      </c>
      <c r="BD360" s="214">
        <f t="shared" si="263"/>
        <v>246990.34441543906</v>
      </c>
      <c r="BE360" s="214">
        <f t="shared" si="249"/>
        <v>1202.2379905936446</v>
      </c>
      <c r="BF360" s="214">
        <f t="shared" si="250"/>
        <v>-408.69280612455759</v>
      </c>
      <c r="BG360" s="224">
        <f t="shared" si="267"/>
        <v>0</v>
      </c>
      <c r="BH360" s="19">
        <f t="shared" si="264"/>
        <v>395066.99017255742</v>
      </c>
      <c r="BI360" s="214">
        <f t="shared" si="251"/>
        <v>1923.0085513628085</v>
      </c>
      <c r="BJ360" s="214">
        <f t="shared" si="252"/>
        <v>0</v>
      </c>
      <c r="BK360" s="19">
        <f t="shared" si="268"/>
        <v>0</v>
      </c>
    </row>
    <row r="361" spans="1:63">
      <c r="A361" s="165">
        <f t="shared" si="253"/>
        <v>85.889459274469544</v>
      </c>
      <c r="B361" s="69">
        <f t="shared" si="254"/>
        <v>24</v>
      </c>
      <c r="C361" s="70">
        <f t="shared" si="255"/>
        <v>287</v>
      </c>
      <c r="D361" s="13">
        <f t="shared" si="224"/>
        <v>4.8675505653430484E-3</v>
      </c>
      <c r="E361" s="15">
        <f t="shared" si="225"/>
        <v>1</v>
      </c>
      <c r="F361" s="15">
        <f t="shared" si="256"/>
        <v>0</v>
      </c>
      <c r="G361" s="15">
        <f t="shared" si="226"/>
        <v>0</v>
      </c>
      <c r="H361" s="73">
        <f t="shared" si="227"/>
        <v>0</v>
      </c>
      <c r="I361" s="189"/>
      <c r="J361" s="189"/>
      <c r="K361" s="5">
        <f t="shared" si="269"/>
        <v>201012.56140682549</v>
      </c>
      <c r="M361" s="5">
        <f t="shared" si="228"/>
        <v>978.43880691684762</v>
      </c>
      <c r="N361" s="5">
        <f t="shared" si="229"/>
        <v>-332.61376262328582</v>
      </c>
      <c r="O361" s="5">
        <f t="shared" si="230"/>
        <v>0</v>
      </c>
      <c r="P361" s="5">
        <f t="shared" si="231"/>
        <v>0</v>
      </c>
      <c r="Q361" s="5">
        <f t="shared" si="265"/>
        <v>0</v>
      </c>
      <c r="R361" s="5">
        <f t="shared" si="257"/>
        <v>0</v>
      </c>
      <c r="S361" s="5">
        <f t="shared" si="232"/>
        <v>0</v>
      </c>
      <c r="T361" s="5">
        <f t="shared" si="233"/>
        <v>0</v>
      </c>
      <c r="U361" s="74">
        <f t="shared" si="234"/>
        <v>0</v>
      </c>
      <c r="V361" s="75">
        <f t="shared" si="235"/>
        <v>0</v>
      </c>
      <c r="W361" s="5">
        <f t="shared" si="236"/>
        <v>0</v>
      </c>
      <c r="X361" s="5">
        <f t="shared" si="237"/>
        <v>201658.38645111906</v>
      </c>
      <c r="Y361" s="5">
        <f t="shared" si="258"/>
        <v>100000</v>
      </c>
      <c r="Z361" s="215">
        <f t="shared" si="238"/>
        <v>1</v>
      </c>
      <c r="AA361" s="216">
        <f t="shared" si="259"/>
        <v>0</v>
      </c>
      <c r="AB361" s="72">
        <f t="shared" si="266"/>
        <v>29840.358821905051</v>
      </c>
      <c r="AC361" s="72">
        <f t="shared" si="239"/>
        <v>0</v>
      </c>
      <c r="AD361" s="72">
        <f t="shared" si="240"/>
        <v>0</v>
      </c>
      <c r="AE361" s="72">
        <f t="shared" si="260"/>
        <v>-41.993029161137038</v>
      </c>
      <c r="AF361" s="70">
        <f t="shared" si="241"/>
        <v>0</v>
      </c>
      <c r="AG361" s="70">
        <f t="shared" si="242"/>
        <v>20129.164381844108</v>
      </c>
      <c r="AH361" s="1">
        <f t="shared" si="273"/>
        <v>0</v>
      </c>
      <c r="AI361" s="1">
        <f t="shared" si="273"/>
        <v>0</v>
      </c>
      <c r="AJ361" s="1">
        <f t="shared" si="273"/>
        <v>0</v>
      </c>
      <c r="AK361" s="1">
        <f t="shared" si="273"/>
        <v>0</v>
      </c>
      <c r="AL361" s="1">
        <f t="shared" si="273"/>
        <v>0</v>
      </c>
      <c r="AM361" s="1">
        <f t="shared" si="273"/>
        <v>0</v>
      </c>
      <c r="AN361" s="1">
        <f t="shared" si="273"/>
        <v>0</v>
      </c>
      <c r="AO361" s="1">
        <f t="shared" si="273"/>
        <v>0</v>
      </c>
      <c r="AP361" s="1">
        <f t="shared" si="273"/>
        <v>1</v>
      </c>
      <c r="AQ361" s="1">
        <f t="shared" si="273"/>
        <v>1</v>
      </c>
      <c r="AR361" s="1">
        <f t="shared" si="273"/>
        <v>1</v>
      </c>
      <c r="AS361" s="1">
        <f t="shared" si="273"/>
        <v>1</v>
      </c>
      <c r="AT361" s="39">
        <f t="shared" si="243"/>
        <v>201658.38645111906</v>
      </c>
      <c r="AU361" s="39">
        <f t="shared" si="261"/>
        <v>201658.38645111906</v>
      </c>
      <c r="AV361" s="39">
        <f t="shared" si="271"/>
        <v>0</v>
      </c>
      <c r="AW361" s="3">
        <f t="shared" si="244"/>
        <v>287</v>
      </c>
      <c r="AX361" s="69">
        <f t="shared" si="262"/>
        <v>0</v>
      </c>
      <c r="AY361" s="75">
        <f t="shared" si="245"/>
        <v>0</v>
      </c>
      <c r="AZ361" s="75">
        <f t="shared" si="246"/>
        <v>0</v>
      </c>
      <c r="BA361" s="75">
        <f t="shared" si="247"/>
        <v>0</v>
      </c>
      <c r="BB361" s="75">
        <f t="shared" si="248"/>
        <v>0</v>
      </c>
      <c r="BD361" s="214">
        <f t="shared" si="263"/>
        <v>247783.88959990814</v>
      </c>
      <c r="BE361" s="214">
        <f t="shared" si="249"/>
        <v>1206.1006119049323</v>
      </c>
      <c r="BF361" s="214">
        <f t="shared" si="250"/>
        <v>-410.00587854038366</v>
      </c>
      <c r="BG361" s="224">
        <f t="shared" si="267"/>
        <v>0</v>
      </c>
      <c r="BH361" s="19">
        <f t="shared" si="264"/>
        <v>396989.9987239202</v>
      </c>
      <c r="BI361" s="214">
        <f t="shared" si="251"/>
        <v>1932.3688927241537</v>
      </c>
      <c r="BJ361" s="214">
        <f t="shared" si="252"/>
        <v>0</v>
      </c>
      <c r="BK361" s="19">
        <f t="shared" si="268"/>
        <v>0</v>
      </c>
    </row>
    <row r="362" spans="1:63">
      <c r="A362" s="165">
        <f t="shared" si="253"/>
        <v>85.972792607802873</v>
      </c>
      <c r="B362" s="69">
        <f t="shared" si="254"/>
        <v>24</v>
      </c>
      <c r="C362" s="70">
        <f t="shared" si="255"/>
        <v>288</v>
      </c>
      <c r="D362" s="13">
        <f t="shared" si="224"/>
        <v>4.8675505653430484E-3</v>
      </c>
      <c r="E362" s="15">
        <f t="shared" si="225"/>
        <v>1</v>
      </c>
      <c r="F362" s="15">
        <f t="shared" si="256"/>
        <v>1</v>
      </c>
      <c r="G362" s="15">
        <f t="shared" si="226"/>
        <v>0</v>
      </c>
      <c r="H362" s="73">
        <f t="shared" si="227"/>
        <v>0</v>
      </c>
      <c r="I362" s="189"/>
      <c r="J362" s="189"/>
      <c r="K362" s="5">
        <f t="shared" si="269"/>
        <v>201658.38645111906</v>
      </c>
      <c r="M362" s="5">
        <f t="shared" si="228"/>
        <v>981.58239297631155</v>
      </c>
      <c r="N362" s="5">
        <f t="shared" si="229"/>
        <v>-333.6824037891684</v>
      </c>
      <c r="O362" s="5">
        <f t="shared" si="230"/>
        <v>0</v>
      </c>
      <c r="P362" s="5">
        <f t="shared" si="231"/>
        <v>0</v>
      </c>
      <c r="Q362" s="5">
        <f t="shared" si="265"/>
        <v>0</v>
      </c>
      <c r="R362" s="5">
        <f t="shared" si="257"/>
        <v>0</v>
      </c>
      <c r="S362" s="5">
        <f t="shared" si="232"/>
        <v>0</v>
      </c>
      <c r="T362" s="5">
        <f t="shared" si="233"/>
        <v>0</v>
      </c>
      <c r="U362" s="74">
        <f t="shared" si="234"/>
        <v>0</v>
      </c>
      <c r="V362" s="75">
        <f t="shared" si="235"/>
        <v>0</v>
      </c>
      <c r="W362" s="5">
        <f t="shared" si="236"/>
        <v>0</v>
      </c>
      <c r="X362" s="5">
        <f t="shared" si="237"/>
        <v>202306.2864403062</v>
      </c>
      <c r="Y362" s="5">
        <f t="shared" si="258"/>
        <v>100000</v>
      </c>
      <c r="Z362" s="215">
        <f t="shared" si="238"/>
        <v>1</v>
      </c>
      <c r="AA362" s="216">
        <f t="shared" si="259"/>
        <v>0</v>
      </c>
      <c r="AB362" s="72">
        <f t="shared" si="266"/>
        <v>29840.358821905051</v>
      </c>
      <c r="AC362" s="72">
        <f t="shared" si="239"/>
        <v>-20375.366377735219</v>
      </c>
      <c r="AD362" s="72">
        <f t="shared" si="240"/>
        <v>0</v>
      </c>
      <c r="AE362" s="72">
        <f t="shared" si="260"/>
        <v>-42.12794684851044</v>
      </c>
      <c r="AF362" s="70">
        <f t="shared" si="241"/>
        <v>0</v>
      </c>
      <c r="AG362" s="70">
        <f t="shared" si="242"/>
        <v>0</v>
      </c>
      <c r="AH362" s="1">
        <f t="shared" si="273"/>
        <v>0</v>
      </c>
      <c r="AI362" s="1">
        <f t="shared" si="273"/>
        <v>0</v>
      </c>
      <c r="AJ362" s="1">
        <f t="shared" si="273"/>
        <v>0</v>
      </c>
      <c r="AK362" s="1">
        <f t="shared" si="273"/>
        <v>0</v>
      </c>
      <c r="AL362" s="1">
        <f t="shared" si="273"/>
        <v>0</v>
      </c>
      <c r="AM362" s="1">
        <f t="shared" si="273"/>
        <v>0</v>
      </c>
      <c r="AN362" s="1">
        <f t="shared" si="273"/>
        <v>0</v>
      </c>
      <c r="AO362" s="1">
        <f t="shared" si="273"/>
        <v>0</v>
      </c>
      <c r="AP362" s="1">
        <f t="shared" si="273"/>
        <v>1</v>
      </c>
      <c r="AQ362" s="1">
        <f t="shared" si="273"/>
        <v>1</v>
      </c>
      <c r="AR362" s="1">
        <f t="shared" si="273"/>
        <v>1</v>
      </c>
      <c r="AS362" s="1">
        <f t="shared" si="273"/>
        <v>1</v>
      </c>
      <c r="AT362" s="39">
        <f t="shared" si="243"/>
        <v>181930.92006257098</v>
      </c>
      <c r="AU362" s="39">
        <f t="shared" si="261"/>
        <v>202306.2864403062</v>
      </c>
      <c r="AV362" s="39">
        <f t="shared" si="271"/>
        <v>0</v>
      </c>
      <c r="AW362" s="3">
        <f t="shared" si="244"/>
        <v>288</v>
      </c>
      <c r="AX362" s="69">
        <f t="shared" si="262"/>
        <v>0</v>
      </c>
      <c r="AY362" s="75">
        <f t="shared" si="245"/>
        <v>0</v>
      </c>
      <c r="AZ362" s="75">
        <f t="shared" si="246"/>
        <v>0</v>
      </c>
      <c r="BA362" s="75">
        <f t="shared" si="247"/>
        <v>0</v>
      </c>
      <c r="BB362" s="75">
        <f t="shared" si="248"/>
        <v>0</v>
      </c>
      <c r="BD362" s="214">
        <f t="shared" si="263"/>
        <v>248579.98433327267</v>
      </c>
      <c r="BE362" s="214">
        <f t="shared" si="249"/>
        <v>1209.9756432743875</v>
      </c>
      <c r="BF362" s="214">
        <f t="shared" si="250"/>
        <v>-411.32316967291666</v>
      </c>
      <c r="BG362" s="224">
        <f t="shared" si="267"/>
        <v>0</v>
      </c>
      <c r="BH362" s="19">
        <f t="shared" si="264"/>
        <v>398922.36761664436</v>
      </c>
      <c r="BI362" s="214">
        <f t="shared" si="251"/>
        <v>1941.7747960203847</v>
      </c>
      <c r="BJ362" s="214">
        <f t="shared" si="252"/>
        <v>0</v>
      </c>
      <c r="BK362" s="19">
        <f t="shared" si="268"/>
        <v>0</v>
      </c>
    </row>
    <row r="363" spans="1:63">
      <c r="A363" s="165">
        <f t="shared" si="253"/>
        <v>86.056125941136202</v>
      </c>
      <c r="B363" s="69">
        <f t="shared" si="254"/>
        <v>25</v>
      </c>
      <c r="C363" s="70">
        <f t="shared" si="255"/>
        <v>289</v>
      </c>
      <c r="D363" s="13">
        <f t="shared" si="224"/>
        <v>4.8675505653430484E-3</v>
      </c>
      <c r="E363" s="15">
        <f t="shared" si="225"/>
        <v>1</v>
      </c>
      <c r="F363" s="15">
        <f t="shared" si="256"/>
        <v>0</v>
      </c>
      <c r="G363" s="15">
        <f t="shared" si="226"/>
        <v>0</v>
      </c>
      <c r="H363" s="73">
        <f t="shared" si="227"/>
        <v>0</v>
      </c>
      <c r="I363" s="189"/>
      <c r="J363" s="189"/>
      <c r="K363" s="5">
        <f t="shared" si="269"/>
        <v>181930.92006257098</v>
      </c>
      <c r="M363" s="5">
        <f t="shared" si="228"/>
        <v>885.5579528039483</v>
      </c>
      <c r="N363" s="5">
        <f t="shared" si="229"/>
        <v>-301.03953422620896</v>
      </c>
      <c r="O363" s="5">
        <f t="shared" si="230"/>
        <v>0</v>
      </c>
      <c r="P363" s="5">
        <f t="shared" si="231"/>
        <v>0</v>
      </c>
      <c r="Q363" s="5">
        <f t="shared" si="265"/>
        <v>0</v>
      </c>
      <c r="R363" s="5">
        <f t="shared" si="257"/>
        <v>0</v>
      </c>
      <c r="S363" s="5">
        <f t="shared" si="232"/>
        <v>0</v>
      </c>
      <c r="T363" s="5">
        <f t="shared" si="233"/>
        <v>0</v>
      </c>
      <c r="U363" s="74">
        <f t="shared" si="234"/>
        <v>0</v>
      </c>
      <c r="V363" s="75">
        <f t="shared" si="235"/>
        <v>0</v>
      </c>
      <c r="W363" s="5">
        <f t="shared" si="236"/>
        <v>0</v>
      </c>
      <c r="X363" s="5">
        <f t="shared" si="237"/>
        <v>182515.43848114871</v>
      </c>
      <c r="Y363" s="5">
        <f t="shared" si="258"/>
        <v>100000</v>
      </c>
      <c r="Z363" s="215">
        <f t="shared" si="238"/>
        <v>1</v>
      </c>
      <c r="AA363" s="216">
        <f t="shared" si="259"/>
        <v>0</v>
      </c>
      <c r="AB363" s="72">
        <f t="shared" si="266"/>
        <v>50215.72519964027</v>
      </c>
      <c r="AC363" s="72">
        <f t="shared" si="239"/>
        <v>0</v>
      </c>
      <c r="AD363" s="72">
        <f t="shared" si="240"/>
        <v>0</v>
      </c>
      <c r="AE363" s="72">
        <f t="shared" si="260"/>
        <v>-38.006731410371557</v>
      </c>
      <c r="AF363" s="70">
        <f t="shared" si="241"/>
        <v>0</v>
      </c>
      <c r="AG363" s="70">
        <f t="shared" si="242"/>
        <v>222.11699905953719</v>
      </c>
      <c r="AH363" s="1">
        <f t="shared" si="273"/>
        <v>0</v>
      </c>
      <c r="AI363" s="1">
        <f t="shared" si="273"/>
        <v>0</v>
      </c>
      <c r="AJ363" s="1">
        <f t="shared" si="273"/>
        <v>0</v>
      </c>
      <c r="AK363" s="1">
        <f t="shared" si="273"/>
        <v>0</v>
      </c>
      <c r="AL363" s="1">
        <f t="shared" si="273"/>
        <v>0</v>
      </c>
      <c r="AM363" s="1">
        <f t="shared" si="273"/>
        <v>0</v>
      </c>
      <c r="AN363" s="1">
        <f t="shared" si="273"/>
        <v>0</v>
      </c>
      <c r="AO363" s="1">
        <f t="shared" si="273"/>
        <v>0</v>
      </c>
      <c r="AP363" s="1">
        <f t="shared" si="273"/>
        <v>1</v>
      </c>
      <c r="AQ363" s="1">
        <f t="shared" si="273"/>
        <v>1</v>
      </c>
      <c r="AR363" s="1">
        <f t="shared" si="273"/>
        <v>1</v>
      </c>
      <c r="AS363" s="1">
        <f t="shared" si="273"/>
        <v>1</v>
      </c>
      <c r="AT363" s="39">
        <f t="shared" si="243"/>
        <v>182515.43848114871</v>
      </c>
      <c r="AU363" s="39">
        <f t="shared" si="261"/>
        <v>182515.43848114871</v>
      </c>
      <c r="AV363" s="39">
        <f t="shared" si="271"/>
        <v>0</v>
      </c>
      <c r="AW363" s="3">
        <f t="shared" si="244"/>
        <v>289</v>
      </c>
      <c r="AX363" s="69">
        <f t="shared" si="262"/>
        <v>0</v>
      </c>
      <c r="AY363" s="75">
        <f t="shared" si="245"/>
        <v>0</v>
      </c>
      <c r="AZ363" s="75">
        <f t="shared" si="246"/>
        <v>0</v>
      </c>
      <c r="BA363" s="75">
        <f t="shared" si="247"/>
        <v>0</v>
      </c>
      <c r="BB363" s="75">
        <f t="shared" si="248"/>
        <v>0</v>
      </c>
      <c r="BD363" s="214">
        <f t="shared" si="263"/>
        <v>249378.63680687413</v>
      </c>
      <c r="BE363" s="214">
        <f t="shared" si="249"/>
        <v>1213.8631245737788</v>
      </c>
      <c r="BF363" s="214">
        <f t="shared" si="250"/>
        <v>-412.64469307629912</v>
      </c>
      <c r="BG363" s="224">
        <f t="shared" si="267"/>
        <v>0</v>
      </c>
      <c r="BH363" s="19">
        <f t="shared" si="264"/>
        <v>400864.14241266472</v>
      </c>
      <c r="BI363" s="214">
        <f t="shared" si="251"/>
        <v>1951.2264830265224</v>
      </c>
      <c r="BJ363" s="214">
        <f t="shared" si="252"/>
        <v>0</v>
      </c>
      <c r="BK363" s="19">
        <f t="shared" si="268"/>
        <v>0</v>
      </c>
    </row>
    <row r="364" spans="1:63">
      <c r="A364" s="165">
        <f t="shared" si="253"/>
        <v>86.139459274469544</v>
      </c>
      <c r="B364" s="69">
        <f t="shared" si="254"/>
        <v>25</v>
      </c>
      <c r="C364" s="70">
        <f t="shared" si="255"/>
        <v>290</v>
      </c>
      <c r="D364" s="13">
        <f t="shared" si="224"/>
        <v>4.8675505653430484E-3</v>
      </c>
      <c r="E364" s="15">
        <f t="shared" si="225"/>
        <v>1</v>
      </c>
      <c r="F364" s="15">
        <f t="shared" si="256"/>
        <v>0</v>
      </c>
      <c r="G364" s="15">
        <f t="shared" si="226"/>
        <v>0</v>
      </c>
      <c r="H364" s="73">
        <f t="shared" si="227"/>
        <v>0</v>
      </c>
      <c r="I364" s="189"/>
      <c r="J364" s="189"/>
      <c r="K364" s="5">
        <f t="shared" si="269"/>
        <v>182515.43848114871</v>
      </c>
      <c r="M364" s="5">
        <f t="shared" si="228"/>
        <v>888.40312576274982</v>
      </c>
      <c r="N364" s="5">
        <f t="shared" si="229"/>
        <v>-302.00673184393531</v>
      </c>
      <c r="O364" s="5">
        <f t="shared" si="230"/>
        <v>0</v>
      </c>
      <c r="P364" s="5">
        <f t="shared" si="231"/>
        <v>0</v>
      </c>
      <c r="Q364" s="5">
        <f t="shared" si="265"/>
        <v>0</v>
      </c>
      <c r="R364" s="5">
        <f t="shared" si="257"/>
        <v>0</v>
      </c>
      <c r="S364" s="5">
        <f t="shared" si="232"/>
        <v>0</v>
      </c>
      <c r="T364" s="5">
        <f t="shared" si="233"/>
        <v>0</v>
      </c>
      <c r="U364" s="74">
        <f t="shared" si="234"/>
        <v>0</v>
      </c>
      <c r="V364" s="75">
        <f t="shared" si="235"/>
        <v>0</v>
      </c>
      <c r="W364" s="5">
        <f t="shared" si="236"/>
        <v>0</v>
      </c>
      <c r="X364" s="5">
        <f t="shared" si="237"/>
        <v>183101.83487506752</v>
      </c>
      <c r="Y364" s="5">
        <f t="shared" si="258"/>
        <v>100000</v>
      </c>
      <c r="Z364" s="215">
        <f t="shared" si="238"/>
        <v>1</v>
      </c>
      <c r="AA364" s="216">
        <f t="shared" si="259"/>
        <v>0</v>
      </c>
      <c r="AB364" s="72">
        <f t="shared" si="266"/>
        <v>50215.72519964027</v>
      </c>
      <c r="AC364" s="72">
        <f t="shared" si="239"/>
        <v>0</v>
      </c>
      <c r="AD364" s="72">
        <f t="shared" si="240"/>
        <v>0</v>
      </c>
      <c r="AE364" s="72">
        <f t="shared" si="260"/>
        <v>-38.128841684599038</v>
      </c>
      <c r="AF364" s="70">
        <f t="shared" si="241"/>
        <v>0</v>
      </c>
      <c r="AG364" s="70">
        <f t="shared" si="242"/>
        <v>444.94762874869048</v>
      </c>
      <c r="AH364" s="1">
        <f t="shared" si="273"/>
        <v>0</v>
      </c>
      <c r="AI364" s="1">
        <f t="shared" si="273"/>
        <v>0</v>
      </c>
      <c r="AJ364" s="1">
        <f t="shared" si="273"/>
        <v>0</v>
      </c>
      <c r="AK364" s="1">
        <f t="shared" si="273"/>
        <v>0</v>
      </c>
      <c r="AL364" s="1">
        <f t="shared" si="273"/>
        <v>0</v>
      </c>
      <c r="AM364" s="1">
        <f t="shared" si="273"/>
        <v>0</v>
      </c>
      <c r="AN364" s="1">
        <f t="shared" si="273"/>
        <v>0</v>
      </c>
      <c r="AO364" s="1">
        <f t="shared" si="273"/>
        <v>0</v>
      </c>
      <c r="AP364" s="1">
        <f t="shared" si="273"/>
        <v>1</v>
      </c>
      <c r="AQ364" s="1">
        <f t="shared" si="273"/>
        <v>1</v>
      </c>
      <c r="AR364" s="1">
        <f t="shared" si="273"/>
        <v>1</v>
      </c>
      <c r="AS364" s="1">
        <f t="shared" si="273"/>
        <v>1</v>
      </c>
      <c r="AT364" s="39">
        <f t="shared" si="243"/>
        <v>183101.83487506752</v>
      </c>
      <c r="AU364" s="39">
        <f t="shared" si="261"/>
        <v>183101.83487506752</v>
      </c>
      <c r="AV364" s="39">
        <f t="shared" si="271"/>
        <v>0</v>
      </c>
      <c r="AW364" s="3">
        <f t="shared" si="244"/>
        <v>290</v>
      </c>
      <c r="AX364" s="69">
        <f t="shared" si="262"/>
        <v>0</v>
      </c>
      <c r="AY364" s="75">
        <f t="shared" si="245"/>
        <v>0</v>
      </c>
      <c r="AZ364" s="75">
        <f t="shared" si="246"/>
        <v>0</v>
      </c>
      <c r="BA364" s="75">
        <f t="shared" si="247"/>
        <v>0</v>
      </c>
      <c r="BB364" s="75">
        <f t="shared" si="248"/>
        <v>0</v>
      </c>
      <c r="BD364" s="214">
        <f t="shared" si="263"/>
        <v>250179.85523837162</v>
      </c>
      <c r="BE364" s="214">
        <f t="shared" si="249"/>
        <v>1217.7630958029777</v>
      </c>
      <c r="BF364" s="214">
        <f t="shared" si="250"/>
        <v>-413.97046234822119</v>
      </c>
      <c r="BG364" s="224">
        <f t="shared" si="267"/>
        <v>0</v>
      </c>
      <c r="BH364" s="19">
        <f t="shared" si="264"/>
        <v>402815.36889569124</v>
      </c>
      <c r="BI364" s="214">
        <f t="shared" si="251"/>
        <v>1960.7241765970905</v>
      </c>
      <c r="BJ364" s="214">
        <f t="shared" si="252"/>
        <v>0</v>
      </c>
      <c r="BK364" s="19">
        <f t="shared" si="268"/>
        <v>0</v>
      </c>
    </row>
    <row r="365" spans="1:63">
      <c r="A365" s="165">
        <f t="shared" si="253"/>
        <v>86.222792607802873</v>
      </c>
      <c r="B365" s="69">
        <f t="shared" si="254"/>
        <v>25</v>
      </c>
      <c r="C365" s="70">
        <f t="shared" si="255"/>
        <v>291</v>
      </c>
      <c r="D365" s="13">
        <f t="shared" si="224"/>
        <v>4.8675505653430484E-3</v>
      </c>
      <c r="E365" s="15">
        <f t="shared" si="225"/>
        <v>1</v>
      </c>
      <c r="F365" s="15">
        <f t="shared" si="256"/>
        <v>0</v>
      </c>
      <c r="G365" s="15">
        <f t="shared" si="226"/>
        <v>0</v>
      </c>
      <c r="H365" s="73">
        <f t="shared" si="227"/>
        <v>0</v>
      </c>
      <c r="I365" s="189"/>
      <c r="J365" s="189"/>
      <c r="K365" s="5">
        <f t="shared" si="269"/>
        <v>183101.83487506752</v>
      </c>
      <c r="M365" s="5">
        <f t="shared" si="228"/>
        <v>891.25743986148439</v>
      </c>
      <c r="N365" s="5">
        <f t="shared" si="229"/>
        <v>-302.97703693136373</v>
      </c>
      <c r="O365" s="5">
        <f t="shared" si="230"/>
        <v>0</v>
      </c>
      <c r="P365" s="5">
        <f t="shared" si="231"/>
        <v>0</v>
      </c>
      <c r="Q365" s="5">
        <f t="shared" si="265"/>
        <v>0</v>
      </c>
      <c r="R365" s="5">
        <f t="shared" si="257"/>
        <v>0</v>
      </c>
      <c r="S365" s="5">
        <f t="shared" si="232"/>
        <v>0</v>
      </c>
      <c r="T365" s="5">
        <f t="shared" si="233"/>
        <v>0</v>
      </c>
      <c r="U365" s="74">
        <f t="shared" si="234"/>
        <v>0</v>
      </c>
      <c r="V365" s="75">
        <f t="shared" si="235"/>
        <v>0</v>
      </c>
      <c r="W365" s="5">
        <f t="shared" si="236"/>
        <v>0</v>
      </c>
      <c r="X365" s="5">
        <f t="shared" si="237"/>
        <v>183690.11527799763</v>
      </c>
      <c r="Y365" s="5">
        <f t="shared" si="258"/>
        <v>100000</v>
      </c>
      <c r="Z365" s="215">
        <f t="shared" si="238"/>
        <v>1</v>
      </c>
      <c r="AA365" s="216">
        <f t="shared" si="259"/>
        <v>0</v>
      </c>
      <c r="AB365" s="72">
        <f t="shared" si="266"/>
        <v>50215.72519964027</v>
      </c>
      <c r="AC365" s="72">
        <f t="shared" si="239"/>
        <v>0</v>
      </c>
      <c r="AD365" s="72">
        <f t="shared" si="240"/>
        <v>0</v>
      </c>
      <c r="AE365" s="72">
        <f t="shared" si="260"/>
        <v>-38.251344281936632</v>
      </c>
      <c r="AF365" s="70">
        <f t="shared" si="241"/>
        <v>0</v>
      </c>
      <c r="AG365" s="70">
        <f t="shared" si="242"/>
        <v>668.49418186213006</v>
      </c>
      <c r="AH365" s="1">
        <f t="shared" ref="AH365:AS374" si="274">IF($B365&lt;=AH$74,1,0)</f>
        <v>0</v>
      </c>
      <c r="AI365" s="1">
        <f t="shared" si="274"/>
        <v>0</v>
      </c>
      <c r="AJ365" s="1">
        <f t="shared" si="274"/>
        <v>0</v>
      </c>
      <c r="AK365" s="1">
        <f t="shared" si="274"/>
        <v>0</v>
      </c>
      <c r="AL365" s="1">
        <f t="shared" si="274"/>
        <v>0</v>
      </c>
      <c r="AM365" s="1">
        <f t="shared" si="274"/>
        <v>0</v>
      </c>
      <c r="AN365" s="1">
        <f t="shared" si="274"/>
        <v>0</v>
      </c>
      <c r="AO365" s="1">
        <f t="shared" si="274"/>
        <v>0</v>
      </c>
      <c r="AP365" s="1">
        <f t="shared" si="274"/>
        <v>1</v>
      </c>
      <c r="AQ365" s="1">
        <f t="shared" si="274"/>
        <v>1</v>
      </c>
      <c r="AR365" s="1">
        <f t="shared" si="274"/>
        <v>1</v>
      </c>
      <c r="AS365" s="1">
        <f t="shared" si="274"/>
        <v>1</v>
      </c>
      <c r="AT365" s="39">
        <f t="shared" si="243"/>
        <v>183690.11527799763</v>
      </c>
      <c r="AU365" s="39">
        <f t="shared" si="261"/>
        <v>183690.11527799763</v>
      </c>
      <c r="AV365" s="39">
        <f t="shared" si="271"/>
        <v>0</v>
      </c>
      <c r="AW365" s="3">
        <f t="shared" si="244"/>
        <v>291</v>
      </c>
      <c r="AX365" s="69">
        <f t="shared" si="262"/>
        <v>0</v>
      </c>
      <c r="AY365" s="75">
        <f t="shared" si="245"/>
        <v>0</v>
      </c>
      <c r="AZ365" s="75">
        <f t="shared" si="246"/>
        <v>0</v>
      </c>
      <c r="BA365" s="75">
        <f t="shared" si="247"/>
        <v>0</v>
      </c>
      <c r="BB365" s="75">
        <f t="shared" si="248"/>
        <v>0</v>
      </c>
      <c r="BD365" s="214">
        <f t="shared" si="263"/>
        <v>250983.64787182637</v>
      </c>
      <c r="BE365" s="214">
        <f t="shared" si="249"/>
        <v>1221.6755970903691</v>
      </c>
      <c r="BF365" s="214">
        <f t="shared" si="250"/>
        <v>-415.30049113006021</v>
      </c>
      <c r="BG365" s="224">
        <f t="shared" si="267"/>
        <v>0</v>
      </c>
      <c r="BH365" s="19">
        <f t="shared" si="264"/>
        <v>404776.09307228832</v>
      </c>
      <c r="BI365" s="214">
        <f t="shared" si="251"/>
        <v>1970.2681006713674</v>
      </c>
      <c r="BJ365" s="214">
        <f t="shared" si="252"/>
        <v>0</v>
      </c>
      <c r="BK365" s="19">
        <f t="shared" si="268"/>
        <v>0</v>
      </c>
    </row>
    <row r="366" spans="1:63">
      <c r="A366" s="165">
        <f t="shared" si="253"/>
        <v>86.306125941136202</v>
      </c>
      <c r="B366" s="69">
        <f t="shared" si="254"/>
        <v>25</v>
      </c>
      <c r="C366" s="70">
        <f t="shared" si="255"/>
        <v>292</v>
      </c>
      <c r="D366" s="13">
        <f t="shared" si="224"/>
        <v>4.8675505653430484E-3</v>
      </c>
      <c r="E366" s="15">
        <f t="shared" si="225"/>
        <v>1</v>
      </c>
      <c r="F366" s="15">
        <f t="shared" si="256"/>
        <v>0</v>
      </c>
      <c r="G366" s="15">
        <f t="shared" si="226"/>
        <v>0</v>
      </c>
      <c r="H366" s="73">
        <f t="shared" si="227"/>
        <v>0</v>
      </c>
      <c r="I366" s="189"/>
      <c r="J366" s="189"/>
      <c r="K366" s="5">
        <f t="shared" si="269"/>
        <v>183690.11527799763</v>
      </c>
      <c r="M366" s="5">
        <f t="shared" si="228"/>
        <v>894.12092446934707</v>
      </c>
      <c r="N366" s="5">
        <f t="shared" si="229"/>
        <v>-303.95045947235667</v>
      </c>
      <c r="O366" s="5">
        <f t="shared" si="230"/>
        <v>0</v>
      </c>
      <c r="P366" s="5">
        <f t="shared" si="231"/>
        <v>0</v>
      </c>
      <c r="Q366" s="5">
        <f t="shared" si="265"/>
        <v>0</v>
      </c>
      <c r="R366" s="5">
        <f t="shared" si="257"/>
        <v>0</v>
      </c>
      <c r="S366" s="5">
        <f t="shared" si="232"/>
        <v>0</v>
      </c>
      <c r="T366" s="5">
        <f t="shared" si="233"/>
        <v>0</v>
      </c>
      <c r="U366" s="74">
        <f t="shared" si="234"/>
        <v>0</v>
      </c>
      <c r="V366" s="75">
        <f t="shared" si="235"/>
        <v>0</v>
      </c>
      <c r="W366" s="5">
        <f t="shared" si="236"/>
        <v>0</v>
      </c>
      <c r="X366" s="5">
        <f t="shared" si="237"/>
        <v>184280.2857429946</v>
      </c>
      <c r="Y366" s="5">
        <f t="shared" si="258"/>
        <v>100000</v>
      </c>
      <c r="Z366" s="215">
        <f t="shared" si="238"/>
        <v>1</v>
      </c>
      <c r="AA366" s="216">
        <f t="shared" si="259"/>
        <v>0</v>
      </c>
      <c r="AB366" s="72">
        <f t="shared" si="266"/>
        <v>50215.72519964027</v>
      </c>
      <c r="AC366" s="72">
        <f t="shared" si="239"/>
        <v>0</v>
      </c>
      <c r="AD366" s="72">
        <f t="shared" si="240"/>
        <v>0</v>
      </c>
      <c r="AE366" s="72">
        <f t="shared" si="260"/>
        <v>-38.374240462863213</v>
      </c>
      <c r="AF366" s="70">
        <f t="shared" si="241"/>
        <v>0</v>
      </c>
      <c r="AG366" s="70">
        <f t="shared" si="242"/>
        <v>892.75895856098214</v>
      </c>
      <c r="AH366" s="1">
        <f t="shared" si="274"/>
        <v>0</v>
      </c>
      <c r="AI366" s="1">
        <f t="shared" si="274"/>
        <v>0</v>
      </c>
      <c r="AJ366" s="1">
        <f t="shared" si="274"/>
        <v>0</v>
      </c>
      <c r="AK366" s="1">
        <f t="shared" si="274"/>
        <v>0</v>
      </c>
      <c r="AL366" s="1">
        <f t="shared" si="274"/>
        <v>0</v>
      </c>
      <c r="AM366" s="1">
        <f t="shared" si="274"/>
        <v>0</v>
      </c>
      <c r="AN366" s="1">
        <f t="shared" si="274"/>
        <v>0</v>
      </c>
      <c r="AO366" s="1">
        <f t="shared" si="274"/>
        <v>0</v>
      </c>
      <c r="AP366" s="1">
        <f t="shared" si="274"/>
        <v>1</v>
      </c>
      <c r="AQ366" s="1">
        <f t="shared" si="274"/>
        <v>1</v>
      </c>
      <c r="AR366" s="1">
        <f t="shared" si="274"/>
        <v>1</v>
      </c>
      <c r="AS366" s="1">
        <f t="shared" si="274"/>
        <v>1</v>
      </c>
      <c r="AT366" s="39">
        <f t="shared" si="243"/>
        <v>184280.2857429946</v>
      </c>
      <c r="AU366" s="39">
        <f t="shared" si="261"/>
        <v>184280.2857429946</v>
      </c>
      <c r="AV366" s="39">
        <f t="shared" si="271"/>
        <v>0</v>
      </c>
      <c r="AW366" s="3">
        <f t="shared" si="244"/>
        <v>292</v>
      </c>
      <c r="AX366" s="69">
        <f t="shared" si="262"/>
        <v>0</v>
      </c>
      <c r="AY366" s="75">
        <f t="shared" si="245"/>
        <v>0</v>
      </c>
      <c r="AZ366" s="75">
        <f t="shared" si="246"/>
        <v>0</v>
      </c>
      <c r="BA366" s="75">
        <f t="shared" si="247"/>
        <v>0</v>
      </c>
      <c r="BB366" s="75">
        <f t="shared" si="248"/>
        <v>0</v>
      </c>
      <c r="BD366" s="214">
        <f t="shared" si="263"/>
        <v>251790.02297778666</v>
      </c>
      <c r="BE366" s="214">
        <f t="shared" si="249"/>
        <v>1225.6006686932647</v>
      </c>
      <c r="BF366" s="214">
        <f t="shared" si="250"/>
        <v>-416.63479310702161</v>
      </c>
      <c r="BG366" s="224">
        <f t="shared" si="267"/>
        <v>0</v>
      </c>
      <c r="BH366" s="19">
        <f t="shared" si="264"/>
        <v>406746.36117295967</v>
      </c>
      <c r="BI366" s="214">
        <f t="shared" si="251"/>
        <v>1979.8584802786677</v>
      </c>
      <c r="BJ366" s="214">
        <f t="shared" si="252"/>
        <v>0</v>
      </c>
      <c r="BK366" s="19">
        <f t="shared" si="268"/>
        <v>0</v>
      </c>
    </row>
    <row r="367" spans="1:63">
      <c r="A367" s="165">
        <f t="shared" si="253"/>
        <v>86.389459274469544</v>
      </c>
      <c r="B367" s="69">
        <f t="shared" si="254"/>
        <v>25</v>
      </c>
      <c r="C367" s="70">
        <f t="shared" si="255"/>
        <v>293</v>
      </c>
      <c r="D367" s="13">
        <f t="shared" si="224"/>
        <v>4.8675505653430484E-3</v>
      </c>
      <c r="E367" s="15">
        <f t="shared" si="225"/>
        <v>1</v>
      </c>
      <c r="F367" s="15">
        <f t="shared" si="256"/>
        <v>0</v>
      </c>
      <c r="G367" s="15">
        <f t="shared" si="226"/>
        <v>0</v>
      </c>
      <c r="H367" s="73">
        <f t="shared" si="227"/>
        <v>0</v>
      </c>
      <c r="I367" s="189"/>
      <c r="J367" s="189"/>
      <c r="K367" s="5">
        <f t="shared" si="269"/>
        <v>184280.2857429946</v>
      </c>
      <c r="M367" s="5">
        <f t="shared" si="228"/>
        <v>896.99360904989192</v>
      </c>
      <c r="N367" s="5">
        <f t="shared" si="229"/>
        <v>-304.92700948285318</v>
      </c>
      <c r="O367" s="5">
        <f t="shared" si="230"/>
        <v>0</v>
      </c>
      <c r="P367" s="5">
        <f t="shared" si="231"/>
        <v>0</v>
      </c>
      <c r="Q367" s="5">
        <f t="shared" si="265"/>
        <v>0</v>
      </c>
      <c r="R367" s="5">
        <f t="shared" si="257"/>
        <v>0</v>
      </c>
      <c r="S367" s="5">
        <f t="shared" si="232"/>
        <v>0</v>
      </c>
      <c r="T367" s="5">
        <f t="shared" si="233"/>
        <v>0</v>
      </c>
      <c r="U367" s="74">
        <f t="shared" si="234"/>
        <v>0</v>
      </c>
      <c r="V367" s="75">
        <f t="shared" si="235"/>
        <v>0</v>
      </c>
      <c r="W367" s="5">
        <f t="shared" si="236"/>
        <v>0</v>
      </c>
      <c r="X367" s="5">
        <f t="shared" si="237"/>
        <v>184872.35234256164</v>
      </c>
      <c r="Y367" s="5">
        <f t="shared" si="258"/>
        <v>100000</v>
      </c>
      <c r="Z367" s="215">
        <f t="shared" si="238"/>
        <v>1</v>
      </c>
      <c r="AA367" s="216">
        <f t="shared" si="259"/>
        <v>0</v>
      </c>
      <c r="AB367" s="72">
        <f t="shared" si="266"/>
        <v>50215.72519964027</v>
      </c>
      <c r="AC367" s="72">
        <f t="shared" si="239"/>
        <v>0</v>
      </c>
      <c r="AD367" s="72">
        <f t="shared" si="240"/>
        <v>0</v>
      </c>
      <c r="AE367" s="72">
        <f t="shared" si="260"/>
        <v>-38.497531491907424</v>
      </c>
      <c r="AF367" s="70">
        <f t="shared" si="241"/>
        <v>0</v>
      </c>
      <c r="AG367" s="70">
        <f t="shared" si="242"/>
        <v>1117.7442663964539</v>
      </c>
      <c r="AH367" s="1">
        <f t="shared" si="274"/>
        <v>0</v>
      </c>
      <c r="AI367" s="1">
        <f t="shared" si="274"/>
        <v>0</v>
      </c>
      <c r="AJ367" s="1">
        <f t="shared" si="274"/>
        <v>0</v>
      </c>
      <c r="AK367" s="1">
        <f t="shared" si="274"/>
        <v>0</v>
      </c>
      <c r="AL367" s="1">
        <f t="shared" si="274"/>
        <v>0</v>
      </c>
      <c r="AM367" s="1">
        <f t="shared" si="274"/>
        <v>0</v>
      </c>
      <c r="AN367" s="1">
        <f t="shared" si="274"/>
        <v>0</v>
      </c>
      <c r="AO367" s="1">
        <f t="shared" si="274"/>
        <v>0</v>
      </c>
      <c r="AP367" s="1">
        <f t="shared" si="274"/>
        <v>1</v>
      </c>
      <c r="AQ367" s="1">
        <f t="shared" si="274"/>
        <v>1</v>
      </c>
      <c r="AR367" s="1">
        <f t="shared" si="274"/>
        <v>1</v>
      </c>
      <c r="AS367" s="1">
        <f t="shared" si="274"/>
        <v>1</v>
      </c>
      <c r="AT367" s="39">
        <f t="shared" si="243"/>
        <v>184872.35234256164</v>
      </c>
      <c r="AU367" s="39">
        <f t="shared" si="261"/>
        <v>184872.35234256164</v>
      </c>
      <c r="AV367" s="39">
        <f t="shared" si="271"/>
        <v>0</v>
      </c>
      <c r="AW367" s="3">
        <f t="shared" si="244"/>
        <v>293</v>
      </c>
      <c r="AX367" s="69">
        <f t="shared" si="262"/>
        <v>0</v>
      </c>
      <c r="AY367" s="75">
        <f t="shared" si="245"/>
        <v>0</v>
      </c>
      <c r="AZ367" s="75">
        <f t="shared" si="246"/>
        <v>0</v>
      </c>
      <c r="BA367" s="75">
        <f t="shared" si="247"/>
        <v>0</v>
      </c>
      <c r="BB367" s="75">
        <f t="shared" si="248"/>
        <v>0</v>
      </c>
      <c r="BD367" s="214">
        <f t="shared" si="263"/>
        <v>252598.9888533729</v>
      </c>
      <c r="BE367" s="214">
        <f t="shared" si="249"/>
        <v>1229.5383509983176</v>
      </c>
      <c r="BF367" s="214">
        <f t="shared" si="250"/>
        <v>-417.97338200827937</v>
      </c>
      <c r="BG367" s="224">
        <f t="shared" si="267"/>
        <v>0</v>
      </c>
      <c r="BH367" s="19">
        <f t="shared" si="264"/>
        <v>408726.21965323837</v>
      </c>
      <c r="BI367" s="214">
        <f t="shared" si="251"/>
        <v>1989.4955415436475</v>
      </c>
      <c r="BJ367" s="214">
        <f t="shared" si="252"/>
        <v>0</v>
      </c>
      <c r="BK367" s="19">
        <f t="shared" si="268"/>
        <v>0</v>
      </c>
    </row>
    <row r="368" spans="1:63">
      <c r="A368" s="165">
        <f t="shared" si="253"/>
        <v>86.472792607802873</v>
      </c>
      <c r="B368" s="69">
        <f t="shared" si="254"/>
        <v>25</v>
      </c>
      <c r="C368" s="70">
        <f t="shared" si="255"/>
        <v>294</v>
      </c>
      <c r="D368" s="13">
        <f t="shared" si="224"/>
        <v>4.8675505653430484E-3</v>
      </c>
      <c r="E368" s="15">
        <f t="shared" si="225"/>
        <v>1</v>
      </c>
      <c r="F368" s="15">
        <f t="shared" si="256"/>
        <v>0</v>
      </c>
      <c r="G368" s="15">
        <f t="shared" si="226"/>
        <v>0</v>
      </c>
      <c r="H368" s="73">
        <f t="shared" si="227"/>
        <v>0</v>
      </c>
      <c r="I368" s="189"/>
      <c r="J368" s="189"/>
      <c r="K368" s="5">
        <f t="shared" si="269"/>
        <v>184872.35234256164</v>
      </c>
      <c r="M368" s="5">
        <f t="shared" si="228"/>
        <v>899.8755231613352</v>
      </c>
      <c r="N368" s="5">
        <f t="shared" si="229"/>
        <v>-305.90669701097244</v>
      </c>
      <c r="O368" s="5">
        <f t="shared" si="230"/>
        <v>0</v>
      </c>
      <c r="P368" s="5">
        <f t="shared" si="231"/>
        <v>0</v>
      </c>
      <c r="Q368" s="5">
        <f t="shared" si="265"/>
        <v>0</v>
      </c>
      <c r="R368" s="5">
        <f t="shared" si="257"/>
        <v>0</v>
      </c>
      <c r="S368" s="5">
        <f t="shared" si="232"/>
        <v>0</v>
      </c>
      <c r="T368" s="5">
        <f t="shared" si="233"/>
        <v>0</v>
      </c>
      <c r="U368" s="74">
        <f t="shared" si="234"/>
        <v>0</v>
      </c>
      <c r="V368" s="75">
        <f t="shared" si="235"/>
        <v>0</v>
      </c>
      <c r="W368" s="5">
        <f t="shared" si="236"/>
        <v>0</v>
      </c>
      <c r="X368" s="5">
        <f t="shared" si="237"/>
        <v>185466.32116871202</v>
      </c>
      <c r="Y368" s="5">
        <f t="shared" si="258"/>
        <v>100000</v>
      </c>
      <c r="Z368" s="215">
        <f t="shared" si="238"/>
        <v>1</v>
      </c>
      <c r="AA368" s="216">
        <f t="shared" si="259"/>
        <v>0</v>
      </c>
      <c r="AB368" s="72">
        <f t="shared" si="266"/>
        <v>50215.72519964027</v>
      </c>
      <c r="AC368" s="72">
        <f t="shared" si="239"/>
        <v>0</v>
      </c>
      <c r="AD368" s="72">
        <f t="shared" si="240"/>
        <v>0</v>
      </c>
      <c r="AE368" s="72">
        <f t="shared" si="260"/>
        <v>-38.62121863766064</v>
      </c>
      <c r="AF368" s="70">
        <f t="shared" si="241"/>
        <v>0</v>
      </c>
      <c r="AG368" s="70">
        <f t="shared" si="242"/>
        <v>1343.4524203335968</v>
      </c>
      <c r="AH368" s="1">
        <f t="shared" si="274"/>
        <v>0</v>
      </c>
      <c r="AI368" s="1">
        <f t="shared" si="274"/>
        <v>0</v>
      </c>
      <c r="AJ368" s="1">
        <f t="shared" si="274"/>
        <v>0</v>
      </c>
      <c r="AK368" s="1">
        <f t="shared" si="274"/>
        <v>0</v>
      </c>
      <c r="AL368" s="1">
        <f t="shared" si="274"/>
        <v>0</v>
      </c>
      <c r="AM368" s="1">
        <f t="shared" si="274"/>
        <v>0</v>
      </c>
      <c r="AN368" s="1">
        <f t="shared" si="274"/>
        <v>0</v>
      </c>
      <c r="AO368" s="1">
        <f t="shared" si="274"/>
        <v>0</v>
      </c>
      <c r="AP368" s="1">
        <f t="shared" si="274"/>
        <v>1</v>
      </c>
      <c r="AQ368" s="1">
        <f t="shared" si="274"/>
        <v>1</v>
      </c>
      <c r="AR368" s="1">
        <f t="shared" si="274"/>
        <v>1</v>
      </c>
      <c r="AS368" s="1">
        <f t="shared" si="274"/>
        <v>1</v>
      </c>
      <c r="AT368" s="39">
        <f t="shared" si="243"/>
        <v>185466.32116871202</v>
      </c>
      <c r="AU368" s="39">
        <f t="shared" si="261"/>
        <v>185466.32116871202</v>
      </c>
      <c r="AV368" s="39">
        <f t="shared" si="271"/>
        <v>0</v>
      </c>
      <c r="AW368" s="3">
        <f t="shared" si="244"/>
        <v>294</v>
      </c>
      <c r="AX368" s="69">
        <f t="shared" si="262"/>
        <v>0</v>
      </c>
      <c r="AY368" s="75">
        <f t="shared" si="245"/>
        <v>0</v>
      </c>
      <c r="AZ368" s="75">
        <f t="shared" si="246"/>
        <v>0</v>
      </c>
      <c r="BA368" s="75">
        <f t="shared" si="247"/>
        <v>0</v>
      </c>
      <c r="BB368" s="75">
        <f t="shared" si="248"/>
        <v>0</v>
      </c>
      <c r="BD368" s="214">
        <f t="shared" si="263"/>
        <v>253410.55382236291</v>
      </c>
      <c r="BE368" s="214">
        <f t="shared" si="249"/>
        <v>1233.4886845219376</v>
      </c>
      <c r="BF368" s="214">
        <f t="shared" si="250"/>
        <v>-419.31627160711747</v>
      </c>
      <c r="BG368" s="224">
        <f t="shared" si="267"/>
        <v>0</v>
      </c>
      <c r="BH368" s="19">
        <f t="shared" si="264"/>
        <v>410715.71519478201</v>
      </c>
      <c r="BI368" s="214">
        <f t="shared" si="251"/>
        <v>1999.1795116916355</v>
      </c>
      <c r="BJ368" s="214">
        <f t="shared" si="252"/>
        <v>0</v>
      </c>
      <c r="BK368" s="19">
        <f t="shared" si="268"/>
        <v>0</v>
      </c>
    </row>
    <row r="369" spans="1:63">
      <c r="A369" s="165">
        <f t="shared" si="253"/>
        <v>86.556125941136202</v>
      </c>
      <c r="B369" s="69">
        <f t="shared" si="254"/>
        <v>25</v>
      </c>
      <c r="C369" s="70">
        <f t="shared" si="255"/>
        <v>295</v>
      </c>
      <c r="D369" s="13">
        <f t="shared" si="224"/>
        <v>4.8675505653430484E-3</v>
      </c>
      <c r="E369" s="15">
        <f t="shared" si="225"/>
        <v>1</v>
      </c>
      <c r="F369" s="15">
        <f t="shared" si="256"/>
        <v>0</v>
      </c>
      <c r="G369" s="15">
        <f t="shared" si="226"/>
        <v>0</v>
      </c>
      <c r="H369" s="73">
        <f t="shared" si="227"/>
        <v>0</v>
      </c>
      <c r="I369" s="189"/>
      <c r="J369" s="189"/>
      <c r="K369" s="5">
        <f t="shared" si="269"/>
        <v>185466.32116871202</v>
      </c>
      <c r="M369" s="5">
        <f t="shared" si="228"/>
        <v>902.76669645685956</v>
      </c>
      <c r="N369" s="5">
        <f t="shared" si="229"/>
        <v>-306.88953213711648</v>
      </c>
      <c r="O369" s="5">
        <f t="shared" si="230"/>
        <v>0</v>
      </c>
      <c r="P369" s="5">
        <f t="shared" si="231"/>
        <v>0</v>
      </c>
      <c r="Q369" s="5">
        <f t="shared" si="265"/>
        <v>0</v>
      </c>
      <c r="R369" s="5">
        <f t="shared" si="257"/>
        <v>0</v>
      </c>
      <c r="S369" s="5">
        <f t="shared" si="232"/>
        <v>0</v>
      </c>
      <c r="T369" s="5">
        <f t="shared" si="233"/>
        <v>0</v>
      </c>
      <c r="U369" s="74">
        <f t="shared" si="234"/>
        <v>0</v>
      </c>
      <c r="V369" s="75">
        <f t="shared" si="235"/>
        <v>0</v>
      </c>
      <c r="W369" s="5">
        <f t="shared" si="236"/>
        <v>0</v>
      </c>
      <c r="X369" s="5">
        <f t="shared" si="237"/>
        <v>186062.19833303176</v>
      </c>
      <c r="Y369" s="5">
        <f t="shared" si="258"/>
        <v>100000</v>
      </c>
      <c r="Z369" s="215">
        <f t="shared" si="238"/>
        <v>1</v>
      </c>
      <c r="AA369" s="216">
        <f t="shared" si="259"/>
        <v>0</v>
      </c>
      <c r="AB369" s="72">
        <f t="shared" si="266"/>
        <v>50215.72519964027</v>
      </c>
      <c r="AC369" s="72">
        <f t="shared" si="239"/>
        <v>0</v>
      </c>
      <c r="AD369" s="72">
        <f t="shared" si="240"/>
        <v>0</v>
      </c>
      <c r="AE369" s="72">
        <f t="shared" si="260"/>
        <v>-38.745303172790059</v>
      </c>
      <c r="AF369" s="70">
        <f t="shared" si="241"/>
        <v>0</v>
      </c>
      <c r="AG369" s="70">
        <f t="shared" si="242"/>
        <v>1569.8857427750991</v>
      </c>
      <c r="AH369" s="1">
        <f t="shared" si="274"/>
        <v>0</v>
      </c>
      <c r="AI369" s="1">
        <f t="shared" si="274"/>
        <v>0</v>
      </c>
      <c r="AJ369" s="1">
        <f t="shared" si="274"/>
        <v>0</v>
      </c>
      <c r="AK369" s="1">
        <f t="shared" si="274"/>
        <v>0</v>
      </c>
      <c r="AL369" s="1">
        <f t="shared" si="274"/>
        <v>0</v>
      </c>
      <c r="AM369" s="1">
        <f t="shared" si="274"/>
        <v>0</v>
      </c>
      <c r="AN369" s="1">
        <f t="shared" si="274"/>
        <v>0</v>
      </c>
      <c r="AO369" s="1">
        <f t="shared" si="274"/>
        <v>0</v>
      </c>
      <c r="AP369" s="1">
        <f t="shared" si="274"/>
        <v>1</v>
      </c>
      <c r="AQ369" s="1">
        <f t="shared" si="274"/>
        <v>1</v>
      </c>
      <c r="AR369" s="1">
        <f t="shared" si="274"/>
        <v>1</v>
      </c>
      <c r="AS369" s="1">
        <f t="shared" si="274"/>
        <v>1</v>
      </c>
      <c r="AT369" s="39">
        <f t="shared" si="243"/>
        <v>186062.19833303176</v>
      </c>
      <c r="AU369" s="39">
        <f t="shared" si="261"/>
        <v>186062.19833303176</v>
      </c>
      <c r="AV369" s="39">
        <f t="shared" si="271"/>
        <v>0</v>
      </c>
      <c r="AW369" s="3">
        <f t="shared" si="244"/>
        <v>295</v>
      </c>
      <c r="AX369" s="69">
        <f t="shared" si="262"/>
        <v>0</v>
      </c>
      <c r="AY369" s="75">
        <f t="shared" si="245"/>
        <v>0</v>
      </c>
      <c r="AZ369" s="75">
        <f t="shared" si="246"/>
        <v>0</v>
      </c>
      <c r="BA369" s="75">
        <f t="shared" si="247"/>
        <v>0</v>
      </c>
      <c r="BB369" s="75">
        <f t="shared" si="248"/>
        <v>0</v>
      </c>
      <c r="BD369" s="214">
        <f t="shared" si="263"/>
        <v>254224.72623527772</v>
      </c>
      <c r="BE369" s="214">
        <f t="shared" si="249"/>
        <v>1237.4517099107077</v>
      </c>
      <c r="BF369" s="214">
        <f t="shared" si="250"/>
        <v>-420.66347572107128</v>
      </c>
      <c r="BG369" s="224">
        <f t="shared" si="267"/>
        <v>0</v>
      </c>
      <c r="BH369" s="19">
        <f t="shared" si="264"/>
        <v>412714.89470647363</v>
      </c>
      <c r="BI369" s="214">
        <f t="shared" si="251"/>
        <v>2008.9106190539924</v>
      </c>
      <c r="BJ369" s="214">
        <f t="shared" si="252"/>
        <v>0</v>
      </c>
      <c r="BK369" s="19">
        <f t="shared" si="268"/>
        <v>0</v>
      </c>
    </row>
    <row r="370" spans="1:63">
      <c r="A370" s="165">
        <f t="shared" si="253"/>
        <v>86.639459274469544</v>
      </c>
      <c r="B370" s="69">
        <f t="shared" si="254"/>
        <v>25</v>
      </c>
      <c r="C370" s="70">
        <f t="shared" si="255"/>
        <v>296</v>
      </c>
      <c r="D370" s="13">
        <f t="shared" si="224"/>
        <v>4.8675505653430484E-3</v>
      </c>
      <c r="E370" s="15">
        <f t="shared" si="225"/>
        <v>1</v>
      </c>
      <c r="F370" s="15">
        <f t="shared" si="256"/>
        <v>0</v>
      </c>
      <c r="G370" s="15">
        <f t="shared" si="226"/>
        <v>0</v>
      </c>
      <c r="H370" s="73">
        <f t="shared" si="227"/>
        <v>0</v>
      </c>
      <c r="I370" s="189"/>
      <c r="J370" s="189"/>
      <c r="K370" s="5">
        <f t="shared" si="269"/>
        <v>186062.19833303176</v>
      </c>
      <c r="M370" s="5">
        <f t="shared" si="228"/>
        <v>905.66715868491917</v>
      </c>
      <c r="N370" s="5">
        <f t="shared" si="229"/>
        <v>-307.87552497407432</v>
      </c>
      <c r="O370" s="5">
        <f t="shared" si="230"/>
        <v>0</v>
      </c>
      <c r="P370" s="5">
        <f t="shared" si="231"/>
        <v>0</v>
      </c>
      <c r="Q370" s="5">
        <f t="shared" si="265"/>
        <v>0</v>
      </c>
      <c r="R370" s="5">
        <f t="shared" si="257"/>
        <v>0</v>
      </c>
      <c r="S370" s="5">
        <f t="shared" si="232"/>
        <v>0</v>
      </c>
      <c r="T370" s="5">
        <f t="shared" si="233"/>
        <v>0</v>
      </c>
      <c r="U370" s="74">
        <f t="shared" si="234"/>
        <v>0</v>
      </c>
      <c r="V370" s="75">
        <f t="shared" si="235"/>
        <v>0</v>
      </c>
      <c r="W370" s="5">
        <f t="shared" si="236"/>
        <v>0</v>
      </c>
      <c r="X370" s="5">
        <f t="shared" si="237"/>
        <v>186659.98996674261</v>
      </c>
      <c r="Y370" s="5">
        <f t="shared" si="258"/>
        <v>100000</v>
      </c>
      <c r="Z370" s="215">
        <f t="shared" si="238"/>
        <v>1</v>
      </c>
      <c r="AA370" s="216">
        <f t="shared" si="259"/>
        <v>0</v>
      </c>
      <c r="AB370" s="72">
        <f t="shared" si="266"/>
        <v>50215.72519964027</v>
      </c>
      <c r="AC370" s="72">
        <f t="shared" si="239"/>
        <v>0</v>
      </c>
      <c r="AD370" s="72">
        <f t="shared" si="240"/>
        <v>0</v>
      </c>
      <c r="AE370" s="72">
        <f t="shared" si="260"/>
        <v>-38.869786374051756</v>
      </c>
      <c r="AF370" s="70">
        <f t="shared" si="241"/>
        <v>0</v>
      </c>
      <c r="AG370" s="70">
        <f t="shared" si="242"/>
        <v>1797.0465635852233</v>
      </c>
      <c r="AH370" s="1">
        <f t="shared" si="274"/>
        <v>0</v>
      </c>
      <c r="AI370" s="1">
        <f t="shared" si="274"/>
        <v>0</v>
      </c>
      <c r="AJ370" s="1">
        <f t="shared" si="274"/>
        <v>0</v>
      </c>
      <c r="AK370" s="1">
        <f t="shared" si="274"/>
        <v>0</v>
      </c>
      <c r="AL370" s="1">
        <f t="shared" si="274"/>
        <v>0</v>
      </c>
      <c r="AM370" s="1">
        <f t="shared" si="274"/>
        <v>0</v>
      </c>
      <c r="AN370" s="1">
        <f t="shared" si="274"/>
        <v>0</v>
      </c>
      <c r="AO370" s="1">
        <f t="shared" si="274"/>
        <v>0</v>
      </c>
      <c r="AP370" s="1">
        <f t="shared" si="274"/>
        <v>1</v>
      </c>
      <c r="AQ370" s="1">
        <f t="shared" si="274"/>
        <v>1</v>
      </c>
      <c r="AR370" s="1">
        <f t="shared" si="274"/>
        <v>1</v>
      </c>
      <c r="AS370" s="1">
        <f t="shared" si="274"/>
        <v>1</v>
      </c>
      <c r="AT370" s="39">
        <f t="shared" si="243"/>
        <v>186659.98996674261</v>
      </c>
      <c r="AU370" s="39">
        <f t="shared" si="261"/>
        <v>186659.98996674261</v>
      </c>
      <c r="AV370" s="39">
        <f t="shared" si="271"/>
        <v>0</v>
      </c>
      <c r="AW370" s="3">
        <f t="shared" si="244"/>
        <v>296</v>
      </c>
      <c r="AX370" s="69">
        <f t="shared" si="262"/>
        <v>0</v>
      </c>
      <c r="AY370" s="75">
        <f t="shared" si="245"/>
        <v>0</v>
      </c>
      <c r="AZ370" s="75">
        <f t="shared" si="246"/>
        <v>0</v>
      </c>
      <c r="BA370" s="75">
        <f t="shared" si="247"/>
        <v>0</v>
      </c>
      <c r="BB370" s="75">
        <f t="shared" si="248"/>
        <v>0</v>
      </c>
      <c r="BD370" s="214">
        <f t="shared" si="263"/>
        <v>255041.51446946734</v>
      </c>
      <c r="BE370" s="214">
        <f t="shared" si="249"/>
        <v>1241.4274679418029</v>
      </c>
      <c r="BF370" s="214">
        <f t="shared" si="250"/>
        <v>-422.0150082120702</v>
      </c>
      <c r="BG370" s="224">
        <f t="shared" si="267"/>
        <v>0</v>
      </c>
      <c r="BH370" s="19">
        <f t="shared" si="264"/>
        <v>414723.80532552762</v>
      </c>
      <c r="BI370" s="214">
        <f t="shared" si="251"/>
        <v>2018.6890930734924</v>
      </c>
      <c r="BJ370" s="214">
        <f t="shared" si="252"/>
        <v>0</v>
      </c>
      <c r="BK370" s="19">
        <f t="shared" si="268"/>
        <v>0</v>
      </c>
    </row>
    <row r="371" spans="1:63">
      <c r="A371" s="165">
        <f t="shared" si="253"/>
        <v>86.722792607802873</v>
      </c>
      <c r="B371" s="69">
        <f t="shared" si="254"/>
        <v>25</v>
      </c>
      <c r="C371" s="70">
        <f t="shared" si="255"/>
        <v>297</v>
      </c>
      <c r="D371" s="13">
        <f t="shared" si="224"/>
        <v>4.8675505653430484E-3</v>
      </c>
      <c r="E371" s="15">
        <f t="shared" si="225"/>
        <v>1</v>
      </c>
      <c r="F371" s="15">
        <f t="shared" si="256"/>
        <v>0</v>
      </c>
      <c r="G371" s="15">
        <f t="shared" si="226"/>
        <v>0</v>
      </c>
      <c r="H371" s="73">
        <f t="shared" si="227"/>
        <v>0</v>
      </c>
      <c r="I371" s="189"/>
      <c r="J371" s="189"/>
      <c r="K371" s="5">
        <f t="shared" si="269"/>
        <v>186659.98996674261</v>
      </c>
      <c r="M371" s="5">
        <f t="shared" si="228"/>
        <v>908.57693968954572</v>
      </c>
      <c r="N371" s="5">
        <f t="shared" si="229"/>
        <v>-308.86468566712608</v>
      </c>
      <c r="O371" s="5">
        <f t="shared" si="230"/>
        <v>0</v>
      </c>
      <c r="P371" s="5">
        <f t="shared" si="231"/>
        <v>0</v>
      </c>
      <c r="Q371" s="5">
        <f t="shared" si="265"/>
        <v>0</v>
      </c>
      <c r="R371" s="5">
        <f t="shared" si="257"/>
        <v>0</v>
      </c>
      <c r="S371" s="5">
        <f t="shared" si="232"/>
        <v>0</v>
      </c>
      <c r="T371" s="5">
        <f t="shared" si="233"/>
        <v>0</v>
      </c>
      <c r="U371" s="74">
        <f t="shared" si="234"/>
        <v>0</v>
      </c>
      <c r="V371" s="75">
        <f t="shared" si="235"/>
        <v>0</v>
      </c>
      <c r="W371" s="5">
        <f t="shared" si="236"/>
        <v>0</v>
      </c>
      <c r="X371" s="5">
        <f t="shared" si="237"/>
        <v>187259.70222076503</v>
      </c>
      <c r="Y371" s="5">
        <f t="shared" si="258"/>
        <v>100000</v>
      </c>
      <c r="Z371" s="215">
        <f t="shared" si="238"/>
        <v>1</v>
      </c>
      <c r="AA371" s="216">
        <f t="shared" si="259"/>
        <v>0</v>
      </c>
      <c r="AB371" s="72">
        <f t="shared" si="266"/>
        <v>50215.72519964027</v>
      </c>
      <c r="AC371" s="72">
        <f t="shared" si="239"/>
        <v>0</v>
      </c>
      <c r="AD371" s="72">
        <f t="shared" si="240"/>
        <v>0</v>
      </c>
      <c r="AE371" s="72">
        <f t="shared" si="260"/>
        <v>-38.994669522303852</v>
      </c>
      <c r="AF371" s="70">
        <f t="shared" si="241"/>
        <v>0</v>
      </c>
      <c r="AG371" s="70">
        <f t="shared" si="242"/>
        <v>2024.9372201137448</v>
      </c>
      <c r="AH371" s="1">
        <f t="shared" si="274"/>
        <v>0</v>
      </c>
      <c r="AI371" s="1">
        <f t="shared" si="274"/>
        <v>0</v>
      </c>
      <c r="AJ371" s="1">
        <f t="shared" si="274"/>
        <v>0</v>
      </c>
      <c r="AK371" s="1">
        <f t="shared" si="274"/>
        <v>0</v>
      </c>
      <c r="AL371" s="1">
        <f t="shared" si="274"/>
        <v>0</v>
      </c>
      <c r="AM371" s="1">
        <f t="shared" si="274"/>
        <v>0</v>
      </c>
      <c r="AN371" s="1">
        <f t="shared" si="274"/>
        <v>0</v>
      </c>
      <c r="AO371" s="1">
        <f t="shared" si="274"/>
        <v>0</v>
      </c>
      <c r="AP371" s="1">
        <f t="shared" si="274"/>
        <v>1</v>
      </c>
      <c r="AQ371" s="1">
        <f t="shared" si="274"/>
        <v>1</v>
      </c>
      <c r="AR371" s="1">
        <f t="shared" si="274"/>
        <v>1</v>
      </c>
      <c r="AS371" s="1">
        <f t="shared" si="274"/>
        <v>1</v>
      </c>
      <c r="AT371" s="39">
        <f t="shared" si="243"/>
        <v>187259.70222076503</v>
      </c>
      <c r="AU371" s="39">
        <f t="shared" si="261"/>
        <v>187259.70222076503</v>
      </c>
      <c r="AV371" s="39">
        <f t="shared" si="271"/>
        <v>0</v>
      </c>
      <c r="AW371" s="3">
        <f t="shared" si="244"/>
        <v>297</v>
      </c>
      <c r="AX371" s="69">
        <f t="shared" si="262"/>
        <v>0</v>
      </c>
      <c r="AY371" s="75">
        <f t="shared" si="245"/>
        <v>0</v>
      </c>
      <c r="AZ371" s="75">
        <f t="shared" si="246"/>
        <v>0</v>
      </c>
      <c r="BA371" s="75">
        <f t="shared" si="247"/>
        <v>0</v>
      </c>
      <c r="BB371" s="75">
        <f t="shared" si="248"/>
        <v>0</v>
      </c>
      <c r="BD371" s="214">
        <f t="shared" si="263"/>
        <v>255860.92692919707</v>
      </c>
      <c r="BE371" s="214">
        <f t="shared" si="249"/>
        <v>1245.4159995234097</v>
      </c>
      <c r="BF371" s="214">
        <f t="shared" si="250"/>
        <v>-423.37088298657994</v>
      </c>
      <c r="BG371" s="224">
        <f t="shared" si="267"/>
        <v>0</v>
      </c>
      <c r="BH371" s="19">
        <f t="shared" si="264"/>
        <v>416742.4944186011</v>
      </c>
      <c r="BI371" s="214">
        <f t="shared" si="251"/>
        <v>2028.515164309734</v>
      </c>
      <c r="BJ371" s="214">
        <f t="shared" si="252"/>
        <v>0</v>
      </c>
      <c r="BK371" s="19">
        <f t="shared" si="268"/>
        <v>0</v>
      </c>
    </row>
    <row r="372" spans="1:63">
      <c r="A372" s="165">
        <f t="shared" si="253"/>
        <v>86.806125941136202</v>
      </c>
      <c r="B372" s="69">
        <f t="shared" si="254"/>
        <v>25</v>
      </c>
      <c r="C372" s="70">
        <f t="shared" si="255"/>
        <v>298</v>
      </c>
      <c r="D372" s="13">
        <f t="shared" si="224"/>
        <v>4.8675505653430484E-3</v>
      </c>
      <c r="E372" s="15">
        <f t="shared" si="225"/>
        <v>1</v>
      </c>
      <c r="F372" s="15">
        <f t="shared" si="256"/>
        <v>0</v>
      </c>
      <c r="G372" s="15">
        <f t="shared" si="226"/>
        <v>0</v>
      </c>
      <c r="H372" s="73">
        <f t="shared" si="227"/>
        <v>0</v>
      </c>
      <c r="I372" s="189"/>
      <c r="J372" s="189"/>
      <c r="K372" s="5">
        <f t="shared" si="269"/>
        <v>187259.70222076503</v>
      </c>
      <c r="M372" s="5">
        <f t="shared" si="228"/>
        <v>911.49606941065576</v>
      </c>
      <c r="N372" s="5">
        <f t="shared" si="229"/>
        <v>-309.85702439414712</v>
      </c>
      <c r="O372" s="5">
        <f t="shared" si="230"/>
        <v>0</v>
      </c>
      <c r="P372" s="5">
        <f t="shared" si="231"/>
        <v>0</v>
      </c>
      <c r="Q372" s="5">
        <f t="shared" si="265"/>
        <v>0</v>
      </c>
      <c r="R372" s="5">
        <f t="shared" si="257"/>
        <v>0</v>
      </c>
      <c r="S372" s="5">
        <f t="shared" si="232"/>
        <v>0</v>
      </c>
      <c r="T372" s="5">
        <f t="shared" si="233"/>
        <v>0</v>
      </c>
      <c r="U372" s="74">
        <f t="shared" si="234"/>
        <v>0</v>
      </c>
      <c r="V372" s="75">
        <f t="shared" si="235"/>
        <v>0</v>
      </c>
      <c r="W372" s="5">
        <f t="shared" si="236"/>
        <v>0</v>
      </c>
      <c r="X372" s="5">
        <f t="shared" si="237"/>
        <v>187861.34126578155</v>
      </c>
      <c r="Y372" s="5">
        <f t="shared" si="258"/>
        <v>100000</v>
      </c>
      <c r="Z372" s="215">
        <f t="shared" si="238"/>
        <v>1</v>
      </c>
      <c r="AA372" s="216">
        <f t="shared" si="259"/>
        <v>0</v>
      </c>
      <c r="AB372" s="72">
        <f t="shared" si="266"/>
        <v>50215.72519964027</v>
      </c>
      <c r="AC372" s="72">
        <f t="shared" si="239"/>
        <v>0</v>
      </c>
      <c r="AD372" s="72">
        <f t="shared" si="240"/>
        <v>0</v>
      </c>
      <c r="AE372" s="72">
        <f t="shared" si="260"/>
        <v>-39.119953902519704</v>
      </c>
      <c r="AF372" s="70">
        <f t="shared" si="241"/>
        <v>0</v>
      </c>
      <c r="AG372" s="70">
        <f t="shared" si="242"/>
        <v>2253.5600572200201</v>
      </c>
      <c r="AH372" s="1">
        <f t="shared" si="274"/>
        <v>0</v>
      </c>
      <c r="AI372" s="1">
        <f t="shared" si="274"/>
        <v>0</v>
      </c>
      <c r="AJ372" s="1">
        <f t="shared" si="274"/>
        <v>0</v>
      </c>
      <c r="AK372" s="1">
        <f t="shared" si="274"/>
        <v>0</v>
      </c>
      <c r="AL372" s="1">
        <f t="shared" si="274"/>
        <v>0</v>
      </c>
      <c r="AM372" s="1">
        <f t="shared" si="274"/>
        <v>0</v>
      </c>
      <c r="AN372" s="1">
        <f t="shared" si="274"/>
        <v>0</v>
      </c>
      <c r="AO372" s="1">
        <f t="shared" si="274"/>
        <v>0</v>
      </c>
      <c r="AP372" s="1">
        <f t="shared" si="274"/>
        <v>1</v>
      </c>
      <c r="AQ372" s="1">
        <f t="shared" si="274"/>
        <v>1</v>
      </c>
      <c r="AR372" s="1">
        <f t="shared" si="274"/>
        <v>1</v>
      </c>
      <c r="AS372" s="1">
        <f t="shared" si="274"/>
        <v>1</v>
      </c>
      <c r="AT372" s="39">
        <f t="shared" si="243"/>
        <v>187861.34126578155</v>
      </c>
      <c r="AU372" s="39">
        <f t="shared" si="261"/>
        <v>187861.34126578155</v>
      </c>
      <c r="AV372" s="39">
        <f t="shared" si="271"/>
        <v>0</v>
      </c>
      <c r="AW372" s="3">
        <f t="shared" si="244"/>
        <v>298</v>
      </c>
      <c r="AX372" s="69">
        <f t="shared" si="262"/>
        <v>0</v>
      </c>
      <c r="AY372" s="75">
        <f t="shared" si="245"/>
        <v>0</v>
      </c>
      <c r="AZ372" s="75">
        <f t="shared" si="246"/>
        <v>0</v>
      </c>
      <c r="BA372" s="75">
        <f t="shared" si="247"/>
        <v>0</v>
      </c>
      <c r="BB372" s="75">
        <f t="shared" si="248"/>
        <v>0</v>
      </c>
      <c r="BD372" s="214">
        <f t="shared" si="263"/>
        <v>256682.97204573391</v>
      </c>
      <c r="BE372" s="214">
        <f t="shared" si="249"/>
        <v>1249.417345695146</v>
      </c>
      <c r="BF372" s="214">
        <f t="shared" si="250"/>
        <v>-424.73111399574577</v>
      </c>
      <c r="BG372" s="224">
        <f t="shared" si="267"/>
        <v>0</v>
      </c>
      <c r="BH372" s="19">
        <f t="shared" si="264"/>
        <v>418771.0095829108</v>
      </c>
      <c r="BI372" s="214">
        <f t="shared" si="251"/>
        <v>2038.3890644445767</v>
      </c>
      <c r="BJ372" s="214">
        <f t="shared" si="252"/>
        <v>0</v>
      </c>
      <c r="BK372" s="19">
        <f t="shared" si="268"/>
        <v>0</v>
      </c>
    </row>
    <row r="373" spans="1:63">
      <c r="A373" s="165">
        <f t="shared" si="253"/>
        <v>86.889459274469544</v>
      </c>
      <c r="B373" s="69">
        <f t="shared" si="254"/>
        <v>25</v>
      </c>
      <c r="C373" s="70">
        <f t="shared" si="255"/>
        <v>299</v>
      </c>
      <c r="D373" s="13">
        <f t="shared" si="224"/>
        <v>4.8675505653430484E-3</v>
      </c>
      <c r="E373" s="15">
        <f t="shared" si="225"/>
        <v>1</v>
      </c>
      <c r="F373" s="15">
        <f t="shared" si="256"/>
        <v>0</v>
      </c>
      <c r="G373" s="15">
        <f t="shared" si="226"/>
        <v>0</v>
      </c>
      <c r="H373" s="73">
        <f t="shared" si="227"/>
        <v>0</v>
      </c>
      <c r="I373" s="189"/>
      <c r="J373" s="189"/>
      <c r="K373" s="5">
        <f t="shared" si="269"/>
        <v>187861.34126578155</v>
      </c>
      <c r="M373" s="5">
        <f t="shared" si="228"/>
        <v>914.42457788435831</v>
      </c>
      <c r="N373" s="5">
        <f t="shared" si="229"/>
        <v>-310.852551365713</v>
      </c>
      <c r="O373" s="5">
        <f t="shared" si="230"/>
        <v>0</v>
      </c>
      <c r="P373" s="5">
        <f t="shared" si="231"/>
        <v>0</v>
      </c>
      <c r="Q373" s="5">
        <f t="shared" si="265"/>
        <v>0</v>
      </c>
      <c r="R373" s="5">
        <f t="shared" si="257"/>
        <v>0</v>
      </c>
      <c r="S373" s="5">
        <f t="shared" si="232"/>
        <v>0</v>
      </c>
      <c r="T373" s="5">
        <f t="shared" si="233"/>
        <v>0</v>
      </c>
      <c r="U373" s="74">
        <f t="shared" si="234"/>
        <v>0</v>
      </c>
      <c r="V373" s="75">
        <f t="shared" si="235"/>
        <v>0</v>
      </c>
      <c r="W373" s="5">
        <f t="shared" si="236"/>
        <v>0</v>
      </c>
      <c r="X373" s="5">
        <f t="shared" si="237"/>
        <v>188464.91329230019</v>
      </c>
      <c r="Y373" s="5">
        <f t="shared" si="258"/>
        <v>100000</v>
      </c>
      <c r="Z373" s="215">
        <f t="shared" si="238"/>
        <v>1</v>
      </c>
      <c r="AA373" s="216">
        <f t="shared" si="259"/>
        <v>0</v>
      </c>
      <c r="AB373" s="72">
        <f t="shared" si="266"/>
        <v>50215.72519964027</v>
      </c>
      <c r="AC373" s="72">
        <f t="shared" si="239"/>
        <v>0</v>
      </c>
      <c r="AD373" s="72">
        <f t="shared" si="240"/>
        <v>0</v>
      </c>
      <c r="AE373" s="72">
        <f t="shared" si="260"/>
        <v>-39.245640803801088</v>
      </c>
      <c r="AF373" s="70">
        <f t="shared" si="241"/>
        <v>0</v>
      </c>
      <c r="AG373" s="70">
        <f t="shared" si="242"/>
        <v>2482.9174272970995</v>
      </c>
      <c r="AH373" s="1">
        <f t="shared" si="274"/>
        <v>0</v>
      </c>
      <c r="AI373" s="1">
        <f t="shared" si="274"/>
        <v>0</v>
      </c>
      <c r="AJ373" s="1">
        <f t="shared" si="274"/>
        <v>0</v>
      </c>
      <c r="AK373" s="1">
        <f t="shared" si="274"/>
        <v>0</v>
      </c>
      <c r="AL373" s="1">
        <f t="shared" si="274"/>
        <v>0</v>
      </c>
      <c r="AM373" s="1">
        <f t="shared" si="274"/>
        <v>0</v>
      </c>
      <c r="AN373" s="1">
        <f t="shared" si="274"/>
        <v>0</v>
      </c>
      <c r="AO373" s="1">
        <f t="shared" si="274"/>
        <v>0</v>
      </c>
      <c r="AP373" s="1">
        <f t="shared" si="274"/>
        <v>1</v>
      </c>
      <c r="AQ373" s="1">
        <f t="shared" si="274"/>
        <v>1</v>
      </c>
      <c r="AR373" s="1">
        <f t="shared" si="274"/>
        <v>1</v>
      </c>
      <c r="AS373" s="1">
        <f t="shared" si="274"/>
        <v>1</v>
      </c>
      <c r="AT373" s="39">
        <f t="shared" si="243"/>
        <v>188464.91329230019</v>
      </c>
      <c r="AU373" s="39">
        <f t="shared" si="261"/>
        <v>188464.91329230019</v>
      </c>
      <c r="AV373" s="39">
        <f t="shared" si="271"/>
        <v>0</v>
      </c>
      <c r="AW373" s="3">
        <f t="shared" si="244"/>
        <v>299</v>
      </c>
      <c r="AX373" s="69">
        <f t="shared" si="262"/>
        <v>0</v>
      </c>
      <c r="AY373" s="75">
        <f t="shared" si="245"/>
        <v>0</v>
      </c>
      <c r="AZ373" s="75">
        <f t="shared" si="246"/>
        <v>0</v>
      </c>
      <c r="BA373" s="75">
        <f t="shared" si="247"/>
        <v>0</v>
      </c>
      <c r="BB373" s="75">
        <f t="shared" si="248"/>
        <v>0</v>
      </c>
      <c r="BD373" s="214">
        <f t="shared" si="263"/>
        <v>257507.65827743331</v>
      </c>
      <c r="BE373" s="214">
        <f t="shared" si="249"/>
        <v>1253.4315476284851</v>
      </c>
      <c r="BF373" s="214">
        <f t="shared" si="250"/>
        <v>-426.09571523553598</v>
      </c>
      <c r="BG373" s="224">
        <f t="shared" si="267"/>
        <v>0</v>
      </c>
      <c r="BH373" s="19">
        <f t="shared" si="264"/>
        <v>420809.39864735538</v>
      </c>
      <c r="BI373" s="214">
        <f t="shared" si="251"/>
        <v>2048.311026287603</v>
      </c>
      <c r="BJ373" s="214">
        <f t="shared" si="252"/>
        <v>0</v>
      </c>
      <c r="BK373" s="19">
        <f t="shared" si="268"/>
        <v>0</v>
      </c>
    </row>
    <row r="374" spans="1:63">
      <c r="A374" s="165">
        <f t="shared" si="253"/>
        <v>86.972792607802873</v>
      </c>
      <c r="B374" s="69">
        <f t="shared" si="254"/>
        <v>25</v>
      </c>
      <c r="C374" s="70">
        <f t="shared" si="255"/>
        <v>300</v>
      </c>
      <c r="D374" s="13">
        <f t="shared" si="224"/>
        <v>4.8675505653430484E-3</v>
      </c>
      <c r="E374" s="15">
        <f t="shared" si="225"/>
        <v>1</v>
      </c>
      <c r="F374" s="15">
        <f t="shared" si="256"/>
        <v>0</v>
      </c>
      <c r="G374" s="15">
        <f t="shared" si="226"/>
        <v>0</v>
      </c>
      <c r="H374" s="73">
        <f t="shared" si="227"/>
        <v>0</v>
      </c>
      <c r="I374" s="189"/>
      <c r="J374" s="189"/>
      <c r="K374" s="5">
        <f t="shared" si="269"/>
        <v>188464.91329230019</v>
      </c>
      <c r="M374" s="5">
        <f t="shared" si="228"/>
        <v>917.36249524326433</v>
      </c>
      <c r="N374" s="5">
        <f t="shared" si="229"/>
        <v>-311.85127682520414</v>
      </c>
      <c r="O374" s="5">
        <f t="shared" si="230"/>
        <v>0</v>
      </c>
      <c r="P374" s="5">
        <f t="shared" si="231"/>
        <v>0</v>
      </c>
      <c r="Q374" s="5">
        <f t="shared" si="265"/>
        <v>0</v>
      </c>
      <c r="R374" s="5">
        <f t="shared" si="257"/>
        <v>0</v>
      </c>
      <c r="S374" s="5">
        <f t="shared" si="232"/>
        <v>0</v>
      </c>
      <c r="T374" s="5">
        <f t="shared" si="233"/>
        <v>0</v>
      </c>
      <c r="U374" s="74">
        <f t="shared" si="234"/>
        <v>0</v>
      </c>
      <c r="V374" s="75">
        <f t="shared" si="235"/>
        <v>0</v>
      </c>
      <c r="W374" s="5">
        <f t="shared" si="236"/>
        <v>0</v>
      </c>
      <c r="X374" s="5">
        <f t="shared" si="237"/>
        <v>189070.42451071824</v>
      </c>
      <c r="Y374" s="5">
        <f t="shared" si="258"/>
        <v>100000</v>
      </c>
      <c r="Z374" s="215">
        <f t="shared" si="238"/>
        <v>1</v>
      </c>
      <c r="AA374" s="216">
        <f t="shared" si="259"/>
        <v>0</v>
      </c>
      <c r="AB374" s="72">
        <f t="shared" si="266"/>
        <v>50215.72519964027</v>
      </c>
      <c r="AC374" s="72">
        <f t="shared" si="239"/>
        <v>0</v>
      </c>
      <c r="AD374" s="72">
        <f t="shared" si="240"/>
        <v>0</v>
      </c>
      <c r="AE374" s="72">
        <f t="shared" si="260"/>
        <v>-39.371731519391481</v>
      </c>
      <c r="AF374" s="70">
        <f t="shared" si="241"/>
        <v>0</v>
      </c>
      <c r="AG374" s="70">
        <f t="shared" si="242"/>
        <v>2713.0116902959635</v>
      </c>
      <c r="AH374" s="1">
        <f t="shared" si="274"/>
        <v>0</v>
      </c>
      <c r="AI374" s="1">
        <f t="shared" si="274"/>
        <v>0</v>
      </c>
      <c r="AJ374" s="1">
        <f t="shared" si="274"/>
        <v>0</v>
      </c>
      <c r="AK374" s="1">
        <f t="shared" si="274"/>
        <v>0</v>
      </c>
      <c r="AL374" s="1">
        <f t="shared" si="274"/>
        <v>0</v>
      </c>
      <c r="AM374" s="1">
        <f t="shared" si="274"/>
        <v>0</v>
      </c>
      <c r="AN374" s="1">
        <f t="shared" si="274"/>
        <v>0</v>
      </c>
      <c r="AO374" s="1">
        <f t="shared" si="274"/>
        <v>0</v>
      </c>
      <c r="AP374" s="1">
        <f t="shared" si="274"/>
        <v>1</v>
      </c>
      <c r="AQ374" s="1">
        <f t="shared" si="274"/>
        <v>1</v>
      </c>
      <c r="AR374" s="1">
        <f t="shared" si="274"/>
        <v>1</v>
      </c>
      <c r="AS374" s="1">
        <f t="shared" si="274"/>
        <v>1</v>
      </c>
      <c r="AT374" s="39">
        <f t="shared" si="243"/>
        <v>189070.42451071824</v>
      </c>
      <c r="AU374" s="39">
        <f t="shared" si="261"/>
        <v>189070.42451071824</v>
      </c>
      <c r="AV374" s="39">
        <f t="shared" si="271"/>
        <v>0</v>
      </c>
      <c r="AW374" s="3">
        <f t="shared" si="244"/>
        <v>300</v>
      </c>
      <c r="AX374" s="69">
        <f t="shared" si="262"/>
        <v>0</v>
      </c>
      <c r="AY374" s="75">
        <f t="shared" si="245"/>
        <v>0</v>
      </c>
      <c r="AZ374" s="75">
        <f t="shared" si="246"/>
        <v>0</v>
      </c>
      <c r="BA374" s="75">
        <f t="shared" si="247"/>
        <v>0</v>
      </c>
      <c r="BB374" s="75">
        <f t="shared" si="248"/>
        <v>0</v>
      </c>
      <c r="BD374" s="214">
        <f t="shared" si="263"/>
        <v>258334.99410982625</v>
      </c>
      <c r="BE374" s="214">
        <f t="shared" si="249"/>
        <v>1257.4586466271778</v>
      </c>
      <c r="BF374" s="214">
        <f t="shared" si="250"/>
        <v>-427.46470074688597</v>
      </c>
      <c r="BG374" s="224">
        <f t="shared" si="267"/>
        <v>0</v>
      </c>
      <c r="BH374" s="19">
        <f t="shared" si="264"/>
        <v>422857.709673643</v>
      </c>
      <c r="BI374" s="214">
        <f t="shared" si="251"/>
        <v>2058.2812837816077</v>
      </c>
      <c r="BJ374" s="214">
        <f t="shared" si="252"/>
        <v>0</v>
      </c>
      <c r="BK374" s="19">
        <f t="shared" si="268"/>
        <v>0</v>
      </c>
    </row>
    <row r="375" spans="1:63">
      <c r="A375" s="165">
        <f t="shared" si="253"/>
        <v>87.056125941136202</v>
      </c>
      <c r="B375" s="69">
        <f t="shared" si="254"/>
        <v>26</v>
      </c>
      <c r="C375" s="70">
        <f t="shared" si="255"/>
        <v>301</v>
      </c>
      <c r="D375" s="13">
        <f t="shared" si="224"/>
        <v>4.8675505653430484E-3</v>
      </c>
      <c r="E375" s="15">
        <f t="shared" si="225"/>
        <v>1</v>
      </c>
      <c r="F375" s="15">
        <f t="shared" si="256"/>
        <v>0</v>
      </c>
      <c r="G375" s="15">
        <f t="shared" si="226"/>
        <v>0</v>
      </c>
      <c r="H375" s="73">
        <f t="shared" si="227"/>
        <v>0</v>
      </c>
      <c r="I375" s="189"/>
      <c r="J375" s="189"/>
      <c r="K375" s="5">
        <f t="shared" si="269"/>
        <v>189070.42451071824</v>
      </c>
      <c r="M375" s="5">
        <f t="shared" si="228"/>
        <v>920.30985171679674</v>
      </c>
      <c r="N375" s="5">
        <f t="shared" si="229"/>
        <v>-312.85321104891182</v>
      </c>
      <c r="O375" s="5">
        <f t="shared" si="230"/>
        <v>0</v>
      </c>
      <c r="P375" s="5">
        <f t="shared" si="231"/>
        <v>0</v>
      </c>
      <c r="Q375" s="5">
        <f t="shared" si="265"/>
        <v>0</v>
      </c>
      <c r="R375" s="5">
        <f t="shared" si="257"/>
        <v>0</v>
      </c>
      <c r="S375" s="5">
        <f t="shared" si="232"/>
        <v>0</v>
      </c>
      <c r="T375" s="5">
        <f t="shared" si="233"/>
        <v>0</v>
      </c>
      <c r="U375" s="74">
        <f t="shared" si="234"/>
        <v>0</v>
      </c>
      <c r="V375" s="75">
        <f t="shared" si="235"/>
        <v>0</v>
      </c>
      <c r="W375" s="5">
        <f t="shared" si="236"/>
        <v>0</v>
      </c>
      <c r="X375" s="5">
        <f t="shared" si="237"/>
        <v>189677.88115138613</v>
      </c>
      <c r="Y375" s="5">
        <f t="shared" si="258"/>
        <v>100000</v>
      </c>
      <c r="Z375" s="215">
        <f t="shared" si="238"/>
        <v>1</v>
      </c>
      <c r="AA375" s="216">
        <f t="shared" si="259"/>
        <v>0</v>
      </c>
      <c r="AB375" s="72">
        <f t="shared" si="266"/>
        <v>50215.72519964027</v>
      </c>
      <c r="AC375" s="72">
        <f t="shared" si="239"/>
        <v>0</v>
      </c>
      <c r="AD375" s="72">
        <f t="shared" si="240"/>
        <v>0</v>
      </c>
      <c r="AE375" s="72">
        <f t="shared" si="260"/>
        <v>-39.498227346689369</v>
      </c>
      <c r="AF375" s="70">
        <f t="shared" si="241"/>
        <v>0</v>
      </c>
      <c r="AG375" s="70">
        <f t="shared" si="242"/>
        <v>2943.8452137497588</v>
      </c>
      <c r="AH375" s="1">
        <f t="shared" ref="AH375:AS384" si="275">IF($B375&lt;=AH$74,1,0)</f>
        <v>0</v>
      </c>
      <c r="AI375" s="1">
        <f t="shared" si="275"/>
        <v>0</v>
      </c>
      <c r="AJ375" s="1">
        <f t="shared" si="275"/>
        <v>0</v>
      </c>
      <c r="AK375" s="1">
        <f t="shared" si="275"/>
        <v>0</v>
      </c>
      <c r="AL375" s="1">
        <f t="shared" si="275"/>
        <v>0</v>
      </c>
      <c r="AM375" s="1">
        <f t="shared" si="275"/>
        <v>0</v>
      </c>
      <c r="AN375" s="1">
        <f t="shared" si="275"/>
        <v>0</v>
      </c>
      <c r="AO375" s="1">
        <f t="shared" si="275"/>
        <v>0</v>
      </c>
      <c r="AP375" s="1">
        <f t="shared" si="275"/>
        <v>0</v>
      </c>
      <c r="AQ375" s="1">
        <f t="shared" si="275"/>
        <v>1</v>
      </c>
      <c r="AR375" s="1">
        <f t="shared" si="275"/>
        <v>1</v>
      </c>
      <c r="AS375" s="1">
        <f t="shared" si="275"/>
        <v>1</v>
      </c>
      <c r="AT375" s="39">
        <f t="shared" si="243"/>
        <v>189677.88115138613</v>
      </c>
      <c r="AU375" s="39">
        <f t="shared" si="261"/>
        <v>189677.88115138613</v>
      </c>
      <c r="AV375" s="39">
        <f t="shared" si="271"/>
        <v>0</v>
      </c>
      <c r="AW375" s="3">
        <f t="shared" si="244"/>
        <v>301</v>
      </c>
      <c r="AX375" s="69">
        <f t="shared" si="262"/>
        <v>0</v>
      </c>
      <c r="AY375" s="75">
        <f t="shared" si="245"/>
        <v>0</v>
      </c>
      <c r="AZ375" s="75">
        <f t="shared" si="246"/>
        <v>0</v>
      </c>
      <c r="BA375" s="75">
        <f t="shared" si="247"/>
        <v>0</v>
      </c>
      <c r="BB375" s="75">
        <f t="shared" si="248"/>
        <v>0</v>
      </c>
      <c r="BD375" s="214">
        <f t="shared" si="263"/>
        <v>259164.98805570655</v>
      </c>
      <c r="BE375" s="214">
        <f t="shared" si="249"/>
        <v>1261.4986841276789</v>
      </c>
      <c r="BF375" s="214">
        <f t="shared" si="250"/>
        <v>-428.8380846158426</v>
      </c>
      <c r="BG375" s="224">
        <f t="shared" si="267"/>
        <v>0</v>
      </c>
      <c r="BH375" s="19">
        <f t="shared" si="264"/>
        <v>424915.99095742463</v>
      </c>
      <c r="BI375" s="214">
        <f t="shared" si="251"/>
        <v>2068.3000720081141</v>
      </c>
      <c r="BJ375" s="214">
        <f t="shared" si="252"/>
        <v>0</v>
      </c>
      <c r="BK375" s="19">
        <f t="shared" si="268"/>
        <v>0</v>
      </c>
    </row>
    <row r="376" spans="1:63">
      <c r="A376" s="165">
        <f t="shared" si="253"/>
        <v>87.139459274469544</v>
      </c>
      <c r="B376" s="69">
        <f t="shared" si="254"/>
        <v>26</v>
      </c>
      <c r="C376" s="70">
        <f t="shared" si="255"/>
        <v>302</v>
      </c>
      <c r="D376" s="13">
        <f t="shared" si="224"/>
        <v>4.8675505653430484E-3</v>
      </c>
      <c r="E376" s="15">
        <f t="shared" si="225"/>
        <v>1</v>
      </c>
      <c r="F376" s="15">
        <f t="shared" si="256"/>
        <v>0</v>
      </c>
      <c r="G376" s="15">
        <f t="shared" si="226"/>
        <v>0</v>
      </c>
      <c r="H376" s="73">
        <f t="shared" si="227"/>
        <v>0</v>
      </c>
      <c r="I376" s="189"/>
      <c r="J376" s="189"/>
      <c r="K376" s="5">
        <f t="shared" si="269"/>
        <v>189677.88115138613</v>
      </c>
      <c r="M376" s="5">
        <f t="shared" si="228"/>
        <v>923.26667763150112</v>
      </c>
      <c r="N376" s="5">
        <f t="shared" si="229"/>
        <v>-313.85836434614339</v>
      </c>
      <c r="O376" s="5">
        <f t="shared" si="230"/>
        <v>0</v>
      </c>
      <c r="P376" s="5">
        <f t="shared" si="231"/>
        <v>0</v>
      </c>
      <c r="Q376" s="5">
        <f t="shared" si="265"/>
        <v>0</v>
      </c>
      <c r="R376" s="5">
        <f t="shared" si="257"/>
        <v>0</v>
      </c>
      <c r="S376" s="5">
        <f t="shared" si="232"/>
        <v>0</v>
      </c>
      <c r="T376" s="5">
        <f t="shared" si="233"/>
        <v>0</v>
      </c>
      <c r="U376" s="74">
        <f t="shared" si="234"/>
        <v>0</v>
      </c>
      <c r="V376" s="75">
        <f t="shared" si="235"/>
        <v>0</v>
      </c>
      <c r="W376" s="5">
        <f t="shared" si="236"/>
        <v>0</v>
      </c>
      <c r="X376" s="5">
        <f t="shared" si="237"/>
        <v>190287.28946467148</v>
      </c>
      <c r="Y376" s="5">
        <f t="shared" si="258"/>
        <v>100000</v>
      </c>
      <c r="Z376" s="215">
        <f t="shared" si="238"/>
        <v>1</v>
      </c>
      <c r="AA376" s="216">
        <f t="shared" si="259"/>
        <v>0</v>
      </c>
      <c r="AB376" s="72">
        <f t="shared" si="266"/>
        <v>50215.72519964027</v>
      </c>
      <c r="AC376" s="72">
        <f t="shared" si="239"/>
        <v>0</v>
      </c>
      <c r="AD376" s="72">
        <f t="shared" si="240"/>
        <v>0</v>
      </c>
      <c r="AE376" s="72">
        <f t="shared" si="260"/>
        <v>-39.625129587261618</v>
      </c>
      <c r="AF376" s="70">
        <f t="shared" si="241"/>
        <v>0</v>
      </c>
      <c r="AG376" s="70">
        <f t="shared" si="242"/>
        <v>3175.4203727981949</v>
      </c>
      <c r="AH376" s="1">
        <f t="shared" si="275"/>
        <v>0</v>
      </c>
      <c r="AI376" s="1">
        <f t="shared" si="275"/>
        <v>0</v>
      </c>
      <c r="AJ376" s="1">
        <f t="shared" si="275"/>
        <v>0</v>
      </c>
      <c r="AK376" s="1">
        <f t="shared" si="275"/>
        <v>0</v>
      </c>
      <c r="AL376" s="1">
        <f t="shared" si="275"/>
        <v>0</v>
      </c>
      <c r="AM376" s="1">
        <f t="shared" si="275"/>
        <v>0</v>
      </c>
      <c r="AN376" s="1">
        <f t="shared" si="275"/>
        <v>0</v>
      </c>
      <c r="AO376" s="1">
        <f t="shared" si="275"/>
        <v>0</v>
      </c>
      <c r="AP376" s="1">
        <f t="shared" si="275"/>
        <v>0</v>
      </c>
      <c r="AQ376" s="1">
        <f t="shared" si="275"/>
        <v>1</v>
      </c>
      <c r="AR376" s="1">
        <f t="shared" si="275"/>
        <v>1</v>
      </c>
      <c r="AS376" s="1">
        <f t="shared" si="275"/>
        <v>1</v>
      </c>
      <c r="AT376" s="39">
        <f t="shared" si="243"/>
        <v>190287.28946467148</v>
      </c>
      <c r="AU376" s="39">
        <f t="shared" si="261"/>
        <v>190287.28946467148</v>
      </c>
      <c r="AV376" s="39">
        <f t="shared" si="271"/>
        <v>0</v>
      </c>
      <c r="AW376" s="3">
        <f t="shared" si="244"/>
        <v>302</v>
      </c>
      <c r="AX376" s="69">
        <f t="shared" si="262"/>
        <v>0</v>
      </c>
      <c r="AY376" s="75">
        <f t="shared" si="245"/>
        <v>0</v>
      </c>
      <c r="AZ376" s="75">
        <f t="shared" si="246"/>
        <v>0</v>
      </c>
      <c r="BA376" s="75">
        <f t="shared" si="247"/>
        <v>0</v>
      </c>
      <c r="BB376" s="75">
        <f t="shared" si="248"/>
        <v>0</v>
      </c>
      <c r="BD376" s="214">
        <f t="shared" si="263"/>
        <v>259997.64865521836</v>
      </c>
      <c r="BE376" s="214">
        <f t="shared" si="249"/>
        <v>1265.5517016995714</v>
      </c>
      <c r="BF376" s="214">
        <f t="shared" si="250"/>
        <v>-430.21588097370932</v>
      </c>
      <c r="BG376" s="224">
        <f t="shared" si="267"/>
        <v>0</v>
      </c>
      <c r="BH376" s="19">
        <f t="shared" si="264"/>
        <v>426984.29102943273</v>
      </c>
      <c r="BI376" s="214">
        <f t="shared" si="251"/>
        <v>2078.3676271929162</v>
      </c>
      <c r="BJ376" s="214">
        <f t="shared" si="252"/>
        <v>0</v>
      </c>
      <c r="BK376" s="19">
        <f t="shared" si="268"/>
        <v>0</v>
      </c>
    </row>
    <row r="377" spans="1:63">
      <c r="A377" s="165">
        <f t="shared" si="253"/>
        <v>87.222792607802873</v>
      </c>
      <c r="B377" s="69">
        <f t="shared" si="254"/>
        <v>26</v>
      </c>
      <c r="C377" s="70">
        <f t="shared" si="255"/>
        <v>303</v>
      </c>
      <c r="D377" s="13">
        <f t="shared" si="224"/>
        <v>4.8675505653430484E-3</v>
      </c>
      <c r="E377" s="15">
        <f t="shared" si="225"/>
        <v>1</v>
      </c>
      <c r="F377" s="15">
        <f t="shared" si="256"/>
        <v>0</v>
      </c>
      <c r="G377" s="15">
        <f t="shared" si="226"/>
        <v>0</v>
      </c>
      <c r="H377" s="73">
        <f t="shared" si="227"/>
        <v>0</v>
      </c>
      <c r="I377" s="189"/>
      <c r="J377" s="189"/>
      <c r="K377" s="5">
        <f t="shared" si="269"/>
        <v>190287.28946467148</v>
      </c>
      <c r="M377" s="5">
        <f t="shared" si="228"/>
        <v>926.23300341135803</v>
      </c>
      <c r="N377" s="5">
        <f t="shared" si="229"/>
        <v>-314.86674705932882</v>
      </c>
      <c r="O377" s="5">
        <f t="shared" si="230"/>
        <v>0</v>
      </c>
      <c r="P377" s="5">
        <f t="shared" si="231"/>
        <v>0</v>
      </c>
      <c r="Q377" s="5">
        <f t="shared" si="265"/>
        <v>0</v>
      </c>
      <c r="R377" s="5">
        <f t="shared" si="257"/>
        <v>0</v>
      </c>
      <c r="S377" s="5">
        <f t="shared" si="232"/>
        <v>0</v>
      </c>
      <c r="T377" s="5">
        <f t="shared" si="233"/>
        <v>0</v>
      </c>
      <c r="U377" s="74">
        <f t="shared" si="234"/>
        <v>0</v>
      </c>
      <c r="V377" s="75">
        <f t="shared" si="235"/>
        <v>0</v>
      </c>
      <c r="W377" s="5">
        <f t="shared" si="236"/>
        <v>0</v>
      </c>
      <c r="X377" s="5">
        <f t="shared" si="237"/>
        <v>190898.6557210235</v>
      </c>
      <c r="Y377" s="5">
        <f t="shared" si="258"/>
        <v>100000</v>
      </c>
      <c r="Z377" s="215">
        <f t="shared" si="238"/>
        <v>1</v>
      </c>
      <c r="AA377" s="216">
        <f t="shared" si="259"/>
        <v>0</v>
      </c>
      <c r="AB377" s="72">
        <f t="shared" si="266"/>
        <v>50215.72519964027</v>
      </c>
      <c r="AC377" s="72">
        <f t="shared" si="239"/>
        <v>0</v>
      </c>
      <c r="AD377" s="72">
        <f t="shared" si="240"/>
        <v>0</v>
      </c>
      <c r="AE377" s="72">
        <f t="shared" si="260"/>
        <v>-39.752439546856827</v>
      </c>
      <c r="AF377" s="70">
        <f t="shared" si="241"/>
        <v>0</v>
      </c>
      <c r="AG377" s="70">
        <f t="shared" si="242"/>
        <v>3407.7395502119616</v>
      </c>
      <c r="AH377" s="1">
        <f t="shared" si="275"/>
        <v>0</v>
      </c>
      <c r="AI377" s="1">
        <f t="shared" si="275"/>
        <v>0</v>
      </c>
      <c r="AJ377" s="1">
        <f t="shared" si="275"/>
        <v>0</v>
      </c>
      <c r="AK377" s="1">
        <f t="shared" si="275"/>
        <v>0</v>
      </c>
      <c r="AL377" s="1">
        <f t="shared" si="275"/>
        <v>0</v>
      </c>
      <c r="AM377" s="1">
        <f t="shared" si="275"/>
        <v>0</v>
      </c>
      <c r="AN377" s="1">
        <f t="shared" si="275"/>
        <v>0</v>
      </c>
      <c r="AO377" s="1">
        <f t="shared" si="275"/>
        <v>0</v>
      </c>
      <c r="AP377" s="1">
        <f t="shared" si="275"/>
        <v>0</v>
      </c>
      <c r="AQ377" s="1">
        <f t="shared" si="275"/>
        <v>1</v>
      </c>
      <c r="AR377" s="1">
        <f t="shared" si="275"/>
        <v>1</v>
      </c>
      <c r="AS377" s="1">
        <f t="shared" si="275"/>
        <v>1</v>
      </c>
      <c r="AT377" s="39">
        <f t="shared" si="243"/>
        <v>190898.6557210235</v>
      </c>
      <c r="AU377" s="39">
        <f t="shared" si="261"/>
        <v>190898.6557210235</v>
      </c>
      <c r="AV377" s="39">
        <f t="shared" si="271"/>
        <v>0</v>
      </c>
      <c r="AW377" s="3">
        <f t="shared" si="244"/>
        <v>303</v>
      </c>
      <c r="AX377" s="69">
        <f t="shared" si="262"/>
        <v>0</v>
      </c>
      <c r="AY377" s="75">
        <f t="shared" si="245"/>
        <v>0</v>
      </c>
      <c r="AZ377" s="75">
        <f t="shared" si="246"/>
        <v>0</v>
      </c>
      <c r="BA377" s="75">
        <f t="shared" si="247"/>
        <v>0</v>
      </c>
      <c r="BB377" s="75">
        <f t="shared" si="248"/>
        <v>0</v>
      </c>
      <c r="BD377" s="214">
        <f t="shared" si="263"/>
        <v>260832.98447594422</v>
      </c>
      <c r="BE377" s="214">
        <f t="shared" si="249"/>
        <v>1269.6177410459968</v>
      </c>
      <c r="BF377" s="214">
        <f t="shared" si="250"/>
        <v>-431.59810399719152</v>
      </c>
      <c r="BG377" s="224">
        <f t="shared" si="267"/>
        <v>0</v>
      </c>
      <c r="BH377" s="19">
        <f t="shared" si="264"/>
        <v>429062.65865662566</v>
      </c>
      <c r="BI377" s="214">
        <f t="shared" si="251"/>
        <v>2088.4841867116497</v>
      </c>
      <c r="BJ377" s="214">
        <f t="shared" si="252"/>
        <v>0</v>
      </c>
      <c r="BK377" s="19">
        <f t="shared" si="268"/>
        <v>0</v>
      </c>
    </row>
    <row r="378" spans="1:63">
      <c r="A378" s="165">
        <f t="shared" si="253"/>
        <v>87.306125941136202</v>
      </c>
      <c r="B378" s="69">
        <f t="shared" si="254"/>
        <v>26</v>
      </c>
      <c r="C378" s="70">
        <f t="shared" si="255"/>
        <v>304</v>
      </c>
      <c r="D378" s="13">
        <f t="shared" si="224"/>
        <v>4.8675505653430484E-3</v>
      </c>
      <c r="E378" s="15">
        <f t="shared" si="225"/>
        <v>1</v>
      </c>
      <c r="F378" s="15">
        <f t="shared" si="256"/>
        <v>0</v>
      </c>
      <c r="G378" s="15">
        <f t="shared" si="226"/>
        <v>0</v>
      </c>
      <c r="H378" s="73">
        <f t="shared" si="227"/>
        <v>0</v>
      </c>
      <c r="I378" s="189"/>
      <c r="J378" s="189"/>
      <c r="K378" s="5">
        <f t="shared" si="269"/>
        <v>190898.6557210235</v>
      </c>
      <c r="M378" s="5">
        <f t="shared" si="228"/>
        <v>929.20885957809594</v>
      </c>
      <c r="N378" s="5">
        <f t="shared" si="229"/>
        <v>-315.87836956412644</v>
      </c>
      <c r="O378" s="5">
        <f t="shared" si="230"/>
        <v>0</v>
      </c>
      <c r="P378" s="5">
        <f t="shared" si="231"/>
        <v>0</v>
      </c>
      <c r="Q378" s="5">
        <f t="shared" si="265"/>
        <v>0</v>
      </c>
      <c r="R378" s="5">
        <f t="shared" si="257"/>
        <v>0</v>
      </c>
      <c r="S378" s="5">
        <f t="shared" si="232"/>
        <v>0</v>
      </c>
      <c r="T378" s="5">
        <f t="shared" si="233"/>
        <v>0</v>
      </c>
      <c r="U378" s="74">
        <f t="shared" si="234"/>
        <v>0</v>
      </c>
      <c r="V378" s="75">
        <f t="shared" si="235"/>
        <v>0</v>
      </c>
      <c r="W378" s="5">
        <f t="shared" si="236"/>
        <v>0</v>
      </c>
      <c r="X378" s="5">
        <f t="shared" si="237"/>
        <v>191511.98621103747</v>
      </c>
      <c r="Y378" s="5">
        <f t="shared" si="258"/>
        <v>100000</v>
      </c>
      <c r="Z378" s="215">
        <f t="shared" si="238"/>
        <v>1</v>
      </c>
      <c r="AA378" s="216">
        <f t="shared" si="259"/>
        <v>0</v>
      </c>
      <c r="AB378" s="72">
        <f t="shared" si="266"/>
        <v>50215.72519964027</v>
      </c>
      <c r="AC378" s="72">
        <f t="shared" si="239"/>
        <v>0</v>
      </c>
      <c r="AD378" s="72">
        <f t="shared" si="240"/>
        <v>0</v>
      </c>
      <c r="AE378" s="72">
        <f t="shared" si="260"/>
        <v>-39.880158535418772</v>
      </c>
      <c r="AF378" s="70">
        <f t="shared" si="241"/>
        <v>0</v>
      </c>
      <c r="AG378" s="70">
        <f t="shared" si="242"/>
        <v>3640.8051364172643</v>
      </c>
      <c r="AH378" s="1">
        <f t="shared" si="275"/>
        <v>0</v>
      </c>
      <c r="AI378" s="1">
        <f t="shared" si="275"/>
        <v>0</v>
      </c>
      <c r="AJ378" s="1">
        <f t="shared" si="275"/>
        <v>0</v>
      </c>
      <c r="AK378" s="1">
        <f t="shared" si="275"/>
        <v>0</v>
      </c>
      <c r="AL378" s="1">
        <f t="shared" si="275"/>
        <v>0</v>
      </c>
      <c r="AM378" s="1">
        <f t="shared" si="275"/>
        <v>0</v>
      </c>
      <c r="AN378" s="1">
        <f t="shared" si="275"/>
        <v>0</v>
      </c>
      <c r="AO378" s="1">
        <f t="shared" si="275"/>
        <v>0</v>
      </c>
      <c r="AP378" s="1">
        <f t="shared" si="275"/>
        <v>0</v>
      </c>
      <c r="AQ378" s="1">
        <f t="shared" si="275"/>
        <v>1</v>
      </c>
      <c r="AR378" s="1">
        <f t="shared" si="275"/>
        <v>1</v>
      </c>
      <c r="AS378" s="1">
        <f t="shared" si="275"/>
        <v>1</v>
      </c>
      <c r="AT378" s="39">
        <f t="shared" si="243"/>
        <v>191511.98621103747</v>
      </c>
      <c r="AU378" s="39">
        <f t="shared" si="261"/>
        <v>191511.98621103747</v>
      </c>
      <c r="AV378" s="39">
        <f t="shared" si="271"/>
        <v>0</v>
      </c>
      <c r="AW378" s="3">
        <f t="shared" si="244"/>
        <v>304</v>
      </c>
      <c r="AX378" s="69">
        <f t="shared" si="262"/>
        <v>0</v>
      </c>
      <c r="AY378" s="75">
        <f t="shared" si="245"/>
        <v>0</v>
      </c>
      <c r="AZ378" s="75">
        <f t="shared" si="246"/>
        <v>0</v>
      </c>
      <c r="BA378" s="75">
        <f t="shared" si="247"/>
        <v>0</v>
      </c>
      <c r="BB378" s="75">
        <f t="shared" si="248"/>
        <v>0</v>
      </c>
      <c r="BD378" s="214">
        <f t="shared" si="263"/>
        <v>261671.00411299305</v>
      </c>
      <c r="BE378" s="214">
        <f t="shared" si="249"/>
        <v>1273.6968440040825</v>
      </c>
      <c r="BF378" s="214">
        <f t="shared" si="250"/>
        <v>-432.98476790854215</v>
      </c>
      <c r="BG378" s="224">
        <f t="shared" si="267"/>
        <v>0</v>
      </c>
      <c r="BH378" s="19">
        <f t="shared" si="264"/>
        <v>431151.14284333732</v>
      </c>
      <c r="BI378" s="214">
        <f t="shared" si="251"/>
        <v>2098.6499890953878</v>
      </c>
      <c r="BJ378" s="214">
        <f t="shared" si="252"/>
        <v>0</v>
      </c>
      <c r="BK378" s="19">
        <f t="shared" si="268"/>
        <v>0</v>
      </c>
    </row>
    <row r="379" spans="1:63">
      <c r="A379" s="165">
        <f t="shared" si="253"/>
        <v>87.389459274469544</v>
      </c>
      <c r="B379" s="69">
        <f t="shared" si="254"/>
        <v>26</v>
      </c>
      <c r="C379" s="70">
        <f t="shared" si="255"/>
        <v>305</v>
      </c>
      <c r="D379" s="13">
        <f t="shared" si="224"/>
        <v>4.8675505653430484E-3</v>
      </c>
      <c r="E379" s="15">
        <f t="shared" si="225"/>
        <v>1</v>
      </c>
      <c r="F379" s="15">
        <f t="shared" si="256"/>
        <v>0</v>
      </c>
      <c r="G379" s="15">
        <f t="shared" si="226"/>
        <v>0</v>
      </c>
      <c r="H379" s="73">
        <f t="shared" si="227"/>
        <v>0</v>
      </c>
      <c r="I379" s="189"/>
      <c r="J379" s="189"/>
      <c r="K379" s="5">
        <f t="shared" si="269"/>
        <v>191511.98621103747</v>
      </c>
      <c r="M379" s="5">
        <f t="shared" si="228"/>
        <v>932.19427675150553</v>
      </c>
      <c r="N379" s="5">
        <f t="shared" si="229"/>
        <v>-316.89324226953039</v>
      </c>
      <c r="O379" s="5">
        <f t="shared" si="230"/>
        <v>0</v>
      </c>
      <c r="P379" s="5">
        <f t="shared" si="231"/>
        <v>0</v>
      </c>
      <c r="Q379" s="5">
        <f t="shared" si="265"/>
        <v>0</v>
      </c>
      <c r="R379" s="5">
        <f t="shared" si="257"/>
        <v>0</v>
      </c>
      <c r="S379" s="5">
        <f t="shared" si="232"/>
        <v>0</v>
      </c>
      <c r="T379" s="5">
        <f t="shared" si="233"/>
        <v>0</v>
      </c>
      <c r="U379" s="74">
        <f t="shared" si="234"/>
        <v>0</v>
      </c>
      <c r="V379" s="75">
        <f t="shared" si="235"/>
        <v>0</v>
      </c>
      <c r="W379" s="5">
        <f t="shared" si="236"/>
        <v>0</v>
      </c>
      <c r="X379" s="5">
        <f t="shared" si="237"/>
        <v>192127.28724551946</v>
      </c>
      <c r="Y379" s="5">
        <f t="shared" si="258"/>
        <v>100000</v>
      </c>
      <c r="Z379" s="215">
        <f t="shared" si="238"/>
        <v>1</v>
      </c>
      <c r="AA379" s="216">
        <f t="shared" si="259"/>
        <v>0</v>
      </c>
      <c r="AB379" s="72">
        <f t="shared" si="266"/>
        <v>50215.72519964027</v>
      </c>
      <c r="AC379" s="72">
        <f t="shared" si="239"/>
        <v>0</v>
      </c>
      <c r="AD379" s="72">
        <f t="shared" si="240"/>
        <v>0</v>
      </c>
      <c r="AE379" s="72">
        <f t="shared" si="260"/>
        <v>-40.008287867099909</v>
      </c>
      <c r="AF379" s="70">
        <f t="shared" si="241"/>
        <v>0</v>
      </c>
      <c r="AG379" s="70">
        <f t="shared" si="242"/>
        <v>3874.6195295204234</v>
      </c>
      <c r="AH379" s="1">
        <f t="shared" si="275"/>
        <v>0</v>
      </c>
      <c r="AI379" s="1">
        <f t="shared" si="275"/>
        <v>0</v>
      </c>
      <c r="AJ379" s="1">
        <f t="shared" si="275"/>
        <v>0</v>
      </c>
      <c r="AK379" s="1">
        <f t="shared" si="275"/>
        <v>0</v>
      </c>
      <c r="AL379" s="1">
        <f t="shared" si="275"/>
        <v>0</v>
      </c>
      <c r="AM379" s="1">
        <f t="shared" si="275"/>
        <v>0</v>
      </c>
      <c r="AN379" s="1">
        <f t="shared" si="275"/>
        <v>0</v>
      </c>
      <c r="AO379" s="1">
        <f t="shared" si="275"/>
        <v>0</v>
      </c>
      <c r="AP379" s="1">
        <f t="shared" si="275"/>
        <v>0</v>
      </c>
      <c r="AQ379" s="1">
        <f t="shared" si="275"/>
        <v>1</v>
      </c>
      <c r="AR379" s="1">
        <f t="shared" si="275"/>
        <v>1</v>
      </c>
      <c r="AS379" s="1">
        <f t="shared" si="275"/>
        <v>1</v>
      </c>
      <c r="AT379" s="39">
        <f t="shared" si="243"/>
        <v>192127.28724551946</v>
      </c>
      <c r="AU379" s="39">
        <f t="shared" si="261"/>
        <v>192127.28724551946</v>
      </c>
      <c r="AV379" s="39">
        <f t="shared" si="271"/>
        <v>0</v>
      </c>
      <c r="AW379" s="3">
        <f t="shared" si="244"/>
        <v>305</v>
      </c>
      <c r="AX379" s="69">
        <f t="shared" si="262"/>
        <v>0</v>
      </c>
      <c r="AY379" s="75">
        <f t="shared" si="245"/>
        <v>0</v>
      </c>
      <c r="AZ379" s="75">
        <f t="shared" si="246"/>
        <v>0</v>
      </c>
      <c r="BA379" s="75">
        <f t="shared" si="247"/>
        <v>0</v>
      </c>
      <c r="BB379" s="75">
        <f t="shared" si="248"/>
        <v>0</v>
      </c>
      <c r="BD379" s="214">
        <f t="shared" si="263"/>
        <v>262511.71618908859</v>
      </c>
      <c r="BE379" s="214">
        <f t="shared" si="249"/>
        <v>1277.789052545372</v>
      </c>
      <c r="BF379" s="214">
        <f t="shared" si="250"/>
        <v>-434.37588697570845</v>
      </c>
      <c r="BG379" s="224">
        <f t="shared" si="267"/>
        <v>0</v>
      </c>
      <c r="BH379" s="19">
        <f t="shared" si="264"/>
        <v>433249.79283243272</v>
      </c>
      <c r="BI379" s="214">
        <f t="shared" si="251"/>
        <v>2108.8652740362663</v>
      </c>
      <c r="BJ379" s="214">
        <f t="shared" si="252"/>
        <v>0</v>
      </c>
      <c r="BK379" s="19">
        <f t="shared" si="268"/>
        <v>0</v>
      </c>
    </row>
    <row r="380" spans="1:63">
      <c r="A380" s="165">
        <f t="shared" si="253"/>
        <v>87.472792607802873</v>
      </c>
      <c r="B380" s="69">
        <f t="shared" si="254"/>
        <v>26</v>
      </c>
      <c r="C380" s="70">
        <f t="shared" si="255"/>
        <v>306</v>
      </c>
      <c r="D380" s="13">
        <f t="shared" si="224"/>
        <v>4.8675505653430484E-3</v>
      </c>
      <c r="E380" s="15">
        <f t="shared" si="225"/>
        <v>1</v>
      </c>
      <c r="F380" s="15">
        <f t="shared" si="256"/>
        <v>0</v>
      </c>
      <c r="G380" s="15">
        <f t="shared" si="226"/>
        <v>0</v>
      </c>
      <c r="H380" s="73">
        <f t="shared" si="227"/>
        <v>0</v>
      </c>
      <c r="I380" s="189"/>
      <c r="J380" s="189"/>
      <c r="K380" s="5">
        <f t="shared" si="269"/>
        <v>192127.28724551946</v>
      </c>
      <c r="M380" s="5">
        <f t="shared" si="228"/>
        <v>935.18928564975454</v>
      </c>
      <c r="N380" s="5">
        <f t="shared" si="229"/>
        <v>-317.91137561797746</v>
      </c>
      <c r="O380" s="5">
        <f t="shared" si="230"/>
        <v>0</v>
      </c>
      <c r="P380" s="5">
        <f t="shared" si="231"/>
        <v>0</v>
      </c>
      <c r="Q380" s="5">
        <f t="shared" si="265"/>
        <v>0</v>
      </c>
      <c r="R380" s="5">
        <f t="shared" si="257"/>
        <v>0</v>
      </c>
      <c r="S380" s="5">
        <f t="shared" si="232"/>
        <v>0</v>
      </c>
      <c r="T380" s="5">
        <f t="shared" si="233"/>
        <v>0</v>
      </c>
      <c r="U380" s="74">
        <f t="shared" si="234"/>
        <v>0</v>
      </c>
      <c r="V380" s="75">
        <f t="shared" si="235"/>
        <v>0</v>
      </c>
      <c r="W380" s="5">
        <f t="shared" si="236"/>
        <v>0</v>
      </c>
      <c r="X380" s="5">
        <f t="shared" si="237"/>
        <v>192744.56515555122</v>
      </c>
      <c r="Y380" s="5">
        <f t="shared" si="258"/>
        <v>100000</v>
      </c>
      <c r="Z380" s="215">
        <f t="shared" si="238"/>
        <v>1</v>
      </c>
      <c r="AA380" s="216">
        <f t="shared" si="259"/>
        <v>0</v>
      </c>
      <c r="AB380" s="72">
        <f t="shared" si="266"/>
        <v>50215.72519964027</v>
      </c>
      <c r="AC380" s="72">
        <f t="shared" si="239"/>
        <v>0</v>
      </c>
      <c r="AD380" s="72">
        <f t="shared" si="240"/>
        <v>0</v>
      </c>
      <c r="AE380" s="72">
        <f t="shared" si="260"/>
        <v>-40.136828860274889</v>
      </c>
      <c r="AF380" s="70">
        <f t="shared" si="241"/>
        <v>0</v>
      </c>
      <c r="AG380" s="70">
        <f t="shared" si="242"/>
        <v>4109.1851353324892</v>
      </c>
      <c r="AH380" s="1">
        <f t="shared" si="275"/>
        <v>0</v>
      </c>
      <c r="AI380" s="1">
        <f t="shared" si="275"/>
        <v>0</v>
      </c>
      <c r="AJ380" s="1">
        <f t="shared" si="275"/>
        <v>0</v>
      </c>
      <c r="AK380" s="1">
        <f t="shared" si="275"/>
        <v>0</v>
      </c>
      <c r="AL380" s="1">
        <f t="shared" si="275"/>
        <v>0</v>
      </c>
      <c r="AM380" s="1">
        <f t="shared" si="275"/>
        <v>0</v>
      </c>
      <c r="AN380" s="1">
        <f t="shared" si="275"/>
        <v>0</v>
      </c>
      <c r="AO380" s="1">
        <f t="shared" si="275"/>
        <v>0</v>
      </c>
      <c r="AP380" s="1">
        <f t="shared" si="275"/>
        <v>0</v>
      </c>
      <c r="AQ380" s="1">
        <f t="shared" si="275"/>
        <v>1</v>
      </c>
      <c r="AR380" s="1">
        <f t="shared" si="275"/>
        <v>1</v>
      </c>
      <c r="AS380" s="1">
        <f t="shared" si="275"/>
        <v>1</v>
      </c>
      <c r="AT380" s="39">
        <f t="shared" si="243"/>
        <v>192744.56515555122</v>
      </c>
      <c r="AU380" s="39">
        <f t="shared" si="261"/>
        <v>192744.56515555122</v>
      </c>
      <c r="AV380" s="39">
        <f t="shared" si="271"/>
        <v>0</v>
      </c>
      <c r="AW380" s="3">
        <f t="shared" si="244"/>
        <v>306</v>
      </c>
      <c r="AX380" s="69">
        <f t="shared" si="262"/>
        <v>0</v>
      </c>
      <c r="AY380" s="75">
        <f t="shared" si="245"/>
        <v>0</v>
      </c>
      <c r="AZ380" s="75">
        <f t="shared" si="246"/>
        <v>0</v>
      </c>
      <c r="BA380" s="75">
        <f t="shared" si="247"/>
        <v>0</v>
      </c>
      <c r="BB380" s="75">
        <f t="shared" si="248"/>
        <v>0</v>
      </c>
      <c r="BD380" s="214">
        <f t="shared" si="263"/>
        <v>263355.12935465825</v>
      </c>
      <c r="BE380" s="214">
        <f t="shared" si="249"/>
        <v>1281.8944087762584</v>
      </c>
      <c r="BF380" s="214">
        <f t="shared" si="250"/>
        <v>-435.7714755124785</v>
      </c>
      <c r="BG380" s="224">
        <f t="shared" si="267"/>
        <v>0</v>
      </c>
      <c r="BH380" s="19">
        <f t="shared" si="264"/>
        <v>435358.65810646897</v>
      </c>
      <c r="BI380" s="214">
        <f t="shared" si="251"/>
        <v>2119.1302823931342</v>
      </c>
      <c r="BJ380" s="214">
        <f t="shared" si="252"/>
        <v>0</v>
      </c>
      <c r="BK380" s="19">
        <f t="shared" si="268"/>
        <v>0</v>
      </c>
    </row>
    <row r="381" spans="1:63">
      <c r="A381" s="165">
        <f t="shared" si="253"/>
        <v>87.556125941136202</v>
      </c>
      <c r="B381" s="69">
        <f t="shared" si="254"/>
        <v>26</v>
      </c>
      <c r="C381" s="70">
        <f t="shared" si="255"/>
        <v>307</v>
      </c>
      <c r="D381" s="13">
        <f t="shared" si="224"/>
        <v>4.8675505653430484E-3</v>
      </c>
      <c r="E381" s="15">
        <f t="shared" si="225"/>
        <v>1</v>
      </c>
      <c r="F381" s="15">
        <f t="shared" si="256"/>
        <v>0</v>
      </c>
      <c r="G381" s="15">
        <f t="shared" si="226"/>
        <v>0</v>
      </c>
      <c r="H381" s="73">
        <f t="shared" si="227"/>
        <v>0</v>
      </c>
      <c r="I381" s="189"/>
      <c r="J381" s="189"/>
      <c r="K381" s="5">
        <f t="shared" si="269"/>
        <v>192744.56515555122</v>
      </c>
      <c r="M381" s="5">
        <f t="shared" si="228"/>
        <v>938.1939170897034</v>
      </c>
      <c r="N381" s="5">
        <f t="shared" si="229"/>
        <v>-318.93278008545434</v>
      </c>
      <c r="O381" s="5">
        <f t="shared" si="230"/>
        <v>0</v>
      </c>
      <c r="P381" s="5">
        <f t="shared" si="231"/>
        <v>0</v>
      </c>
      <c r="Q381" s="5">
        <f t="shared" si="265"/>
        <v>0</v>
      </c>
      <c r="R381" s="5">
        <f t="shared" si="257"/>
        <v>0</v>
      </c>
      <c r="S381" s="5">
        <f t="shared" si="232"/>
        <v>0</v>
      </c>
      <c r="T381" s="5">
        <f t="shared" si="233"/>
        <v>0</v>
      </c>
      <c r="U381" s="74">
        <f t="shared" si="234"/>
        <v>0</v>
      </c>
      <c r="V381" s="75">
        <f t="shared" si="235"/>
        <v>0</v>
      </c>
      <c r="W381" s="5">
        <f t="shared" si="236"/>
        <v>0</v>
      </c>
      <c r="X381" s="5">
        <f t="shared" si="237"/>
        <v>193363.82629255546</v>
      </c>
      <c r="Y381" s="5">
        <f t="shared" si="258"/>
        <v>100000</v>
      </c>
      <c r="Z381" s="215">
        <f t="shared" si="238"/>
        <v>1</v>
      </c>
      <c r="AA381" s="216">
        <f t="shared" si="259"/>
        <v>0</v>
      </c>
      <c r="AB381" s="72">
        <f t="shared" si="266"/>
        <v>50215.72519964027</v>
      </c>
      <c r="AC381" s="72">
        <f t="shared" si="239"/>
        <v>0</v>
      </c>
      <c r="AD381" s="72">
        <f t="shared" si="240"/>
        <v>0</v>
      </c>
      <c r="AE381" s="72">
        <f t="shared" si="260"/>
        <v>-40.265782837554084</v>
      </c>
      <c r="AF381" s="70">
        <f t="shared" si="241"/>
        <v>0</v>
      </c>
      <c r="AG381" s="70">
        <f t="shared" si="242"/>
        <v>4344.5043673941036</v>
      </c>
      <c r="AH381" s="1">
        <f t="shared" si="275"/>
        <v>0</v>
      </c>
      <c r="AI381" s="1">
        <f t="shared" si="275"/>
        <v>0</v>
      </c>
      <c r="AJ381" s="1">
        <f t="shared" si="275"/>
        <v>0</v>
      </c>
      <c r="AK381" s="1">
        <f t="shared" si="275"/>
        <v>0</v>
      </c>
      <c r="AL381" s="1">
        <f t="shared" si="275"/>
        <v>0</v>
      </c>
      <c r="AM381" s="1">
        <f t="shared" si="275"/>
        <v>0</v>
      </c>
      <c r="AN381" s="1">
        <f t="shared" si="275"/>
        <v>0</v>
      </c>
      <c r="AO381" s="1">
        <f t="shared" si="275"/>
        <v>0</v>
      </c>
      <c r="AP381" s="1">
        <f t="shared" si="275"/>
        <v>0</v>
      </c>
      <c r="AQ381" s="1">
        <f t="shared" si="275"/>
        <v>1</v>
      </c>
      <c r="AR381" s="1">
        <f t="shared" si="275"/>
        <v>1</v>
      </c>
      <c r="AS381" s="1">
        <f t="shared" si="275"/>
        <v>1</v>
      </c>
      <c r="AT381" s="39">
        <f t="shared" si="243"/>
        <v>193363.82629255546</v>
      </c>
      <c r="AU381" s="39">
        <f t="shared" si="261"/>
        <v>193363.82629255546</v>
      </c>
      <c r="AV381" s="39">
        <f t="shared" si="271"/>
        <v>0</v>
      </c>
      <c r="AW381" s="3">
        <f t="shared" si="244"/>
        <v>307</v>
      </c>
      <c r="AX381" s="69">
        <f t="shared" si="262"/>
        <v>0</v>
      </c>
      <c r="AY381" s="75">
        <f t="shared" si="245"/>
        <v>0</v>
      </c>
      <c r="AZ381" s="75">
        <f t="shared" si="246"/>
        <v>0</v>
      </c>
      <c r="BA381" s="75">
        <f t="shared" si="247"/>
        <v>0</v>
      </c>
      <c r="BB381" s="75">
        <f t="shared" si="248"/>
        <v>0</v>
      </c>
      <c r="BD381" s="214">
        <f t="shared" si="263"/>
        <v>264201.25228792202</v>
      </c>
      <c r="BE381" s="214">
        <f t="shared" si="249"/>
        <v>1286.0129549384162</v>
      </c>
      <c r="BF381" s="214">
        <f t="shared" si="250"/>
        <v>-437.17154787862847</v>
      </c>
      <c r="BG381" s="224">
        <f t="shared" si="267"/>
        <v>0</v>
      </c>
      <c r="BH381" s="19">
        <f t="shared" si="264"/>
        <v>437477.7883888621</v>
      </c>
      <c r="BI381" s="214">
        <f t="shared" si="251"/>
        <v>2129.4452561972321</v>
      </c>
      <c r="BJ381" s="214">
        <f t="shared" si="252"/>
        <v>0</v>
      </c>
      <c r="BK381" s="19">
        <f t="shared" si="268"/>
        <v>0</v>
      </c>
    </row>
    <row r="382" spans="1:63">
      <c r="A382" s="165">
        <f t="shared" si="253"/>
        <v>87.639459274469544</v>
      </c>
      <c r="B382" s="69">
        <f t="shared" si="254"/>
        <v>26</v>
      </c>
      <c r="C382" s="70">
        <f t="shared" si="255"/>
        <v>308</v>
      </c>
      <c r="D382" s="13">
        <f t="shared" si="224"/>
        <v>4.8675505653430484E-3</v>
      </c>
      <c r="E382" s="15">
        <f t="shared" si="225"/>
        <v>1</v>
      </c>
      <c r="F382" s="15">
        <f t="shared" si="256"/>
        <v>0</v>
      </c>
      <c r="G382" s="15">
        <f t="shared" si="226"/>
        <v>0</v>
      </c>
      <c r="H382" s="73">
        <f t="shared" si="227"/>
        <v>0</v>
      </c>
      <c r="I382" s="189"/>
      <c r="J382" s="189"/>
      <c r="K382" s="5">
        <f t="shared" si="269"/>
        <v>193363.82629255546</v>
      </c>
      <c r="M382" s="5">
        <f t="shared" si="228"/>
        <v>941.20820198722333</v>
      </c>
      <c r="N382" s="5">
        <f t="shared" si="229"/>
        <v>-319.95746618160575</v>
      </c>
      <c r="O382" s="5">
        <f t="shared" si="230"/>
        <v>0</v>
      </c>
      <c r="P382" s="5">
        <f t="shared" si="231"/>
        <v>0</v>
      </c>
      <c r="Q382" s="5">
        <f t="shared" si="265"/>
        <v>0</v>
      </c>
      <c r="R382" s="5">
        <f t="shared" si="257"/>
        <v>0</v>
      </c>
      <c r="S382" s="5">
        <f t="shared" si="232"/>
        <v>0</v>
      </c>
      <c r="T382" s="5">
        <f t="shared" si="233"/>
        <v>0</v>
      </c>
      <c r="U382" s="74">
        <f t="shared" si="234"/>
        <v>0</v>
      </c>
      <c r="V382" s="75">
        <f t="shared" si="235"/>
        <v>0</v>
      </c>
      <c r="W382" s="5">
        <f t="shared" si="236"/>
        <v>0</v>
      </c>
      <c r="X382" s="5">
        <f t="shared" si="237"/>
        <v>193985.07702836109</v>
      </c>
      <c r="Y382" s="5">
        <f t="shared" si="258"/>
        <v>100000</v>
      </c>
      <c r="Z382" s="215">
        <f t="shared" si="238"/>
        <v>1</v>
      </c>
      <c r="AA382" s="216">
        <f t="shared" si="259"/>
        <v>0</v>
      </c>
      <c r="AB382" s="72">
        <f t="shared" si="266"/>
        <v>50215.72519964027</v>
      </c>
      <c r="AC382" s="72">
        <f t="shared" si="239"/>
        <v>0</v>
      </c>
      <c r="AD382" s="72">
        <f t="shared" si="240"/>
        <v>0</v>
      </c>
      <c r="AE382" s="72">
        <f t="shared" si="260"/>
        <v>-40.395151125797263</v>
      </c>
      <c r="AF382" s="70">
        <f t="shared" si="241"/>
        <v>0</v>
      </c>
      <c r="AG382" s="70">
        <f t="shared" si="242"/>
        <v>4580.579647000246</v>
      </c>
      <c r="AH382" s="1">
        <f t="shared" si="275"/>
        <v>0</v>
      </c>
      <c r="AI382" s="1">
        <f t="shared" si="275"/>
        <v>0</v>
      </c>
      <c r="AJ382" s="1">
        <f t="shared" si="275"/>
        <v>0</v>
      </c>
      <c r="AK382" s="1">
        <f t="shared" si="275"/>
        <v>0</v>
      </c>
      <c r="AL382" s="1">
        <f t="shared" si="275"/>
        <v>0</v>
      </c>
      <c r="AM382" s="1">
        <f t="shared" si="275"/>
        <v>0</v>
      </c>
      <c r="AN382" s="1">
        <f t="shared" si="275"/>
        <v>0</v>
      </c>
      <c r="AO382" s="1">
        <f t="shared" si="275"/>
        <v>0</v>
      </c>
      <c r="AP382" s="1">
        <f t="shared" si="275"/>
        <v>0</v>
      </c>
      <c r="AQ382" s="1">
        <f t="shared" si="275"/>
        <v>1</v>
      </c>
      <c r="AR382" s="1">
        <f t="shared" si="275"/>
        <v>1</v>
      </c>
      <c r="AS382" s="1">
        <f t="shared" si="275"/>
        <v>1</v>
      </c>
      <c r="AT382" s="39">
        <f t="shared" si="243"/>
        <v>193985.07702836109</v>
      </c>
      <c r="AU382" s="39">
        <f t="shared" si="261"/>
        <v>193985.07702836109</v>
      </c>
      <c r="AV382" s="39">
        <f t="shared" si="271"/>
        <v>0</v>
      </c>
      <c r="AW382" s="3">
        <f t="shared" si="244"/>
        <v>308</v>
      </c>
      <c r="AX382" s="69">
        <f t="shared" si="262"/>
        <v>0</v>
      </c>
      <c r="AY382" s="75">
        <f t="shared" si="245"/>
        <v>0</v>
      </c>
      <c r="AZ382" s="75">
        <f t="shared" si="246"/>
        <v>0</v>
      </c>
      <c r="BA382" s="75">
        <f t="shared" si="247"/>
        <v>0</v>
      </c>
      <c r="BB382" s="75">
        <f t="shared" si="248"/>
        <v>0</v>
      </c>
      <c r="BD382" s="214">
        <f t="shared" si="263"/>
        <v>265050.09369498177</v>
      </c>
      <c r="BE382" s="214">
        <f t="shared" si="249"/>
        <v>1290.1447334092366</v>
      </c>
      <c r="BF382" s="214">
        <f t="shared" si="250"/>
        <v>-438.57611848007048</v>
      </c>
      <c r="BG382" s="224">
        <f t="shared" si="267"/>
        <v>0</v>
      </c>
      <c r="BH382" s="19">
        <f t="shared" si="264"/>
        <v>439607.23364505934</v>
      </c>
      <c r="BI382" s="214">
        <f t="shared" si="251"/>
        <v>2139.8104386579021</v>
      </c>
      <c r="BJ382" s="214">
        <f t="shared" si="252"/>
        <v>0</v>
      </c>
      <c r="BK382" s="19">
        <f t="shared" si="268"/>
        <v>0</v>
      </c>
    </row>
    <row r="383" spans="1:63">
      <c r="A383" s="165">
        <f t="shared" si="253"/>
        <v>87.722792607802873</v>
      </c>
      <c r="B383" s="69">
        <f t="shared" si="254"/>
        <v>26</v>
      </c>
      <c r="C383" s="70">
        <f t="shared" si="255"/>
        <v>309</v>
      </c>
      <c r="D383" s="13">
        <f t="shared" si="224"/>
        <v>4.8675505653430484E-3</v>
      </c>
      <c r="E383" s="15">
        <f t="shared" si="225"/>
        <v>1</v>
      </c>
      <c r="F383" s="15">
        <f t="shared" si="256"/>
        <v>0</v>
      </c>
      <c r="G383" s="15">
        <f t="shared" si="226"/>
        <v>0</v>
      </c>
      <c r="H383" s="73">
        <f t="shared" si="227"/>
        <v>0</v>
      </c>
      <c r="I383" s="189"/>
      <c r="J383" s="189"/>
      <c r="K383" s="5">
        <f t="shared" si="269"/>
        <v>193985.07702836109</v>
      </c>
      <c r="M383" s="5">
        <f t="shared" si="228"/>
        <v>944.23217135751383</v>
      </c>
      <c r="N383" s="5">
        <f t="shared" si="229"/>
        <v>-320.98544444984236</v>
      </c>
      <c r="O383" s="5">
        <f t="shared" si="230"/>
        <v>0</v>
      </c>
      <c r="P383" s="5">
        <f t="shared" si="231"/>
        <v>0</v>
      </c>
      <c r="Q383" s="5">
        <f t="shared" si="265"/>
        <v>0</v>
      </c>
      <c r="R383" s="5">
        <f t="shared" si="257"/>
        <v>0</v>
      </c>
      <c r="S383" s="5">
        <f t="shared" si="232"/>
        <v>0</v>
      </c>
      <c r="T383" s="5">
        <f t="shared" si="233"/>
        <v>0</v>
      </c>
      <c r="U383" s="74">
        <f t="shared" si="234"/>
        <v>0</v>
      </c>
      <c r="V383" s="75">
        <f t="shared" si="235"/>
        <v>0</v>
      </c>
      <c r="W383" s="5">
        <f t="shared" si="236"/>
        <v>0</v>
      </c>
      <c r="X383" s="5">
        <f t="shared" si="237"/>
        <v>194608.32375526876</v>
      </c>
      <c r="Y383" s="5">
        <f t="shared" si="258"/>
        <v>100000</v>
      </c>
      <c r="Z383" s="215">
        <f t="shared" si="238"/>
        <v>1</v>
      </c>
      <c r="AA383" s="216">
        <f t="shared" si="259"/>
        <v>0</v>
      </c>
      <c r="AB383" s="72">
        <f t="shared" si="266"/>
        <v>50215.72519964027</v>
      </c>
      <c r="AC383" s="72">
        <f t="shared" si="239"/>
        <v>0</v>
      </c>
      <c r="AD383" s="72">
        <f t="shared" si="240"/>
        <v>0</v>
      </c>
      <c r="AE383" s="72">
        <f t="shared" si="260"/>
        <v>-40.524935056127198</v>
      </c>
      <c r="AF383" s="70">
        <f t="shared" si="241"/>
        <v>0</v>
      </c>
      <c r="AG383" s="70">
        <f t="shared" si="242"/>
        <v>4817.4134032251604</v>
      </c>
      <c r="AH383" s="1">
        <f t="shared" si="275"/>
        <v>0</v>
      </c>
      <c r="AI383" s="1">
        <f t="shared" si="275"/>
        <v>0</v>
      </c>
      <c r="AJ383" s="1">
        <f t="shared" si="275"/>
        <v>0</v>
      </c>
      <c r="AK383" s="1">
        <f t="shared" si="275"/>
        <v>0</v>
      </c>
      <c r="AL383" s="1">
        <f t="shared" si="275"/>
        <v>0</v>
      </c>
      <c r="AM383" s="1">
        <f t="shared" si="275"/>
        <v>0</v>
      </c>
      <c r="AN383" s="1">
        <f t="shared" si="275"/>
        <v>0</v>
      </c>
      <c r="AO383" s="1">
        <f t="shared" si="275"/>
        <v>0</v>
      </c>
      <c r="AP383" s="1">
        <f t="shared" si="275"/>
        <v>0</v>
      </c>
      <c r="AQ383" s="1">
        <f t="shared" si="275"/>
        <v>1</v>
      </c>
      <c r="AR383" s="1">
        <f t="shared" si="275"/>
        <v>1</v>
      </c>
      <c r="AS383" s="1">
        <f t="shared" si="275"/>
        <v>1</v>
      </c>
      <c r="AT383" s="39">
        <f t="shared" si="243"/>
        <v>194608.32375526876</v>
      </c>
      <c r="AU383" s="39">
        <f t="shared" si="261"/>
        <v>194608.32375526876</v>
      </c>
      <c r="AV383" s="39">
        <f t="shared" si="271"/>
        <v>0</v>
      </c>
      <c r="AW383" s="3">
        <f t="shared" si="244"/>
        <v>309</v>
      </c>
      <c r="AX383" s="69">
        <f t="shared" si="262"/>
        <v>0</v>
      </c>
      <c r="AY383" s="75">
        <f t="shared" si="245"/>
        <v>0</v>
      </c>
      <c r="AZ383" s="75">
        <f t="shared" si="246"/>
        <v>0</v>
      </c>
      <c r="BA383" s="75">
        <f t="shared" si="247"/>
        <v>0</v>
      </c>
      <c r="BB383" s="75">
        <f t="shared" si="248"/>
        <v>0</v>
      </c>
      <c r="BD383" s="214">
        <f t="shared" si="263"/>
        <v>265901.66230991093</v>
      </c>
      <c r="BE383" s="214">
        <f t="shared" si="249"/>
        <v>1294.2897867022632</v>
      </c>
      <c r="BF383" s="214">
        <f t="shared" si="250"/>
        <v>-439.98520176900098</v>
      </c>
      <c r="BG383" s="224">
        <f t="shared" si="267"/>
        <v>0</v>
      </c>
      <c r="BH383" s="19">
        <f t="shared" si="264"/>
        <v>441747.04408371722</v>
      </c>
      <c r="BI383" s="214">
        <f t="shared" si="251"/>
        <v>2150.2260741683181</v>
      </c>
      <c r="BJ383" s="214">
        <f t="shared" si="252"/>
        <v>0</v>
      </c>
      <c r="BK383" s="19">
        <f t="shared" si="268"/>
        <v>0</v>
      </c>
    </row>
    <row r="384" spans="1:63">
      <c r="A384" s="165">
        <f t="shared" si="253"/>
        <v>87.806125941136202</v>
      </c>
      <c r="B384" s="69">
        <f t="shared" si="254"/>
        <v>26</v>
      </c>
      <c r="C384" s="70">
        <f t="shared" si="255"/>
        <v>310</v>
      </c>
      <c r="D384" s="13">
        <f t="shared" si="224"/>
        <v>4.8675505653430484E-3</v>
      </c>
      <c r="E384" s="15">
        <f t="shared" si="225"/>
        <v>1</v>
      </c>
      <c r="F384" s="15">
        <f t="shared" si="256"/>
        <v>0</v>
      </c>
      <c r="G384" s="15">
        <f t="shared" si="226"/>
        <v>0</v>
      </c>
      <c r="H384" s="73">
        <f t="shared" si="227"/>
        <v>0</v>
      </c>
      <c r="I384" s="189"/>
      <c r="J384" s="189"/>
      <c r="K384" s="5">
        <f t="shared" si="269"/>
        <v>194608.32375526876</v>
      </c>
      <c r="M384" s="5">
        <f t="shared" si="228"/>
        <v>947.2658563154215</v>
      </c>
      <c r="N384" s="5">
        <f t="shared" si="229"/>
        <v>-322.01672546744931</v>
      </c>
      <c r="O384" s="5">
        <f t="shared" si="230"/>
        <v>0</v>
      </c>
      <c r="P384" s="5">
        <f t="shared" si="231"/>
        <v>0</v>
      </c>
      <c r="Q384" s="5">
        <f t="shared" si="265"/>
        <v>0</v>
      </c>
      <c r="R384" s="5">
        <f t="shared" si="257"/>
        <v>0</v>
      </c>
      <c r="S384" s="5">
        <f t="shared" si="232"/>
        <v>0</v>
      </c>
      <c r="T384" s="5">
        <f t="shared" si="233"/>
        <v>0</v>
      </c>
      <c r="U384" s="74">
        <f t="shared" si="234"/>
        <v>0</v>
      </c>
      <c r="V384" s="75">
        <f t="shared" si="235"/>
        <v>0</v>
      </c>
      <c r="W384" s="5">
        <f t="shared" si="236"/>
        <v>0</v>
      </c>
      <c r="X384" s="5">
        <f t="shared" si="237"/>
        <v>195233.57288611672</v>
      </c>
      <c r="Y384" s="5">
        <f t="shared" si="258"/>
        <v>100000</v>
      </c>
      <c r="Z384" s="215">
        <f t="shared" si="238"/>
        <v>1</v>
      </c>
      <c r="AA384" s="216">
        <f t="shared" si="259"/>
        <v>0</v>
      </c>
      <c r="AB384" s="72">
        <f t="shared" si="266"/>
        <v>50215.72519964027</v>
      </c>
      <c r="AC384" s="72">
        <f t="shared" si="239"/>
        <v>0</v>
      </c>
      <c r="AD384" s="72">
        <f t="shared" si="240"/>
        <v>0</v>
      </c>
      <c r="AE384" s="72">
        <f t="shared" si="260"/>
        <v>-40.655135963943337</v>
      </c>
      <c r="AF384" s="70">
        <f t="shared" si="241"/>
        <v>0</v>
      </c>
      <c r="AG384" s="70">
        <f t="shared" si="242"/>
        <v>5055.0080729473848</v>
      </c>
      <c r="AH384" s="1">
        <f t="shared" si="275"/>
        <v>0</v>
      </c>
      <c r="AI384" s="1">
        <f t="shared" si="275"/>
        <v>0</v>
      </c>
      <c r="AJ384" s="1">
        <f t="shared" si="275"/>
        <v>0</v>
      </c>
      <c r="AK384" s="1">
        <f t="shared" si="275"/>
        <v>0</v>
      </c>
      <c r="AL384" s="1">
        <f t="shared" si="275"/>
        <v>0</v>
      </c>
      <c r="AM384" s="1">
        <f t="shared" si="275"/>
        <v>0</v>
      </c>
      <c r="AN384" s="1">
        <f t="shared" si="275"/>
        <v>0</v>
      </c>
      <c r="AO384" s="1">
        <f t="shared" si="275"/>
        <v>0</v>
      </c>
      <c r="AP384" s="1">
        <f t="shared" si="275"/>
        <v>0</v>
      </c>
      <c r="AQ384" s="1">
        <f t="shared" si="275"/>
        <v>1</v>
      </c>
      <c r="AR384" s="1">
        <f t="shared" si="275"/>
        <v>1</v>
      </c>
      <c r="AS384" s="1">
        <f t="shared" si="275"/>
        <v>1</v>
      </c>
      <c r="AT384" s="39">
        <f t="shared" si="243"/>
        <v>195233.57288611672</v>
      </c>
      <c r="AU384" s="39">
        <f t="shared" si="261"/>
        <v>195233.57288611672</v>
      </c>
      <c r="AV384" s="39">
        <f t="shared" si="271"/>
        <v>0</v>
      </c>
      <c r="AW384" s="3">
        <f t="shared" si="244"/>
        <v>310</v>
      </c>
      <c r="AX384" s="69">
        <f t="shared" si="262"/>
        <v>0</v>
      </c>
      <c r="AY384" s="75">
        <f t="shared" si="245"/>
        <v>0</v>
      </c>
      <c r="AZ384" s="75">
        <f t="shared" si="246"/>
        <v>0</v>
      </c>
      <c r="BA384" s="75">
        <f t="shared" si="247"/>
        <v>0</v>
      </c>
      <c r="BB384" s="75">
        <f t="shared" si="248"/>
        <v>0</v>
      </c>
      <c r="BD384" s="214">
        <f t="shared" si="263"/>
        <v>266755.9668948442</v>
      </c>
      <c r="BE384" s="214">
        <f t="shared" si="249"/>
        <v>1298.4481574676304</v>
      </c>
      <c r="BF384" s="214">
        <f t="shared" si="250"/>
        <v>-441.39881224404934</v>
      </c>
      <c r="BG384" s="224">
        <f t="shared" si="267"/>
        <v>0</v>
      </c>
      <c r="BH384" s="19">
        <f t="shared" si="264"/>
        <v>443897.27015788556</v>
      </c>
      <c r="BI384" s="214">
        <f t="shared" si="251"/>
        <v>2160.6924083112517</v>
      </c>
      <c r="BJ384" s="214">
        <f t="shared" si="252"/>
        <v>0</v>
      </c>
      <c r="BK384" s="19">
        <f t="shared" si="268"/>
        <v>0</v>
      </c>
    </row>
    <row r="385" spans="1:63">
      <c r="A385" s="165">
        <f t="shared" si="253"/>
        <v>87.889459274469544</v>
      </c>
      <c r="B385" s="69">
        <f t="shared" si="254"/>
        <v>26</v>
      </c>
      <c r="C385" s="70">
        <f t="shared" si="255"/>
        <v>311</v>
      </c>
      <c r="D385" s="13">
        <f t="shared" si="224"/>
        <v>4.8675505653430484E-3</v>
      </c>
      <c r="E385" s="15">
        <f t="shared" si="225"/>
        <v>1</v>
      </c>
      <c r="F385" s="15">
        <f t="shared" si="256"/>
        <v>0</v>
      </c>
      <c r="G385" s="15">
        <f t="shared" si="226"/>
        <v>0</v>
      </c>
      <c r="H385" s="73">
        <f t="shared" si="227"/>
        <v>0</v>
      </c>
      <c r="I385" s="189"/>
      <c r="J385" s="189"/>
      <c r="K385" s="5">
        <f t="shared" si="269"/>
        <v>195233.57288611672</v>
      </c>
      <c r="M385" s="5">
        <f t="shared" si="228"/>
        <v>950.30928807576072</v>
      </c>
      <c r="N385" s="5">
        <f t="shared" si="229"/>
        <v>-323.05131984569505</v>
      </c>
      <c r="O385" s="5">
        <f t="shared" si="230"/>
        <v>0</v>
      </c>
      <c r="P385" s="5">
        <f t="shared" si="231"/>
        <v>0</v>
      </c>
      <c r="Q385" s="5">
        <f t="shared" si="265"/>
        <v>0</v>
      </c>
      <c r="R385" s="5">
        <f t="shared" si="257"/>
        <v>0</v>
      </c>
      <c r="S385" s="5">
        <f t="shared" si="232"/>
        <v>0</v>
      </c>
      <c r="T385" s="5">
        <f t="shared" si="233"/>
        <v>0</v>
      </c>
      <c r="U385" s="74">
        <f t="shared" si="234"/>
        <v>0</v>
      </c>
      <c r="V385" s="75">
        <f t="shared" si="235"/>
        <v>0</v>
      </c>
      <c r="W385" s="5">
        <f t="shared" si="236"/>
        <v>0</v>
      </c>
      <c r="X385" s="5">
        <f t="shared" si="237"/>
        <v>195860.83085434677</v>
      </c>
      <c r="Y385" s="5">
        <f t="shared" si="258"/>
        <v>100000</v>
      </c>
      <c r="Z385" s="215">
        <f t="shared" si="238"/>
        <v>1</v>
      </c>
      <c r="AA385" s="216">
        <f t="shared" si="259"/>
        <v>0</v>
      </c>
      <c r="AB385" s="72">
        <f t="shared" si="266"/>
        <v>50215.72519964027</v>
      </c>
      <c r="AC385" s="72">
        <f t="shared" si="239"/>
        <v>0</v>
      </c>
      <c r="AD385" s="72">
        <f t="shared" si="240"/>
        <v>0</v>
      </c>
      <c r="AE385" s="72">
        <f t="shared" si="260"/>
        <v>-40.785755188935624</v>
      </c>
      <c r="AF385" s="70">
        <f t="shared" si="241"/>
        <v>0</v>
      </c>
      <c r="AG385" s="70">
        <f t="shared" si="242"/>
        <v>5293.3661008748022</v>
      </c>
      <c r="AH385" s="1">
        <f t="shared" ref="AH385:AS394" si="276">IF($B385&lt;=AH$74,1,0)</f>
        <v>0</v>
      </c>
      <c r="AI385" s="1">
        <f t="shared" si="276"/>
        <v>0</v>
      </c>
      <c r="AJ385" s="1">
        <f t="shared" si="276"/>
        <v>0</v>
      </c>
      <c r="AK385" s="1">
        <f t="shared" si="276"/>
        <v>0</v>
      </c>
      <c r="AL385" s="1">
        <f t="shared" si="276"/>
        <v>0</v>
      </c>
      <c r="AM385" s="1">
        <f t="shared" si="276"/>
        <v>0</v>
      </c>
      <c r="AN385" s="1">
        <f t="shared" si="276"/>
        <v>0</v>
      </c>
      <c r="AO385" s="1">
        <f t="shared" si="276"/>
        <v>0</v>
      </c>
      <c r="AP385" s="1">
        <f t="shared" si="276"/>
        <v>0</v>
      </c>
      <c r="AQ385" s="1">
        <f t="shared" si="276"/>
        <v>1</v>
      </c>
      <c r="AR385" s="1">
        <f t="shared" si="276"/>
        <v>1</v>
      </c>
      <c r="AS385" s="1">
        <f t="shared" si="276"/>
        <v>1</v>
      </c>
      <c r="AT385" s="39">
        <f t="shared" si="243"/>
        <v>195860.83085434677</v>
      </c>
      <c r="AU385" s="39">
        <f t="shared" si="261"/>
        <v>195860.83085434677</v>
      </c>
      <c r="AV385" s="39">
        <f t="shared" si="271"/>
        <v>0</v>
      </c>
      <c r="AW385" s="3">
        <f t="shared" si="244"/>
        <v>311</v>
      </c>
      <c r="AX385" s="69">
        <f t="shared" si="262"/>
        <v>0</v>
      </c>
      <c r="AY385" s="75">
        <f t="shared" si="245"/>
        <v>0</v>
      </c>
      <c r="AZ385" s="75">
        <f t="shared" si="246"/>
        <v>0</v>
      </c>
      <c r="BA385" s="75">
        <f t="shared" si="247"/>
        <v>0</v>
      </c>
      <c r="BB385" s="75">
        <f t="shared" si="248"/>
        <v>0</v>
      </c>
      <c r="BD385" s="214">
        <f t="shared" si="263"/>
        <v>267613.01624006778</v>
      </c>
      <c r="BE385" s="214">
        <f t="shared" si="249"/>
        <v>1302.6198884925004</v>
      </c>
      <c r="BF385" s="214">
        <f t="shared" si="250"/>
        <v>-442.81696445042661</v>
      </c>
      <c r="BG385" s="224">
        <f t="shared" si="267"/>
        <v>0</v>
      </c>
      <c r="BH385" s="19">
        <f t="shared" si="264"/>
        <v>446057.9625661968</v>
      </c>
      <c r="BI385" s="214">
        <f t="shared" si="251"/>
        <v>2171.2096878648595</v>
      </c>
      <c r="BJ385" s="214">
        <f t="shared" si="252"/>
        <v>0</v>
      </c>
      <c r="BK385" s="19">
        <f t="shared" si="268"/>
        <v>0</v>
      </c>
    </row>
    <row r="386" spans="1:63">
      <c r="A386" s="165">
        <f t="shared" si="253"/>
        <v>87.972792607802873</v>
      </c>
      <c r="B386" s="69">
        <f t="shared" si="254"/>
        <v>26</v>
      </c>
      <c r="C386" s="70">
        <f t="shared" si="255"/>
        <v>312</v>
      </c>
      <c r="D386" s="13">
        <f t="shared" si="224"/>
        <v>4.8675505653430484E-3</v>
      </c>
      <c r="E386" s="15">
        <f t="shared" si="225"/>
        <v>1</v>
      </c>
      <c r="F386" s="15">
        <f t="shared" si="256"/>
        <v>0</v>
      </c>
      <c r="G386" s="15">
        <f t="shared" si="226"/>
        <v>0</v>
      </c>
      <c r="H386" s="73">
        <f t="shared" si="227"/>
        <v>0</v>
      </c>
      <c r="I386" s="189"/>
      <c r="J386" s="189"/>
      <c r="K386" s="5">
        <f t="shared" si="269"/>
        <v>195860.83085434677</v>
      </c>
      <c r="M386" s="5">
        <f t="shared" si="228"/>
        <v>953.36249795363483</v>
      </c>
      <c r="N386" s="5">
        <f t="shared" si="229"/>
        <v>-324.08923822994063</v>
      </c>
      <c r="O386" s="5">
        <f t="shared" si="230"/>
        <v>0</v>
      </c>
      <c r="P386" s="5">
        <f t="shared" si="231"/>
        <v>0</v>
      </c>
      <c r="Q386" s="5">
        <f t="shared" si="265"/>
        <v>0</v>
      </c>
      <c r="R386" s="5">
        <f t="shared" si="257"/>
        <v>0</v>
      </c>
      <c r="S386" s="5">
        <f t="shared" si="232"/>
        <v>0</v>
      </c>
      <c r="T386" s="5">
        <f t="shared" si="233"/>
        <v>0</v>
      </c>
      <c r="U386" s="74">
        <f t="shared" si="234"/>
        <v>0</v>
      </c>
      <c r="V386" s="75">
        <f t="shared" si="235"/>
        <v>0</v>
      </c>
      <c r="W386" s="5">
        <f t="shared" si="236"/>
        <v>0</v>
      </c>
      <c r="X386" s="5">
        <f t="shared" si="237"/>
        <v>196490.10411407048</v>
      </c>
      <c r="Y386" s="5">
        <f t="shared" si="258"/>
        <v>100000</v>
      </c>
      <c r="Z386" s="215">
        <f t="shared" si="238"/>
        <v>1</v>
      </c>
      <c r="AA386" s="216">
        <f t="shared" si="259"/>
        <v>0</v>
      </c>
      <c r="AB386" s="72">
        <f t="shared" si="266"/>
        <v>50215.72519964027</v>
      </c>
      <c r="AC386" s="72">
        <f t="shared" si="239"/>
        <v>0</v>
      </c>
      <c r="AD386" s="72">
        <f t="shared" si="240"/>
        <v>0</v>
      </c>
      <c r="AE386" s="72">
        <f t="shared" si="260"/>
        <v>-40.916794075098217</v>
      </c>
      <c r="AF386" s="70">
        <f t="shared" si="241"/>
        <v>0</v>
      </c>
      <c r="AG386" s="70">
        <f t="shared" si="242"/>
        <v>5532.4899395698085</v>
      </c>
      <c r="AH386" s="1">
        <f t="shared" si="276"/>
        <v>0</v>
      </c>
      <c r="AI386" s="1">
        <f t="shared" si="276"/>
        <v>0</v>
      </c>
      <c r="AJ386" s="1">
        <f t="shared" si="276"/>
        <v>0</v>
      </c>
      <c r="AK386" s="1">
        <f t="shared" si="276"/>
        <v>0</v>
      </c>
      <c r="AL386" s="1">
        <f t="shared" si="276"/>
        <v>0</v>
      </c>
      <c r="AM386" s="1">
        <f t="shared" si="276"/>
        <v>0</v>
      </c>
      <c r="AN386" s="1">
        <f t="shared" si="276"/>
        <v>0</v>
      </c>
      <c r="AO386" s="1">
        <f t="shared" si="276"/>
        <v>0</v>
      </c>
      <c r="AP386" s="1">
        <f t="shared" si="276"/>
        <v>0</v>
      </c>
      <c r="AQ386" s="1">
        <f t="shared" si="276"/>
        <v>1</v>
      </c>
      <c r="AR386" s="1">
        <f t="shared" si="276"/>
        <v>1</v>
      </c>
      <c r="AS386" s="1">
        <f t="shared" si="276"/>
        <v>1</v>
      </c>
      <c r="AT386" s="39">
        <f t="shared" si="243"/>
        <v>196490.10411407048</v>
      </c>
      <c r="AU386" s="39">
        <f t="shared" si="261"/>
        <v>196490.10411407048</v>
      </c>
      <c r="AV386" s="39">
        <f t="shared" si="271"/>
        <v>0</v>
      </c>
      <c r="AW386" s="3">
        <f t="shared" si="244"/>
        <v>312</v>
      </c>
      <c r="AX386" s="69">
        <f t="shared" si="262"/>
        <v>0</v>
      </c>
      <c r="AY386" s="75">
        <f t="shared" si="245"/>
        <v>0</v>
      </c>
      <c r="AZ386" s="75">
        <f t="shared" si="246"/>
        <v>0</v>
      </c>
      <c r="BA386" s="75">
        <f t="shared" si="247"/>
        <v>0</v>
      </c>
      <c r="BB386" s="75">
        <f t="shared" si="248"/>
        <v>0</v>
      </c>
      <c r="BD386" s="214">
        <f t="shared" si="263"/>
        <v>268472.81916410988</v>
      </c>
      <c r="BE386" s="214">
        <f t="shared" si="249"/>
        <v>1306.8050227015051</v>
      </c>
      <c r="BF386" s="214">
        <f t="shared" si="250"/>
        <v>-444.23967298007591</v>
      </c>
      <c r="BG386" s="224">
        <f t="shared" si="267"/>
        <v>0</v>
      </c>
      <c r="BH386" s="19">
        <f t="shared" si="264"/>
        <v>448229.17225406168</v>
      </c>
      <c r="BI386" s="214">
        <f t="shared" si="251"/>
        <v>2181.7781608085047</v>
      </c>
      <c r="BJ386" s="214">
        <f t="shared" si="252"/>
        <v>0</v>
      </c>
      <c r="BK386" s="19">
        <f t="shared" si="268"/>
        <v>0</v>
      </c>
    </row>
    <row r="387" spans="1:63">
      <c r="A387" s="165">
        <f t="shared" si="253"/>
        <v>88.056125941136202</v>
      </c>
      <c r="B387" s="69">
        <f t="shared" si="254"/>
        <v>27</v>
      </c>
      <c r="C387" s="70">
        <f t="shared" si="255"/>
        <v>313</v>
      </c>
      <c r="D387" s="13">
        <f t="shared" si="224"/>
        <v>4.8675505653430484E-3</v>
      </c>
      <c r="E387" s="15">
        <f t="shared" si="225"/>
        <v>1</v>
      </c>
      <c r="F387" s="15">
        <f t="shared" si="256"/>
        <v>0</v>
      </c>
      <c r="G387" s="15">
        <f t="shared" si="226"/>
        <v>0</v>
      </c>
      <c r="H387" s="73">
        <f t="shared" si="227"/>
        <v>0</v>
      </c>
      <c r="I387" s="189"/>
      <c r="J387" s="189"/>
      <c r="K387" s="5">
        <f t="shared" si="269"/>
        <v>196490.10411407048</v>
      </c>
      <c r="M387" s="5">
        <f t="shared" si="228"/>
        <v>956.42551736475821</v>
      </c>
      <c r="N387" s="5">
        <f t="shared" si="229"/>
        <v>-325.13049129974911</v>
      </c>
      <c r="O387" s="5">
        <f t="shared" si="230"/>
        <v>0</v>
      </c>
      <c r="P387" s="5">
        <f t="shared" si="231"/>
        <v>0</v>
      </c>
      <c r="Q387" s="5">
        <f t="shared" si="265"/>
        <v>0</v>
      </c>
      <c r="R387" s="5">
        <f t="shared" si="257"/>
        <v>0</v>
      </c>
      <c r="S387" s="5">
        <f t="shared" si="232"/>
        <v>0</v>
      </c>
      <c r="T387" s="5">
        <f t="shared" si="233"/>
        <v>0</v>
      </c>
      <c r="U387" s="74">
        <f t="shared" si="234"/>
        <v>0</v>
      </c>
      <c r="V387" s="75">
        <f t="shared" si="235"/>
        <v>0</v>
      </c>
      <c r="W387" s="5">
        <f t="shared" si="236"/>
        <v>0</v>
      </c>
      <c r="X387" s="5">
        <f t="shared" si="237"/>
        <v>197121.39914013547</v>
      </c>
      <c r="Y387" s="5">
        <f t="shared" si="258"/>
        <v>100000</v>
      </c>
      <c r="Z387" s="215">
        <f t="shared" si="238"/>
        <v>1</v>
      </c>
      <c r="AA387" s="216">
        <f t="shared" si="259"/>
        <v>0</v>
      </c>
      <c r="AB387" s="72">
        <f t="shared" si="266"/>
        <v>50215.72519964027</v>
      </c>
      <c r="AC387" s="72">
        <f t="shared" si="239"/>
        <v>0</v>
      </c>
      <c r="AD387" s="72">
        <f t="shared" si="240"/>
        <v>0</v>
      </c>
      <c r="AE387" s="72">
        <f t="shared" si="260"/>
        <v>-41.048253970743346</v>
      </c>
      <c r="AF387" s="70">
        <f t="shared" si="241"/>
        <v>0</v>
      </c>
      <c r="AG387" s="70">
        <f t="shared" si="242"/>
        <v>5772.3820494745087</v>
      </c>
      <c r="AH387" s="1">
        <f t="shared" si="276"/>
        <v>0</v>
      </c>
      <c r="AI387" s="1">
        <f t="shared" si="276"/>
        <v>0</v>
      </c>
      <c r="AJ387" s="1">
        <f t="shared" si="276"/>
        <v>0</v>
      </c>
      <c r="AK387" s="1">
        <f t="shared" si="276"/>
        <v>0</v>
      </c>
      <c r="AL387" s="1">
        <f t="shared" si="276"/>
        <v>0</v>
      </c>
      <c r="AM387" s="1">
        <f t="shared" si="276"/>
        <v>0</v>
      </c>
      <c r="AN387" s="1">
        <f t="shared" si="276"/>
        <v>0</v>
      </c>
      <c r="AO387" s="1">
        <f t="shared" si="276"/>
        <v>0</v>
      </c>
      <c r="AP387" s="1">
        <f t="shared" si="276"/>
        <v>0</v>
      </c>
      <c r="AQ387" s="1">
        <f t="shared" si="276"/>
        <v>1</v>
      </c>
      <c r="AR387" s="1">
        <f t="shared" si="276"/>
        <v>1</v>
      </c>
      <c r="AS387" s="1">
        <f t="shared" si="276"/>
        <v>1</v>
      </c>
      <c r="AT387" s="39">
        <f t="shared" si="243"/>
        <v>197121.39914013547</v>
      </c>
      <c r="AU387" s="39">
        <f t="shared" si="261"/>
        <v>197121.39914013547</v>
      </c>
      <c r="AV387" s="39">
        <f t="shared" si="271"/>
        <v>0</v>
      </c>
      <c r="AW387" s="3">
        <f t="shared" si="244"/>
        <v>313</v>
      </c>
      <c r="AX387" s="69">
        <f t="shared" si="262"/>
        <v>0</v>
      </c>
      <c r="AY387" s="75">
        <f t="shared" si="245"/>
        <v>0</v>
      </c>
      <c r="AZ387" s="75">
        <f t="shared" si="246"/>
        <v>0</v>
      </c>
      <c r="BA387" s="75">
        <f t="shared" si="247"/>
        <v>0</v>
      </c>
      <c r="BB387" s="75">
        <f t="shared" si="248"/>
        <v>0</v>
      </c>
      <c r="BD387" s="214">
        <f t="shared" si="263"/>
        <v>269335.38451383129</v>
      </c>
      <c r="BE387" s="214">
        <f t="shared" si="249"/>
        <v>1311.0036031571867</v>
      </c>
      <c r="BF387" s="214">
        <f t="shared" si="250"/>
        <v>-445.66695247182201</v>
      </c>
      <c r="BG387" s="224">
        <f t="shared" si="267"/>
        <v>0</v>
      </c>
      <c r="BH387" s="19">
        <f t="shared" si="264"/>
        <v>450410.95041487017</v>
      </c>
      <c r="BI387" s="214">
        <f t="shared" si="251"/>
        <v>2192.3980763286008</v>
      </c>
      <c r="BJ387" s="214">
        <f t="shared" si="252"/>
        <v>0</v>
      </c>
      <c r="BK387" s="19">
        <f t="shared" si="268"/>
        <v>0</v>
      </c>
    </row>
    <row r="388" spans="1:63">
      <c r="A388" s="165">
        <f t="shared" si="253"/>
        <v>88.139459274469544</v>
      </c>
      <c r="B388" s="69">
        <f t="shared" si="254"/>
        <v>27</v>
      </c>
      <c r="C388" s="70">
        <f t="shared" si="255"/>
        <v>314</v>
      </c>
      <c r="D388" s="13">
        <f t="shared" si="224"/>
        <v>4.8675505653430484E-3</v>
      </c>
      <c r="E388" s="15">
        <f t="shared" si="225"/>
        <v>1</v>
      </c>
      <c r="F388" s="15">
        <f t="shared" si="256"/>
        <v>0</v>
      </c>
      <c r="G388" s="15">
        <f t="shared" si="226"/>
        <v>0</v>
      </c>
      <c r="H388" s="73">
        <f t="shared" si="227"/>
        <v>0</v>
      </c>
      <c r="I388" s="189"/>
      <c r="J388" s="189"/>
      <c r="K388" s="5">
        <f t="shared" si="269"/>
        <v>197121.39914013547</v>
      </c>
      <c r="M388" s="5">
        <f t="shared" si="228"/>
        <v>959.49837782577913</v>
      </c>
      <c r="N388" s="5">
        <f t="shared" si="229"/>
        <v>-326.17508976899535</v>
      </c>
      <c r="O388" s="5">
        <f t="shared" si="230"/>
        <v>0</v>
      </c>
      <c r="P388" s="5">
        <f t="shared" si="231"/>
        <v>0</v>
      </c>
      <c r="Q388" s="5">
        <f t="shared" si="265"/>
        <v>0</v>
      </c>
      <c r="R388" s="5">
        <f t="shared" si="257"/>
        <v>0</v>
      </c>
      <c r="S388" s="5">
        <f t="shared" si="232"/>
        <v>0</v>
      </c>
      <c r="T388" s="5">
        <f t="shared" si="233"/>
        <v>0</v>
      </c>
      <c r="U388" s="74">
        <f t="shared" si="234"/>
        <v>0</v>
      </c>
      <c r="V388" s="75">
        <f t="shared" si="235"/>
        <v>0</v>
      </c>
      <c r="W388" s="5">
        <f t="shared" si="236"/>
        <v>0</v>
      </c>
      <c r="X388" s="5">
        <f t="shared" si="237"/>
        <v>197754.72242819224</v>
      </c>
      <c r="Y388" s="5">
        <f t="shared" si="258"/>
        <v>100000</v>
      </c>
      <c r="Z388" s="215">
        <f t="shared" si="238"/>
        <v>1</v>
      </c>
      <c r="AA388" s="216">
        <f t="shared" si="259"/>
        <v>0</v>
      </c>
      <c r="AB388" s="72">
        <f t="shared" si="266"/>
        <v>50215.72519964027</v>
      </c>
      <c r="AC388" s="72">
        <f t="shared" si="239"/>
        <v>0</v>
      </c>
      <c r="AD388" s="72">
        <f t="shared" si="240"/>
        <v>0</v>
      </c>
      <c r="AE388" s="72">
        <f t="shared" si="260"/>
        <v>-41.18013622851516</v>
      </c>
      <c r="AF388" s="70">
        <f t="shared" si="241"/>
        <v>0</v>
      </c>
      <c r="AG388" s="70">
        <f t="shared" si="242"/>
        <v>6013.0448989360812</v>
      </c>
      <c r="AH388" s="1">
        <f t="shared" si="276"/>
        <v>0</v>
      </c>
      <c r="AI388" s="1">
        <f t="shared" si="276"/>
        <v>0</v>
      </c>
      <c r="AJ388" s="1">
        <f t="shared" si="276"/>
        <v>0</v>
      </c>
      <c r="AK388" s="1">
        <f t="shared" si="276"/>
        <v>0</v>
      </c>
      <c r="AL388" s="1">
        <f t="shared" si="276"/>
        <v>0</v>
      </c>
      <c r="AM388" s="1">
        <f t="shared" si="276"/>
        <v>0</v>
      </c>
      <c r="AN388" s="1">
        <f t="shared" si="276"/>
        <v>0</v>
      </c>
      <c r="AO388" s="1">
        <f t="shared" si="276"/>
        <v>0</v>
      </c>
      <c r="AP388" s="1">
        <f t="shared" si="276"/>
        <v>0</v>
      </c>
      <c r="AQ388" s="1">
        <f t="shared" si="276"/>
        <v>1</v>
      </c>
      <c r="AR388" s="1">
        <f t="shared" si="276"/>
        <v>1</v>
      </c>
      <c r="AS388" s="1">
        <f t="shared" si="276"/>
        <v>1</v>
      </c>
      <c r="AT388" s="39">
        <f t="shared" si="243"/>
        <v>197754.72242819224</v>
      </c>
      <c r="AU388" s="39">
        <f t="shared" si="261"/>
        <v>197754.72242819224</v>
      </c>
      <c r="AV388" s="39">
        <f t="shared" si="271"/>
        <v>0</v>
      </c>
      <c r="AW388" s="3">
        <f t="shared" si="244"/>
        <v>314</v>
      </c>
      <c r="AX388" s="69">
        <f t="shared" si="262"/>
        <v>0</v>
      </c>
      <c r="AY388" s="75">
        <f t="shared" si="245"/>
        <v>0</v>
      </c>
      <c r="AZ388" s="75">
        <f t="shared" si="246"/>
        <v>0</v>
      </c>
      <c r="BA388" s="75">
        <f t="shared" si="247"/>
        <v>0</v>
      </c>
      <c r="BB388" s="75">
        <f t="shared" si="248"/>
        <v>0</v>
      </c>
      <c r="BD388" s="214">
        <f t="shared" si="263"/>
        <v>270200.72116451664</v>
      </c>
      <c r="BE388" s="214">
        <f t="shared" si="249"/>
        <v>1315.2156730604424</v>
      </c>
      <c r="BF388" s="214">
        <f t="shared" si="250"/>
        <v>-447.09881761152218</v>
      </c>
      <c r="BG388" s="224">
        <f t="shared" si="267"/>
        <v>0</v>
      </c>
      <c r="BH388" s="19">
        <f t="shared" si="264"/>
        <v>452603.34849119879</v>
      </c>
      <c r="BI388" s="214">
        <f t="shared" si="251"/>
        <v>2203.0696848244916</v>
      </c>
      <c r="BJ388" s="214">
        <f t="shared" si="252"/>
        <v>0</v>
      </c>
      <c r="BK388" s="19">
        <f t="shared" si="268"/>
        <v>0</v>
      </c>
    </row>
    <row r="389" spans="1:63">
      <c r="A389" s="165">
        <f t="shared" si="253"/>
        <v>88.222792607802873</v>
      </c>
      <c r="B389" s="69">
        <f t="shared" si="254"/>
        <v>27</v>
      </c>
      <c r="C389" s="70">
        <f t="shared" si="255"/>
        <v>315</v>
      </c>
      <c r="D389" s="13">
        <f t="shared" si="224"/>
        <v>4.8675505653430484E-3</v>
      </c>
      <c r="E389" s="15">
        <f t="shared" si="225"/>
        <v>1</v>
      </c>
      <c r="F389" s="15">
        <f t="shared" si="256"/>
        <v>0</v>
      </c>
      <c r="G389" s="15">
        <f t="shared" si="226"/>
        <v>0</v>
      </c>
      <c r="H389" s="73">
        <f t="shared" si="227"/>
        <v>0</v>
      </c>
      <c r="I389" s="189"/>
      <c r="J389" s="189"/>
      <c r="K389" s="5">
        <f t="shared" si="269"/>
        <v>197754.72242819224</v>
      </c>
      <c r="M389" s="5">
        <f t="shared" si="228"/>
        <v>962.5811109546047</v>
      </c>
      <c r="N389" s="5">
        <f t="shared" si="229"/>
        <v>-327.22304438597661</v>
      </c>
      <c r="O389" s="5">
        <f t="shared" si="230"/>
        <v>0</v>
      </c>
      <c r="P389" s="5">
        <f t="shared" si="231"/>
        <v>0</v>
      </c>
      <c r="Q389" s="5">
        <f t="shared" si="265"/>
        <v>0</v>
      </c>
      <c r="R389" s="5">
        <f t="shared" si="257"/>
        <v>0</v>
      </c>
      <c r="S389" s="5">
        <f t="shared" si="232"/>
        <v>0</v>
      </c>
      <c r="T389" s="5">
        <f t="shared" si="233"/>
        <v>0</v>
      </c>
      <c r="U389" s="74">
        <f t="shared" si="234"/>
        <v>0</v>
      </c>
      <c r="V389" s="75">
        <f t="shared" si="235"/>
        <v>0</v>
      </c>
      <c r="W389" s="5">
        <f t="shared" si="236"/>
        <v>0</v>
      </c>
      <c r="X389" s="5">
        <f t="shared" si="237"/>
        <v>198390.08049476086</v>
      </c>
      <c r="Y389" s="5">
        <f t="shared" si="258"/>
        <v>100000</v>
      </c>
      <c r="Z389" s="215">
        <f t="shared" si="238"/>
        <v>1</v>
      </c>
      <c r="AA389" s="216">
        <f t="shared" si="259"/>
        <v>0</v>
      </c>
      <c r="AB389" s="72">
        <f t="shared" si="266"/>
        <v>50215.72519964027</v>
      </c>
      <c r="AC389" s="72">
        <f t="shared" si="239"/>
        <v>0</v>
      </c>
      <c r="AD389" s="72">
        <f t="shared" si="240"/>
        <v>0</v>
      </c>
      <c r="AE389" s="72">
        <f t="shared" si="260"/>
        <v>-41.312442205403691</v>
      </c>
      <c r="AF389" s="70">
        <f t="shared" si="241"/>
        <v>0</v>
      </c>
      <c r="AG389" s="70">
        <f t="shared" si="242"/>
        <v>6254.4809642321561</v>
      </c>
      <c r="AH389" s="1">
        <f t="shared" si="276"/>
        <v>0</v>
      </c>
      <c r="AI389" s="1">
        <f t="shared" si="276"/>
        <v>0</v>
      </c>
      <c r="AJ389" s="1">
        <f t="shared" si="276"/>
        <v>0</v>
      </c>
      <c r="AK389" s="1">
        <f t="shared" si="276"/>
        <v>0</v>
      </c>
      <c r="AL389" s="1">
        <f t="shared" si="276"/>
        <v>0</v>
      </c>
      <c r="AM389" s="1">
        <f t="shared" si="276"/>
        <v>0</v>
      </c>
      <c r="AN389" s="1">
        <f t="shared" si="276"/>
        <v>0</v>
      </c>
      <c r="AO389" s="1">
        <f t="shared" si="276"/>
        <v>0</v>
      </c>
      <c r="AP389" s="1">
        <f t="shared" si="276"/>
        <v>0</v>
      </c>
      <c r="AQ389" s="1">
        <f t="shared" si="276"/>
        <v>1</v>
      </c>
      <c r="AR389" s="1">
        <f t="shared" si="276"/>
        <v>1</v>
      </c>
      <c r="AS389" s="1">
        <f t="shared" si="276"/>
        <v>1</v>
      </c>
      <c r="AT389" s="39">
        <f t="shared" si="243"/>
        <v>198390.08049476086</v>
      </c>
      <c r="AU389" s="39">
        <f t="shared" si="261"/>
        <v>198390.08049476086</v>
      </c>
      <c r="AV389" s="39">
        <f t="shared" si="271"/>
        <v>0</v>
      </c>
      <c r="AW389" s="3">
        <f t="shared" si="244"/>
        <v>315</v>
      </c>
      <c r="AX389" s="69">
        <f t="shared" si="262"/>
        <v>0</v>
      </c>
      <c r="AY389" s="75">
        <f t="shared" si="245"/>
        <v>0</v>
      </c>
      <c r="AZ389" s="75">
        <f t="shared" si="246"/>
        <v>0</v>
      </c>
      <c r="BA389" s="75">
        <f t="shared" si="247"/>
        <v>0</v>
      </c>
      <c r="BB389" s="75">
        <f t="shared" si="248"/>
        <v>0</v>
      </c>
      <c r="BD389" s="214">
        <f t="shared" si="263"/>
        <v>271068.83801996557</v>
      </c>
      <c r="BE389" s="214">
        <f t="shared" si="249"/>
        <v>1319.4412757509665</v>
      </c>
      <c r="BF389" s="214">
        <f t="shared" si="250"/>
        <v>-448.53528313221756</v>
      </c>
      <c r="BG389" s="224">
        <f t="shared" si="267"/>
        <v>0</v>
      </c>
      <c r="BH389" s="19">
        <f t="shared" si="264"/>
        <v>454806.41817602329</v>
      </c>
      <c r="BI389" s="214">
        <f t="shared" si="251"/>
        <v>2213.793237914349</v>
      </c>
      <c r="BJ389" s="214">
        <f t="shared" si="252"/>
        <v>0</v>
      </c>
      <c r="BK389" s="19">
        <f t="shared" si="268"/>
        <v>0</v>
      </c>
    </row>
    <row r="390" spans="1:63">
      <c r="A390" s="165">
        <f t="shared" si="253"/>
        <v>88.306125941136202</v>
      </c>
      <c r="B390" s="69">
        <f t="shared" si="254"/>
        <v>27</v>
      </c>
      <c r="C390" s="70">
        <f t="shared" si="255"/>
        <v>316</v>
      </c>
      <c r="D390" s="13">
        <f t="shared" si="224"/>
        <v>4.8675505653430484E-3</v>
      </c>
      <c r="E390" s="15">
        <f t="shared" si="225"/>
        <v>1</v>
      </c>
      <c r="F390" s="15">
        <f t="shared" si="256"/>
        <v>0</v>
      </c>
      <c r="G390" s="15">
        <f t="shared" si="226"/>
        <v>0</v>
      </c>
      <c r="H390" s="73">
        <f t="shared" si="227"/>
        <v>0</v>
      </c>
      <c r="I390" s="189"/>
      <c r="J390" s="189"/>
      <c r="K390" s="5">
        <f t="shared" si="269"/>
        <v>198390.08049476086</v>
      </c>
      <c r="M390" s="5">
        <f t="shared" si="228"/>
        <v>965.67374847072608</v>
      </c>
      <c r="N390" s="5">
        <f t="shared" si="229"/>
        <v>-328.2743659335228</v>
      </c>
      <c r="O390" s="5">
        <f t="shared" si="230"/>
        <v>0</v>
      </c>
      <c r="P390" s="5">
        <f t="shared" si="231"/>
        <v>0</v>
      </c>
      <c r="Q390" s="5">
        <f t="shared" si="265"/>
        <v>0</v>
      </c>
      <c r="R390" s="5">
        <f t="shared" si="257"/>
        <v>0</v>
      </c>
      <c r="S390" s="5">
        <f t="shared" si="232"/>
        <v>0</v>
      </c>
      <c r="T390" s="5">
        <f t="shared" si="233"/>
        <v>0</v>
      </c>
      <c r="U390" s="74">
        <f t="shared" si="234"/>
        <v>0</v>
      </c>
      <c r="V390" s="75">
        <f t="shared" si="235"/>
        <v>0</v>
      </c>
      <c r="W390" s="5">
        <f t="shared" si="236"/>
        <v>0</v>
      </c>
      <c r="X390" s="5">
        <f t="shared" si="237"/>
        <v>199027.47987729806</v>
      </c>
      <c r="Y390" s="5">
        <f t="shared" si="258"/>
        <v>100000</v>
      </c>
      <c r="Z390" s="215">
        <f t="shared" si="238"/>
        <v>1</v>
      </c>
      <c r="AA390" s="216">
        <f t="shared" si="259"/>
        <v>0</v>
      </c>
      <c r="AB390" s="72">
        <f t="shared" si="266"/>
        <v>50215.72519964027</v>
      </c>
      <c r="AC390" s="72">
        <f t="shared" si="239"/>
        <v>0</v>
      </c>
      <c r="AD390" s="72">
        <f t="shared" si="240"/>
        <v>0</v>
      </c>
      <c r="AE390" s="72">
        <f t="shared" si="260"/>
        <v>-41.445173262758765</v>
      </c>
      <c r="AF390" s="70">
        <f t="shared" si="241"/>
        <v>0</v>
      </c>
      <c r="AG390" s="70">
        <f t="shared" si="242"/>
        <v>6496.6927295962887</v>
      </c>
      <c r="AH390" s="1">
        <f t="shared" si="276"/>
        <v>0</v>
      </c>
      <c r="AI390" s="1">
        <f t="shared" si="276"/>
        <v>0</v>
      </c>
      <c r="AJ390" s="1">
        <f t="shared" si="276"/>
        <v>0</v>
      </c>
      <c r="AK390" s="1">
        <f t="shared" si="276"/>
        <v>0</v>
      </c>
      <c r="AL390" s="1">
        <f t="shared" si="276"/>
        <v>0</v>
      </c>
      <c r="AM390" s="1">
        <f t="shared" si="276"/>
        <v>0</v>
      </c>
      <c r="AN390" s="1">
        <f t="shared" si="276"/>
        <v>0</v>
      </c>
      <c r="AO390" s="1">
        <f t="shared" si="276"/>
        <v>0</v>
      </c>
      <c r="AP390" s="1">
        <f t="shared" si="276"/>
        <v>0</v>
      </c>
      <c r="AQ390" s="1">
        <f t="shared" si="276"/>
        <v>1</v>
      </c>
      <c r="AR390" s="1">
        <f t="shared" si="276"/>
        <v>1</v>
      </c>
      <c r="AS390" s="1">
        <f t="shared" si="276"/>
        <v>1</v>
      </c>
      <c r="AT390" s="39">
        <f t="shared" si="243"/>
        <v>199027.47987729806</v>
      </c>
      <c r="AU390" s="39">
        <f t="shared" si="261"/>
        <v>199027.47987729806</v>
      </c>
      <c r="AV390" s="39">
        <f t="shared" si="271"/>
        <v>0</v>
      </c>
      <c r="AW390" s="3">
        <f t="shared" si="244"/>
        <v>316</v>
      </c>
      <c r="AX390" s="69">
        <f t="shared" si="262"/>
        <v>0</v>
      </c>
      <c r="AY390" s="75">
        <f t="shared" si="245"/>
        <v>0</v>
      </c>
      <c r="AZ390" s="75">
        <f t="shared" si="246"/>
        <v>0</v>
      </c>
      <c r="BA390" s="75">
        <f t="shared" si="247"/>
        <v>0</v>
      </c>
      <c r="BB390" s="75">
        <f t="shared" si="248"/>
        <v>0</v>
      </c>
      <c r="BD390" s="214">
        <f t="shared" si="263"/>
        <v>271939.74401258433</v>
      </c>
      <c r="BE390" s="214">
        <f t="shared" si="249"/>
        <v>1323.6804547076988</v>
      </c>
      <c r="BF390" s="214">
        <f t="shared" si="250"/>
        <v>-449.97636381428413</v>
      </c>
      <c r="BG390" s="224">
        <f t="shared" si="267"/>
        <v>0</v>
      </c>
      <c r="BH390" s="19">
        <f t="shared" si="264"/>
        <v>457020.21141393762</v>
      </c>
      <c r="BI390" s="214">
        <f t="shared" si="251"/>
        <v>2224.5689884411117</v>
      </c>
      <c r="BJ390" s="214">
        <f t="shared" si="252"/>
        <v>0</v>
      </c>
      <c r="BK390" s="19">
        <f t="shared" si="268"/>
        <v>0</v>
      </c>
    </row>
    <row r="391" spans="1:63">
      <c r="A391" s="165">
        <f t="shared" si="253"/>
        <v>88.389459274469544</v>
      </c>
      <c r="B391" s="69">
        <f t="shared" si="254"/>
        <v>27</v>
      </c>
      <c r="C391" s="70">
        <f t="shared" si="255"/>
        <v>317</v>
      </c>
      <c r="D391" s="13">
        <f t="shared" si="224"/>
        <v>4.8675505653430484E-3</v>
      </c>
      <c r="E391" s="15">
        <f t="shared" si="225"/>
        <v>1</v>
      </c>
      <c r="F391" s="15">
        <f t="shared" si="256"/>
        <v>0</v>
      </c>
      <c r="G391" s="15">
        <f t="shared" si="226"/>
        <v>0</v>
      </c>
      <c r="H391" s="73">
        <f t="shared" si="227"/>
        <v>0</v>
      </c>
      <c r="I391" s="189"/>
      <c r="J391" s="189"/>
      <c r="K391" s="5">
        <f t="shared" si="269"/>
        <v>199027.47987729806</v>
      </c>
      <c r="M391" s="5">
        <f t="shared" si="228"/>
        <v>968.77632219554437</v>
      </c>
      <c r="N391" s="5">
        <f t="shared" si="229"/>
        <v>-329.32906522910753</v>
      </c>
      <c r="O391" s="5">
        <f t="shared" si="230"/>
        <v>0</v>
      </c>
      <c r="P391" s="5">
        <f t="shared" si="231"/>
        <v>0</v>
      </c>
      <c r="Q391" s="5">
        <f t="shared" si="265"/>
        <v>0</v>
      </c>
      <c r="R391" s="5">
        <f t="shared" si="257"/>
        <v>0</v>
      </c>
      <c r="S391" s="5">
        <f t="shared" si="232"/>
        <v>0</v>
      </c>
      <c r="T391" s="5">
        <f t="shared" si="233"/>
        <v>0</v>
      </c>
      <c r="U391" s="74">
        <f t="shared" si="234"/>
        <v>0</v>
      </c>
      <c r="V391" s="75">
        <f t="shared" si="235"/>
        <v>0</v>
      </c>
      <c r="W391" s="5">
        <f t="shared" si="236"/>
        <v>0</v>
      </c>
      <c r="X391" s="5">
        <f t="shared" si="237"/>
        <v>199666.92713426449</v>
      </c>
      <c r="Y391" s="5">
        <f t="shared" si="258"/>
        <v>100000</v>
      </c>
      <c r="Z391" s="215">
        <f t="shared" si="238"/>
        <v>1</v>
      </c>
      <c r="AA391" s="216">
        <f t="shared" si="259"/>
        <v>0</v>
      </c>
      <c r="AB391" s="72">
        <f t="shared" si="266"/>
        <v>50215.72519964027</v>
      </c>
      <c r="AC391" s="72">
        <f t="shared" si="239"/>
        <v>0</v>
      </c>
      <c r="AD391" s="72">
        <f t="shared" si="240"/>
        <v>0</v>
      </c>
      <c r="AE391" s="72">
        <f t="shared" si="260"/>
        <v>-41.578330766304042</v>
      </c>
      <c r="AF391" s="70">
        <f t="shared" si="241"/>
        <v>0</v>
      </c>
      <c r="AG391" s="70">
        <f t="shared" si="242"/>
        <v>6739.6826872435413</v>
      </c>
      <c r="AH391" s="1">
        <f t="shared" si="276"/>
        <v>0</v>
      </c>
      <c r="AI391" s="1">
        <f t="shared" si="276"/>
        <v>0</v>
      </c>
      <c r="AJ391" s="1">
        <f t="shared" si="276"/>
        <v>0</v>
      </c>
      <c r="AK391" s="1">
        <f t="shared" si="276"/>
        <v>0</v>
      </c>
      <c r="AL391" s="1">
        <f t="shared" si="276"/>
        <v>0</v>
      </c>
      <c r="AM391" s="1">
        <f t="shared" si="276"/>
        <v>0</v>
      </c>
      <c r="AN391" s="1">
        <f t="shared" si="276"/>
        <v>0</v>
      </c>
      <c r="AO391" s="1">
        <f t="shared" si="276"/>
        <v>0</v>
      </c>
      <c r="AP391" s="1">
        <f t="shared" si="276"/>
        <v>0</v>
      </c>
      <c r="AQ391" s="1">
        <f t="shared" si="276"/>
        <v>1</v>
      </c>
      <c r="AR391" s="1">
        <f t="shared" si="276"/>
        <v>1</v>
      </c>
      <c r="AS391" s="1">
        <f t="shared" si="276"/>
        <v>1</v>
      </c>
      <c r="AT391" s="39">
        <f t="shared" si="243"/>
        <v>199666.92713426449</v>
      </c>
      <c r="AU391" s="39">
        <f t="shared" si="261"/>
        <v>199666.92713426449</v>
      </c>
      <c r="AV391" s="39">
        <f t="shared" si="271"/>
        <v>0</v>
      </c>
      <c r="AW391" s="3">
        <f t="shared" si="244"/>
        <v>317</v>
      </c>
      <c r="AX391" s="69">
        <f t="shared" si="262"/>
        <v>0</v>
      </c>
      <c r="AY391" s="75">
        <f t="shared" si="245"/>
        <v>0</v>
      </c>
      <c r="AZ391" s="75">
        <f t="shared" si="246"/>
        <v>0</v>
      </c>
      <c r="BA391" s="75">
        <f t="shared" si="247"/>
        <v>0</v>
      </c>
      <c r="BB391" s="75">
        <f t="shared" si="248"/>
        <v>0</v>
      </c>
      <c r="BD391" s="214">
        <f t="shared" si="263"/>
        <v>272813.44810347777</v>
      </c>
      <c r="BE391" s="214">
        <f t="shared" si="249"/>
        <v>1327.9332535492697</v>
      </c>
      <c r="BF391" s="214">
        <f t="shared" si="250"/>
        <v>-451.42207448558526</v>
      </c>
      <c r="BG391" s="224">
        <f t="shared" si="267"/>
        <v>0</v>
      </c>
      <c r="BH391" s="19">
        <f t="shared" si="264"/>
        <v>459244.78040237876</v>
      </c>
      <c r="BI391" s="214">
        <f t="shared" si="251"/>
        <v>2235.397190478443</v>
      </c>
      <c r="BJ391" s="214">
        <f t="shared" si="252"/>
        <v>0</v>
      </c>
      <c r="BK391" s="19">
        <f t="shared" si="268"/>
        <v>0</v>
      </c>
    </row>
    <row r="392" spans="1:63">
      <c r="A392" s="165">
        <f t="shared" si="253"/>
        <v>88.472792607802873</v>
      </c>
      <c r="B392" s="69">
        <f t="shared" si="254"/>
        <v>27</v>
      </c>
      <c r="C392" s="70">
        <f t="shared" si="255"/>
        <v>318</v>
      </c>
      <c r="D392" s="13">
        <f t="shared" si="224"/>
        <v>4.8675505653430484E-3</v>
      </c>
      <c r="E392" s="15">
        <f t="shared" si="225"/>
        <v>1</v>
      </c>
      <c r="F392" s="15">
        <f t="shared" si="256"/>
        <v>0</v>
      </c>
      <c r="G392" s="15">
        <f t="shared" si="226"/>
        <v>0</v>
      </c>
      <c r="H392" s="73">
        <f t="shared" si="227"/>
        <v>0</v>
      </c>
      <c r="I392" s="189"/>
      <c r="J392" s="189"/>
      <c r="K392" s="5">
        <f t="shared" si="269"/>
        <v>199666.92713426449</v>
      </c>
      <c r="M392" s="5">
        <f t="shared" si="228"/>
        <v>971.88886405269841</v>
      </c>
      <c r="N392" s="5">
        <f t="shared" si="229"/>
        <v>-330.38715312495941</v>
      </c>
      <c r="O392" s="5">
        <f t="shared" si="230"/>
        <v>0</v>
      </c>
      <c r="P392" s="5">
        <f t="shared" si="231"/>
        <v>0</v>
      </c>
      <c r="Q392" s="5">
        <f t="shared" si="265"/>
        <v>0</v>
      </c>
      <c r="R392" s="5">
        <f t="shared" si="257"/>
        <v>0</v>
      </c>
      <c r="S392" s="5">
        <f t="shared" si="232"/>
        <v>0</v>
      </c>
      <c r="T392" s="5">
        <f t="shared" si="233"/>
        <v>0</v>
      </c>
      <c r="U392" s="74">
        <f t="shared" si="234"/>
        <v>0</v>
      </c>
      <c r="V392" s="75">
        <f t="shared" si="235"/>
        <v>0</v>
      </c>
      <c r="W392" s="5">
        <f t="shared" si="236"/>
        <v>0</v>
      </c>
      <c r="X392" s="5">
        <f t="shared" si="237"/>
        <v>200308.42884519222</v>
      </c>
      <c r="Y392" s="5">
        <f t="shared" si="258"/>
        <v>100000</v>
      </c>
      <c r="Z392" s="215">
        <f t="shared" si="238"/>
        <v>1</v>
      </c>
      <c r="AA392" s="216">
        <f t="shared" si="259"/>
        <v>0</v>
      </c>
      <c r="AB392" s="72">
        <f t="shared" si="266"/>
        <v>50215.72519964027</v>
      </c>
      <c r="AC392" s="72">
        <f t="shared" si="239"/>
        <v>0</v>
      </c>
      <c r="AD392" s="72">
        <f t="shared" si="240"/>
        <v>0</v>
      </c>
      <c r="AE392" s="72">
        <f t="shared" si="260"/>
        <v>-41.711916086151071</v>
      </c>
      <c r="AF392" s="70">
        <f t="shared" si="241"/>
        <v>0</v>
      </c>
      <c r="AG392" s="70">
        <f t="shared" si="242"/>
        <v>6983.453337396073</v>
      </c>
      <c r="AH392" s="1">
        <f t="shared" si="276"/>
        <v>0</v>
      </c>
      <c r="AI392" s="1">
        <f t="shared" si="276"/>
        <v>0</v>
      </c>
      <c r="AJ392" s="1">
        <f t="shared" si="276"/>
        <v>0</v>
      </c>
      <c r="AK392" s="1">
        <f t="shared" si="276"/>
        <v>0</v>
      </c>
      <c r="AL392" s="1">
        <f t="shared" si="276"/>
        <v>0</v>
      </c>
      <c r="AM392" s="1">
        <f t="shared" si="276"/>
        <v>0</v>
      </c>
      <c r="AN392" s="1">
        <f t="shared" si="276"/>
        <v>0</v>
      </c>
      <c r="AO392" s="1">
        <f t="shared" si="276"/>
        <v>0</v>
      </c>
      <c r="AP392" s="1">
        <f t="shared" si="276"/>
        <v>0</v>
      </c>
      <c r="AQ392" s="1">
        <f t="shared" si="276"/>
        <v>1</v>
      </c>
      <c r="AR392" s="1">
        <f t="shared" si="276"/>
        <v>1</v>
      </c>
      <c r="AS392" s="1">
        <f t="shared" si="276"/>
        <v>1</v>
      </c>
      <c r="AT392" s="39">
        <f t="shared" si="243"/>
        <v>200308.42884519222</v>
      </c>
      <c r="AU392" s="39">
        <f t="shared" si="261"/>
        <v>200308.42884519222</v>
      </c>
      <c r="AV392" s="39">
        <f t="shared" si="271"/>
        <v>0</v>
      </c>
      <c r="AW392" s="3">
        <f t="shared" si="244"/>
        <v>318</v>
      </c>
      <c r="AX392" s="69">
        <f t="shared" si="262"/>
        <v>0</v>
      </c>
      <c r="AY392" s="75">
        <f t="shared" si="245"/>
        <v>0</v>
      </c>
      <c r="AZ392" s="75">
        <f t="shared" si="246"/>
        <v>0</v>
      </c>
      <c r="BA392" s="75">
        <f t="shared" si="247"/>
        <v>0</v>
      </c>
      <c r="BB392" s="75">
        <f t="shared" si="248"/>
        <v>0</v>
      </c>
      <c r="BD392" s="214">
        <f t="shared" si="263"/>
        <v>273689.95928254147</v>
      </c>
      <c r="BE392" s="214">
        <f t="shared" si="249"/>
        <v>1332.1997160344506</v>
      </c>
      <c r="BF392" s="214">
        <f t="shared" si="250"/>
        <v>-452.87243002162421</v>
      </c>
      <c r="BG392" s="224">
        <f t="shared" si="267"/>
        <v>0</v>
      </c>
      <c r="BH392" s="19">
        <f t="shared" si="264"/>
        <v>461480.17759285722</v>
      </c>
      <c r="BI392" s="214">
        <f t="shared" si="251"/>
        <v>2246.2780993367223</v>
      </c>
      <c r="BJ392" s="214">
        <f t="shared" si="252"/>
        <v>0</v>
      </c>
      <c r="BK392" s="19">
        <f t="shared" si="268"/>
        <v>0</v>
      </c>
    </row>
    <row r="393" spans="1:63">
      <c r="A393" s="165">
        <f t="shared" si="253"/>
        <v>88.556125941136202</v>
      </c>
      <c r="B393" s="69">
        <f t="shared" si="254"/>
        <v>27</v>
      </c>
      <c r="C393" s="70">
        <f t="shared" si="255"/>
        <v>319</v>
      </c>
      <c r="D393" s="13">
        <f t="shared" si="224"/>
        <v>4.8675505653430484E-3</v>
      </c>
      <c r="E393" s="15">
        <f t="shared" si="225"/>
        <v>1</v>
      </c>
      <c r="F393" s="15">
        <f t="shared" si="256"/>
        <v>0</v>
      </c>
      <c r="G393" s="15">
        <f t="shared" si="226"/>
        <v>0</v>
      </c>
      <c r="H393" s="73">
        <f t="shared" si="227"/>
        <v>0</v>
      </c>
      <c r="I393" s="189"/>
      <c r="J393" s="189"/>
      <c r="K393" s="5">
        <f t="shared" si="269"/>
        <v>200308.42884519222</v>
      </c>
      <c r="M393" s="5">
        <f t="shared" si="228"/>
        <v>975.01140606839317</v>
      </c>
      <c r="N393" s="5">
        <f t="shared" si="229"/>
        <v>-331.44864050817375</v>
      </c>
      <c r="O393" s="5">
        <f t="shared" si="230"/>
        <v>0</v>
      </c>
      <c r="P393" s="5">
        <f t="shared" si="231"/>
        <v>0</v>
      </c>
      <c r="Q393" s="5">
        <f t="shared" si="265"/>
        <v>0</v>
      </c>
      <c r="R393" s="5">
        <f t="shared" si="257"/>
        <v>0</v>
      </c>
      <c r="S393" s="5">
        <f t="shared" si="232"/>
        <v>0</v>
      </c>
      <c r="T393" s="5">
        <f t="shared" si="233"/>
        <v>0</v>
      </c>
      <c r="U393" s="74">
        <f t="shared" si="234"/>
        <v>0</v>
      </c>
      <c r="V393" s="75">
        <f t="shared" si="235"/>
        <v>0</v>
      </c>
      <c r="W393" s="5">
        <f t="shared" si="236"/>
        <v>0</v>
      </c>
      <c r="X393" s="5">
        <f t="shared" si="237"/>
        <v>200951.99161075245</v>
      </c>
      <c r="Y393" s="5">
        <f t="shared" si="258"/>
        <v>100000</v>
      </c>
      <c r="Z393" s="215">
        <f t="shared" si="238"/>
        <v>1</v>
      </c>
      <c r="AA393" s="216">
        <f t="shared" si="259"/>
        <v>0</v>
      </c>
      <c r="AB393" s="72">
        <f t="shared" si="266"/>
        <v>50215.72519964027</v>
      </c>
      <c r="AC393" s="72">
        <f t="shared" si="239"/>
        <v>0</v>
      </c>
      <c r="AD393" s="72">
        <f t="shared" si="240"/>
        <v>0</v>
      </c>
      <c r="AE393" s="72">
        <f t="shared" si="260"/>
        <v>-41.845930596813353</v>
      </c>
      <c r="AF393" s="70">
        <f t="shared" si="241"/>
        <v>0</v>
      </c>
      <c r="AG393" s="70">
        <f t="shared" si="242"/>
        <v>7228.0071883089622</v>
      </c>
      <c r="AH393" s="1">
        <f t="shared" si="276"/>
        <v>0</v>
      </c>
      <c r="AI393" s="1">
        <f t="shared" si="276"/>
        <v>0</v>
      </c>
      <c r="AJ393" s="1">
        <f t="shared" si="276"/>
        <v>0</v>
      </c>
      <c r="AK393" s="1">
        <f t="shared" si="276"/>
        <v>0</v>
      </c>
      <c r="AL393" s="1">
        <f t="shared" si="276"/>
        <v>0</v>
      </c>
      <c r="AM393" s="1">
        <f t="shared" si="276"/>
        <v>0</v>
      </c>
      <c r="AN393" s="1">
        <f t="shared" si="276"/>
        <v>0</v>
      </c>
      <c r="AO393" s="1">
        <f t="shared" si="276"/>
        <v>0</v>
      </c>
      <c r="AP393" s="1">
        <f t="shared" si="276"/>
        <v>0</v>
      </c>
      <c r="AQ393" s="1">
        <f t="shared" si="276"/>
        <v>1</v>
      </c>
      <c r="AR393" s="1">
        <f t="shared" si="276"/>
        <v>1</v>
      </c>
      <c r="AS393" s="1">
        <f t="shared" si="276"/>
        <v>1</v>
      </c>
      <c r="AT393" s="39">
        <f t="shared" si="243"/>
        <v>200951.99161075245</v>
      </c>
      <c r="AU393" s="39">
        <f t="shared" si="261"/>
        <v>200951.99161075245</v>
      </c>
      <c r="AV393" s="39">
        <f t="shared" si="271"/>
        <v>0</v>
      </c>
      <c r="AW393" s="3">
        <f t="shared" si="244"/>
        <v>319</v>
      </c>
      <c r="AX393" s="69">
        <f t="shared" si="262"/>
        <v>0</v>
      </c>
      <c r="AY393" s="75">
        <f t="shared" si="245"/>
        <v>0</v>
      </c>
      <c r="AZ393" s="75">
        <f t="shared" si="246"/>
        <v>0</v>
      </c>
      <c r="BA393" s="75">
        <f t="shared" si="247"/>
        <v>0</v>
      </c>
      <c r="BB393" s="75">
        <f t="shared" si="248"/>
        <v>0</v>
      </c>
      <c r="BD393" s="214">
        <f t="shared" si="263"/>
        <v>274569.28656855429</v>
      </c>
      <c r="BE393" s="214">
        <f t="shared" si="249"/>
        <v>1336.479886062604</v>
      </c>
      <c r="BF393" s="214">
        <f t="shared" si="250"/>
        <v>-454.3274453456969</v>
      </c>
      <c r="BG393" s="224">
        <f t="shared" si="267"/>
        <v>0</v>
      </c>
      <c r="BH393" s="19">
        <f t="shared" si="264"/>
        <v>463726.45569219394</v>
      </c>
      <c r="BI393" s="214">
        <f t="shared" si="251"/>
        <v>2257.2119715690665</v>
      </c>
      <c r="BJ393" s="214">
        <f t="shared" si="252"/>
        <v>0</v>
      </c>
      <c r="BK393" s="19">
        <f t="shared" si="268"/>
        <v>0</v>
      </c>
    </row>
    <row r="394" spans="1:63">
      <c r="A394" s="165">
        <f t="shared" si="253"/>
        <v>88.639459274469544</v>
      </c>
      <c r="B394" s="69">
        <f t="shared" si="254"/>
        <v>27</v>
      </c>
      <c r="C394" s="70">
        <f t="shared" si="255"/>
        <v>320</v>
      </c>
      <c r="D394" s="13">
        <f t="shared" si="224"/>
        <v>4.8675505653430484E-3</v>
      </c>
      <c r="E394" s="15">
        <f t="shared" si="225"/>
        <v>1</v>
      </c>
      <c r="F394" s="15">
        <f t="shared" si="256"/>
        <v>0</v>
      </c>
      <c r="G394" s="15">
        <f t="shared" si="226"/>
        <v>0</v>
      </c>
      <c r="H394" s="73">
        <f t="shared" si="227"/>
        <v>0</v>
      </c>
      <c r="I394" s="189"/>
      <c r="J394" s="189"/>
      <c r="K394" s="5">
        <f t="shared" si="269"/>
        <v>200951.99161075245</v>
      </c>
      <c r="M394" s="5">
        <f t="shared" si="228"/>
        <v>978.14398037172964</v>
      </c>
      <c r="N394" s="5">
        <f t="shared" si="229"/>
        <v>-332.51353830082468</v>
      </c>
      <c r="O394" s="5">
        <f t="shared" si="230"/>
        <v>0</v>
      </c>
      <c r="P394" s="5">
        <f t="shared" si="231"/>
        <v>0</v>
      </c>
      <c r="Q394" s="5">
        <f t="shared" si="265"/>
        <v>0</v>
      </c>
      <c r="R394" s="5">
        <f t="shared" si="257"/>
        <v>0</v>
      </c>
      <c r="S394" s="5">
        <f t="shared" si="232"/>
        <v>0</v>
      </c>
      <c r="T394" s="5">
        <f t="shared" si="233"/>
        <v>0</v>
      </c>
      <c r="U394" s="74">
        <f t="shared" si="234"/>
        <v>0</v>
      </c>
      <c r="V394" s="75">
        <f t="shared" si="235"/>
        <v>0</v>
      </c>
      <c r="W394" s="5">
        <f t="shared" si="236"/>
        <v>0</v>
      </c>
      <c r="X394" s="5">
        <f t="shared" si="237"/>
        <v>201597.62205282337</v>
      </c>
      <c r="Y394" s="5">
        <f t="shared" si="258"/>
        <v>100000</v>
      </c>
      <c r="Z394" s="215">
        <f t="shared" si="238"/>
        <v>1</v>
      </c>
      <c r="AA394" s="216">
        <f t="shared" si="259"/>
        <v>0</v>
      </c>
      <c r="AB394" s="72">
        <f t="shared" si="266"/>
        <v>50215.72519964027</v>
      </c>
      <c r="AC394" s="72">
        <f t="shared" si="239"/>
        <v>0</v>
      </c>
      <c r="AD394" s="72">
        <f t="shared" si="240"/>
        <v>0</v>
      </c>
      <c r="AE394" s="72">
        <f t="shared" si="260"/>
        <v>-41.980375677220522</v>
      </c>
      <c r="AF394" s="70">
        <f t="shared" si="241"/>
        <v>0</v>
      </c>
      <c r="AG394" s="70">
        <f t="shared" si="242"/>
        <v>7473.3467562959122</v>
      </c>
      <c r="AH394" s="1">
        <f t="shared" si="276"/>
        <v>0</v>
      </c>
      <c r="AI394" s="1">
        <f t="shared" si="276"/>
        <v>0</v>
      </c>
      <c r="AJ394" s="1">
        <f t="shared" si="276"/>
        <v>0</v>
      </c>
      <c r="AK394" s="1">
        <f t="shared" si="276"/>
        <v>0</v>
      </c>
      <c r="AL394" s="1">
        <f t="shared" si="276"/>
        <v>0</v>
      </c>
      <c r="AM394" s="1">
        <f t="shared" si="276"/>
        <v>0</v>
      </c>
      <c r="AN394" s="1">
        <f t="shared" si="276"/>
        <v>0</v>
      </c>
      <c r="AO394" s="1">
        <f t="shared" si="276"/>
        <v>0</v>
      </c>
      <c r="AP394" s="1">
        <f t="shared" si="276"/>
        <v>0</v>
      </c>
      <c r="AQ394" s="1">
        <f t="shared" si="276"/>
        <v>1</v>
      </c>
      <c r="AR394" s="1">
        <f t="shared" si="276"/>
        <v>1</v>
      </c>
      <c r="AS394" s="1">
        <f t="shared" si="276"/>
        <v>1</v>
      </c>
      <c r="AT394" s="39">
        <f t="shared" si="243"/>
        <v>201597.62205282337</v>
      </c>
      <c r="AU394" s="39">
        <f t="shared" si="261"/>
        <v>201597.62205282337</v>
      </c>
      <c r="AV394" s="39">
        <f t="shared" si="271"/>
        <v>0</v>
      </c>
      <c r="AW394" s="3">
        <f t="shared" si="244"/>
        <v>320</v>
      </c>
      <c r="AX394" s="69">
        <f t="shared" si="262"/>
        <v>0</v>
      </c>
      <c r="AY394" s="75">
        <f t="shared" si="245"/>
        <v>0</v>
      </c>
      <c r="AZ394" s="75">
        <f t="shared" si="246"/>
        <v>0</v>
      </c>
      <c r="BA394" s="75">
        <f t="shared" si="247"/>
        <v>0</v>
      </c>
      <c r="BB394" s="75">
        <f t="shared" si="248"/>
        <v>0</v>
      </c>
      <c r="BD394" s="214">
        <f t="shared" si="263"/>
        <v>275451.43900927121</v>
      </c>
      <c r="BE394" s="214">
        <f t="shared" si="249"/>
        <v>1340.7738076741343</v>
      </c>
      <c r="BF394" s="214">
        <f t="shared" si="250"/>
        <v>-455.7871354290462</v>
      </c>
      <c r="BG394" s="224">
        <f t="shared" si="267"/>
        <v>0</v>
      </c>
      <c r="BH394" s="19">
        <f t="shared" si="264"/>
        <v>465983.66766376299</v>
      </c>
      <c r="BI394" s="214">
        <f t="shared" si="251"/>
        <v>2268.1990649773766</v>
      </c>
      <c r="BJ394" s="214">
        <f t="shared" si="252"/>
        <v>0</v>
      </c>
      <c r="BK394" s="19">
        <f t="shared" si="268"/>
        <v>0</v>
      </c>
    </row>
    <row r="395" spans="1:63">
      <c r="A395" s="165">
        <f t="shared" si="253"/>
        <v>88.722792607802873</v>
      </c>
      <c r="B395" s="69">
        <f t="shared" si="254"/>
        <v>27</v>
      </c>
      <c r="C395" s="70">
        <f t="shared" si="255"/>
        <v>321</v>
      </c>
      <c r="D395" s="13">
        <f t="shared" ref="D395:D458" si="277">Growth_Rate_1_Monthly</f>
        <v>4.8675505653430484E-3</v>
      </c>
      <c r="E395" s="15">
        <f t="shared" ref="E395:E458" si="278">IF(Gtee_Flag="on",1,0)</f>
        <v>1</v>
      </c>
      <c r="F395" s="15">
        <f t="shared" si="256"/>
        <v>0</v>
      </c>
      <c r="G395" s="15">
        <f t="shared" ref="G395:G458" si="279">IF(AND(RP_Flag = "Yes",RP_Allowed="Yes"),IF(RP_PremFreq = "Annual",IF(MOD(C395-1, 12) = 0, 1, 0), IF(RP_PremFreq = "Half-Yearly", IF(MOD(C395-1, 6) = 0, 1, 0), IF(RP_PremFreq = "Quarterly", IF(MOD(C395-1, 3) = 0, 1, 0), IF(RP_PremFreq = "Monthly", IF(MOD(C395-1, 1) = 0, 1, 0), "Error")))),0)</f>
        <v>0</v>
      </c>
      <c r="H395" s="73">
        <f t="shared" ref="H395:H458" si="280">IF(ISERROR(VLOOKUP(Product_Code,Product_Parameters,B395+8,FALSE)),0,VLOOKUP(Product_Code,Product_Parameters,B395+8,FALSE))</f>
        <v>0</v>
      </c>
      <c r="I395" s="189"/>
      <c r="J395" s="189"/>
      <c r="K395" s="5">
        <f t="shared" si="269"/>
        <v>201597.62205282337</v>
      </c>
      <c r="M395" s="5">
        <f t="shared" ref="M395:M458" si="281">(K395+L395)*D395</f>
        <v>981.28661919503463</v>
      </c>
      <c r="N395" s="5">
        <f t="shared" ref="N395:N458" si="282">-(($K395+(L395)+M395/2)*(External_Fund_Charge_Monthly+Fund_Charge_Monthly+Gtee_Charge_Monthly*$E395))-I395*Government_Levy</f>
        <v>-333.58185746007723</v>
      </c>
      <c r="O395" s="5">
        <f t="shared" ref="O395:O458" si="283">(Reg_Contrib/Contrib_Per_Year)*(1+RP_Escalation_Rate)^(B395-1)*G395</f>
        <v>0</v>
      </c>
      <c r="P395" s="5">
        <f t="shared" ref="P395:P458" si="284">O395*(RP_Allocation_Rate-1)</f>
        <v>0</v>
      </c>
      <c r="Q395" s="5">
        <f t="shared" si="265"/>
        <v>0</v>
      </c>
      <c r="R395" s="5">
        <f t="shared" si="257"/>
        <v>0</v>
      </c>
      <c r="S395" s="5">
        <f t="shared" ref="S395:S458" si="285">(Q395+R395)*D395</f>
        <v>0</v>
      </c>
      <c r="T395" s="5">
        <f t="shared" ref="T395:T458" si="286">-(($Q395+(R395)+S395/2)*(External_Fund_Charge_Monthly+Fund_Charge_Monthly+Gtee_Charge_Monthly*$E395))-O395*Government_Levy</f>
        <v>0</v>
      </c>
      <c r="U395" s="74">
        <f t="shared" ref="U395:U458" si="287">IF(OR(Reg_Income_Flag="No",Income_Type="Fixed Percent"),0,IF(C395&gt;=Regular_Income_Start_Month,
MIN(Regular_Income_Amount/12*(1+Income_Escalation_Rate_Annual)^($B395-1),AU395),0))</f>
        <v>0</v>
      </c>
      <c r="V395" s="75">
        <f t="shared" ref="V395:V458" si="288">IF(Reg_Income_Flag="No",0,MAX(IF(C395&gt;=Regular_Income_Start_Month,
MIN(IF(Income_Type="Fixed Percent",$C$43,0)/12*(K395+L395+M395+N395+Q395+R395+S395+T395),AU395),0),0))</f>
        <v>0</v>
      </c>
      <c r="W395" s="5">
        <f t="shared" ref="W395:W458" si="289">-MAX(U395:V395)</f>
        <v>0</v>
      </c>
      <c r="X395" s="5">
        <f t="shared" ref="X395:X458" si="290">SUM(K395:N395,Q395:T395)</f>
        <v>202245.32681455833</v>
      </c>
      <c r="Y395" s="5">
        <f t="shared" si="258"/>
        <v>100000</v>
      </c>
      <c r="Z395" s="215">
        <f t="shared" ref="Z395:Z458" si="291">IFERROR(SUM(K395:N395)/X395,0)</f>
        <v>1</v>
      </c>
      <c r="AA395" s="216">
        <f t="shared" si="259"/>
        <v>0</v>
      </c>
      <c r="AB395" s="72">
        <f t="shared" si="266"/>
        <v>50215.72519964027</v>
      </c>
      <c r="AC395" s="72">
        <f t="shared" ref="AC395:AC458" si="292">IF(Y395=0,0,-IF(F395=1,1,AA395)*(MAX(X395+AB395-Y395,0)*Exit_Tax_Rate-AB395))</f>
        <v>0</v>
      </c>
      <c r="AD395" s="72">
        <f t="shared" ref="AD395:AD458" si="293">W395-IF(F395=1,AA395,1)*AC395</f>
        <v>0</v>
      </c>
      <c r="AE395" s="72">
        <f t="shared" si="260"/>
        <v>-42.115252710732527</v>
      </c>
      <c r="AF395" s="70">
        <f t="shared" ref="AF395:AF458" si="294">SUM(K395:N395,SUM(AC395:AD395)*Z395)*$H395</f>
        <v>0</v>
      </c>
      <c r="AG395" s="70">
        <f t="shared" ref="AG395:AG458" si="295">IF(F395=1,0,MAX(X395+AB395+AC395+AD395-AF395-Y395,0)*Exit_Tax_Rate-AB395)</f>
        <v>7719.4745657551975</v>
      </c>
      <c r="AH395" s="1">
        <f t="shared" ref="AH395:AS404" si="296">IF($B395&lt;=AH$74,1,0)</f>
        <v>0</v>
      </c>
      <c r="AI395" s="1">
        <f t="shared" si="296"/>
        <v>0</v>
      </c>
      <c r="AJ395" s="1">
        <f t="shared" si="296"/>
        <v>0</v>
      </c>
      <c r="AK395" s="1">
        <f t="shared" si="296"/>
        <v>0</v>
      </c>
      <c r="AL395" s="1">
        <f t="shared" si="296"/>
        <v>0</v>
      </c>
      <c r="AM395" s="1">
        <f t="shared" si="296"/>
        <v>0</v>
      </c>
      <c r="AN395" s="1">
        <f t="shared" si="296"/>
        <v>0</v>
      </c>
      <c r="AO395" s="1">
        <f t="shared" si="296"/>
        <v>0</v>
      </c>
      <c r="AP395" s="1">
        <f t="shared" si="296"/>
        <v>0</v>
      </c>
      <c r="AQ395" s="1">
        <f t="shared" si="296"/>
        <v>1</v>
      </c>
      <c r="AR395" s="1">
        <f t="shared" si="296"/>
        <v>1</v>
      </c>
      <c r="AS395" s="1">
        <f t="shared" si="296"/>
        <v>1</v>
      </c>
      <c r="AT395" s="39">
        <f t="shared" ref="AT395:AT458" si="297">SUM(K395:N395,Q395:T395,W395,AC395)</f>
        <v>202245.32681455833</v>
      </c>
      <c r="AU395" s="39">
        <f t="shared" si="261"/>
        <v>202245.32681455833</v>
      </c>
      <c r="AV395" s="39">
        <f t="shared" si="271"/>
        <v>0</v>
      </c>
      <c r="AW395" s="3">
        <f t="shared" ref="AW395:AW458" si="298">C395</f>
        <v>321</v>
      </c>
      <c r="AX395" s="69">
        <f t="shared" si="262"/>
        <v>0</v>
      </c>
      <c r="AY395" s="75">
        <f t="shared" ref="AY395:AY458" si="299">IF(OR(AND(B395=Fund_Zero_Year,BD396=0,BD395&gt;0),C395=$C$53*12),-BH395,IF(AND(B395+1=Fund_Zero_Year,BD396=0,BD395&gt;0),-BH395,0))</f>
        <v>0</v>
      </c>
      <c r="AZ395" s="75">
        <f t="shared" ref="AZ395:AZ458" si="300">IF(OR(AND(B395=Fund_Zero_Year,BD396=0,BD395&gt;0),C395=$C$53*12),-BD395,IF(AND(B395+1=Fund_Zero_Year,BD396=0,BD395&gt;0),-BD395,0))</f>
        <v>0</v>
      </c>
      <c r="BA395" s="75">
        <f t="shared" ref="BA395:BA458" si="301">AY395+AX395+IF(OR(B395&gt;Fund_Zero_Year,BD395=0,C395&gt;MAX($C$53,$C$52)*12),0,W395)</f>
        <v>0</v>
      </c>
      <c r="BB395" s="75">
        <f t="shared" ref="BB395:BB458" si="302">AZ395+AX395+IF(OR(B395&gt;Fund_Zero_Year,BD395=0,C395&gt;MAX($C$53,$C$52)*12),0,W395)</f>
        <v>0</v>
      </c>
      <c r="BD395" s="214">
        <f t="shared" si="263"/>
        <v>276336.4256815163</v>
      </c>
      <c r="BE395" s="214">
        <f t="shared" ref="BE395:BE458" si="303">BD395*D395</f>
        <v>1345.081525050942</v>
      </c>
      <c r="BF395" s="214">
        <f t="shared" ref="BF395:BF458" si="304">-(BD395+BE395/2)*(External_Fund_Charge_Monthly+Fund_Charge_Monthly+Gtee_Charge_Monthly*$E395)-(I395+O395)*Government_Levy</f>
        <v>-457.25151529101481</v>
      </c>
      <c r="BG395" s="224">
        <f t="shared" si="267"/>
        <v>0</v>
      </c>
      <c r="BH395" s="19">
        <f t="shared" si="264"/>
        <v>468251.86672874034</v>
      </c>
      <c r="BI395" s="214">
        <f t="shared" ref="BI395:BI458" si="305">BH395*D395</f>
        <v>2279.2396386184178</v>
      </c>
      <c r="BJ395" s="214">
        <f t="shared" ref="BJ395:BJ458" si="306">-(I395+O395)*Government_Levy</f>
        <v>0</v>
      </c>
      <c r="BK395" s="19">
        <f t="shared" si="268"/>
        <v>0</v>
      </c>
    </row>
    <row r="396" spans="1:63">
      <c r="A396" s="165">
        <f t="shared" ref="A396:A459" si="307">$C$35+C395/12</f>
        <v>88.806125941136202</v>
      </c>
      <c r="B396" s="69">
        <f t="shared" ref="B396:B459" si="308">INT((C396-1)/12)+1</f>
        <v>27</v>
      </c>
      <c r="C396" s="70">
        <f t="shared" ref="C396:C459" si="309">C395+1</f>
        <v>322</v>
      </c>
      <c r="D396" s="13">
        <f t="shared" si="277"/>
        <v>4.8675505653430484E-3</v>
      </c>
      <c r="E396" s="15">
        <f t="shared" si="278"/>
        <v>1</v>
      </c>
      <c r="F396" s="15">
        <f t="shared" ref="F396:F459" si="310">IF(MOD(C396,96)=0,1,0)</f>
        <v>0</v>
      </c>
      <c r="G396" s="15">
        <f t="shared" si="279"/>
        <v>0</v>
      </c>
      <c r="H396" s="73">
        <f t="shared" si="280"/>
        <v>0</v>
      </c>
      <c r="I396" s="189"/>
      <c r="J396" s="189"/>
      <c r="K396" s="5">
        <f t="shared" si="269"/>
        <v>202245.32681455833</v>
      </c>
      <c r="M396" s="5">
        <f t="shared" si="281"/>
        <v>984.43935487419299</v>
      </c>
      <c r="N396" s="5">
        <f t="shared" si="282"/>
        <v>-334.65360897830038</v>
      </c>
      <c r="O396" s="5">
        <f t="shared" si="283"/>
        <v>0</v>
      </c>
      <c r="P396" s="5">
        <f t="shared" si="284"/>
        <v>0</v>
      </c>
      <c r="Q396" s="5">
        <f t="shared" si="265"/>
        <v>0</v>
      </c>
      <c r="R396" s="5">
        <f t="shared" ref="R396:R459" si="311">O396+P396</f>
        <v>0</v>
      </c>
      <c r="S396" s="5">
        <f t="shared" si="285"/>
        <v>0</v>
      </c>
      <c r="T396" s="5">
        <f t="shared" si="286"/>
        <v>0</v>
      </c>
      <c r="U396" s="74">
        <f t="shared" si="287"/>
        <v>0</v>
      </c>
      <c r="V396" s="75">
        <f t="shared" si="288"/>
        <v>0</v>
      </c>
      <c r="W396" s="5">
        <f t="shared" si="289"/>
        <v>0</v>
      </c>
      <c r="X396" s="5">
        <f t="shared" si="290"/>
        <v>202895.11256045423</v>
      </c>
      <c r="Y396" s="5">
        <f t="shared" ref="Y396:Y459" si="312">I396+O396+Y395*(1-AA395)</f>
        <v>100000</v>
      </c>
      <c r="Z396" s="215">
        <f t="shared" si="291"/>
        <v>1</v>
      </c>
      <c r="AA396" s="216">
        <f t="shared" ref="AA396:AA459" si="313">IFERROR(-W396/X396,0)</f>
        <v>0</v>
      </c>
      <c r="AB396" s="72">
        <f t="shared" si="266"/>
        <v>50215.72519964027</v>
      </c>
      <c r="AC396" s="72">
        <f t="shared" si="292"/>
        <v>0</v>
      </c>
      <c r="AD396" s="72">
        <f t="shared" si="293"/>
        <v>0</v>
      </c>
      <c r="AE396" s="72">
        <f t="shared" ref="AE396:AE459" si="314">-(($K396+I396+M396/2+N396/2+W396/2+$Q396+O396+S396/2+T396/2))*(Ongoing_Commission_Monthly)</f>
        <v>-42.250563085153836</v>
      </c>
      <c r="AF396" s="70">
        <f t="shared" si="294"/>
        <v>0</v>
      </c>
      <c r="AG396" s="70">
        <f t="shared" si="295"/>
        <v>7966.3931491956391</v>
      </c>
      <c r="AH396" s="1">
        <f t="shared" si="296"/>
        <v>0</v>
      </c>
      <c r="AI396" s="1">
        <f t="shared" si="296"/>
        <v>0</v>
      </c>
      <c r="AJ396" s="1">
        <f t="shared" si="296"/>
        <v>0</v>
      </c>
      <c r="AK396" s="1">
        <f t="shared" si="296"/>
        <v>0</v>
      </c>
      <c r="AL396" s="1">
        <f t="shared" si="296"/>
        <v>0</v>
      </c>
      <c r="AM396" s="1">
        <f t="shared" si="296"/>
        <v>0</v>
      </c>
      <c r="AN396" s="1">
        <f t="shared" si="296"/>
        <v>0</v>
      </c>
      <c r="AO396" s="1">
        <f t="shared" si="296"/>
        <v>0</v>
      </c>
      <c r="AP396" s="1">
        <f t="shared" si="296"/>
        <v>0</v>
      </c>
      <c r="AQ396" s="1">
        <f t="shared" si="296"/>
        <v>1</v>
      </c>
      <c r="AR396" s="1">
        <f t="shared" si="296"/>
        <v>1</v>
      </c>
      <c r="AS396" s="1">
        <f t="shared" si="296"/>
        <v>1</v>
      </c>
      <c r="AT396" s="39">
        <f t="shared" si="297"/>
        <v>202895.11256045423</v>
      </c>
      <c r="AU396" s="39">
        <f t="shared" ref="AU396:AU459" si="315">MAX(0,SUM(K396:N396)-$C$51)</f>
        <v>202895.11256045423</v>
      </c>
      <c r="AV396" s="39">
        <f t="shared" si="271"/>
        <v>0</v>
      </c>
      <c r="AW396" s="3">
        <f t="shared" si="298"/>
        <v>322</v>
      </c>
      <c r="AX396" s="69">
        <f t="shared" ref="AX396:AX459" si="316">IF(OR(B396&gt;Fund_Zero_Year,SUM(K396,Q396)=0,C396&gt;$C$53*12),0,I396+O396)</f>
        <v>0</v>
      </c>
      <c r="AY396" s="75">
        <f t="shared" si="299"/>
        <v>0</v>
      </c>
      <c r="AZ396" s="75">
        <f t="shared" si="300"/>
        <v>0</v>
      </c>
      <c r="BA396" s="75">
        <f t="shared" si="301"/>
        <v>0</v>
      </c>
      <c r="BB396" s="75">
        <f t="shared" si="302"/>
        <v>0</v>
      </c>
      <c r="BD396" s="214">
        <f t="shared" ref="BD396:BD459" si="317">SUM(BD395:BG395)+L396+R396</f>
        <v>277224.25569127622</v>
      </c>
      <c r="BE396" s="214">
        <f t="shared" si="303"/>
        <v>1349.4030825168775</v>
      </c>
      <c r="BF396" s="214">
        <f t="shared" si="304"/>
        <v>-458.72059999920106</v>
      </c>
      <c r="BG396" s="224">
        <f t="shared" si="267"/>
        <v>0</v>
      </c>
      <c r="BH396" s="19">
        <f t="shared" ref="BH396:BH459" si="318">SUM(BH395:BK395)+L396+R396</f>
        <v>470531.10636735876</v>
      </c>
      <c r="BI396" s="214">
        <f t="shared" si="305"/>
        <v>2290.3339528099273</v>
      </c>
      <c r="BJ396" s="214">
        <f t="shared" si="306"/>
        <v>0</v>
      </c>
      <c r="BK396" s="19">
        <f t="shared" si="268"/>
        <v>0</v>
      </c>
    </row>
    <row r="397" spans="1:63">
      <c r="A397" s="165">
        <f t="shared" si="307"/>
        <v>88.889459274469544</v>
      </c>
      <c r="B397" s="69">
        <f t="shared" si="308"/>
        <v>27</v>
      </c>
      <c r="C397" s="70">
        <f t="shared" si="309"/>
        <v>323</v>
      </c>
      <c r="D397" s="13">
        <f t="shared" si="277"/>
        <v>4.8675505653430484E-3</v>
      </c>
      <c r="E397" s="15">
        <f t="shared" si="278"/>
        <v>1</v>
      </c>
      <c r="F397" s="15">
        <f t="shared" si="310"/>
        <v>0</v>
      </c>
      <c r="G397" s="15">
        <f t="shared" si="279"/>
        <v>0</v>
      </c>
      <c r="H397" s="73">
        <f t="shared" si="280"/>
        <v>0</v>
      </c>
      <c r="I397" s="189"/>
      <c r="J397" s="189"/>
      <c r="K397" s="5">
        <f t="shared" si="269"/>
        <v>202895.11256045423</v>
      </c>
      <c r="M397" s="5">
        <f t="shared" si="281"/>
        <v>987.60221984898044</v>
      </c>
      <c r="N397" s="5">
        <f t="shared" si="282"/>
        <v>-335.72880388317992</v>
      </c>
      <c r="O397" s="5">
        <f t="shared" si="283"/>
        <v>0</v>
      </c>
      <c r="P397" s="5">
        <f t="shared" si="284"/>
        <v>0</v>
      </c>
      <c r="Q397" s="5">
        <f t="shared" ref="Q397:Q460" si="319">SUM(Q396:T396)+SUM(AC396)*(1-Z396)</f>
        <v>0</v>
      </c>
      <c r="R397" s="5">
        <f t="shared" si="311"/>
        <v>0</v>
      </c>
      <c r="S397" s="5">
        <f t="shared" si="285"/>
        <v>0</v>
      </c>
      <c r="T397" s="5">
        <f t="shared" si="286"/>
        <v>0</v>
      </c>
      <c r="U397" s="74">
        <f t="shared" si="287"/>
        <v>0</v>
      </c>
      <c r="V397" s="75">
        <f t="shared" si="288"/>
        <v>0</v>
      </c>
      <c r="W397" s="5">
        <f t="shared" si="289"/>
        <v>0</v>
      </c>
      <c r="X397" s="5">
        <f t="shared" si="290"/>
        <v>203546.98597642002</v>
      </c>
      <c r="Y397" s="5">
        <f t="shared" si="312"/>
        <v>100000</v>
      </c>
      <c r="Z397" s="215">
        <f t="shared" si="291"/>
        <v>1</v>
      </c>
      <c r="AA397" s="216">
        <f t="shared" si="313"/>
        <v>0</v>
      </c>
      <c r="AB397" s="72">
        <f t="shared" ref="AB397:AB460" si="320">-IF(F396=1,AC396*(1-AA396),0)+AB396*(1-AA396)</f>
        <v>50215.72519964027</v>
      </c>
      <c r="AC397" s="72">
        <f t="shared" si="292"/>
        <v>0</v>
      </c>
      <c r="AD397" s="72">
        <f t="shared" si="293"/>
        <v>0</v>
      </c>
      <c r="AE397" s="72">
        <f t="shared" si="314"/>
        <v>-42.386308192747748</v>
      </c>
      <c r="AF397" s="70">
        <f t="shared" si="294"/>
        <v>0</v>
      </c>
      <c r="AG397" s="70">
        <f t="shared" si="295"/>
        <v>8214.1050472626375</v>
      </c>
      <c r="AH397" s="1">
        <f t="shared" si="296"/>
        <v>0</v>
      </c>
      <c r="AI397" s="1">
        <f t="shared" si="296"/>
        <v>0</v>
      </c>
      <c r="AJ397" s="1">
        <f t="shared" si="296"/>
        <v>0</v>
      </c>
      <c r="AK397" s="1">
        <f t="shared" si="296"/>
        <v>0</v>
      </c>
      <c r="AL397" s="1">
        <f t="shared" si="296"/>
        <v>0</v>
      </c>
      <c r="AM397" s="1">
        <f t="shared" si="296"/>
        <v>0</v>
      </c>
      <c r="AN397" s="1">
        <f t="shared" si="296"/>
        <v>0</v>
      </c>
      <c r="AO397" s="1">
        <f t="shared" si="296"/>
        <v>0</v>
      </c>
      <c r="AP397" s="1">
        <f t="shared" si="296"/>
        <v>0</v>
      </c>
      <c r="AQ397" s="1">
        <f t="shared" si="296"/>
        <v>1</v>
      </c>
      <c r="AR397" s="1">
        <f t="shared" si="296"/>
        <v>1</v>
      </c>
      <c r="AS397" s="1">
        <f t="shared" si="296"/>
        <v>1</v>
      </c>
      <c r="AT397" s="39">
        <f t="shared" si="297"/>
        <v>203546.98597642002</v>
      </c>
      <c r="AU397" s="39">
        <f t="shared" si="315"/>
        <v>203546.98597642002</v>
      </c>
      <c r="AV397" s="39">
        <f t="shared" si="271"/>
        <v>0</v>
      </c>
      <c r="AW397" s="3">
        <f t="shared" si="298"/>
        <v>323</v>
      </c>
      <c r="AX397" s="69">
        <f t="shared" si="316"/>
        <v>0</v>
      </c>
      <c r="AY397" s="75">
        <f t="shared" si="299"/>
        <v>0</v>
      </c>
      <c r="AZ397" s="75">
        <f t="shared" si="300"/>
        <v>0</v>
      </c>
      <c r="BA397" s="75">
        <f t="shared" si="301"/>
        <v>0</v>
      </c>
      <c r="BB397" s="75">
        <f t="shared" si="302"/>
        <v>0</v>
      </c>
      <c r="BD397" s="214">
        <f t="shared" si="317"/>
        <v>278114.9381737939</v>
      </c>
      <c r="BE397" s="214">
        <f t="shared" si="303"/>
        <v>1353.7385245381975</v>
      </c>
      <c r="BF397" s="214">
        <f t="shared" si="304"/>
        <v>-460.19440466961311</v>
      </c>
      <c r="BG397" s="224">
        <f t="shared" ref="BG397:BG460" si="321">W397</f>
        <v>0</v>
      </c>
      <c r="BH397" s="19">
        <f t="shared" si="318"/>
        <v>472821.44032016868</v>
      </c>
      <c r="BI397" s="214">
        <f t="shared" si="305"/>
        <v>2301.4822691367517</v>
      </c>
      <c r="BJ397" s="214">
        <f t="shared" si="306"/>
        <v>0</v>
      </c>
      <c r="BK397" s="19">
        <f t="shared" ref="BK397:BK460" si="322">W397</f>
        <v>0</v>
      </c>
    </row>
    <row r="398" spans="1:63">
      <c r="A398" s="165">
        <f t="shared" si="307"/>
        <v>88.972792607802873</v>
      </c>
      <c r="B398" s="69">
        <f t="shared" si="308"/>
        <v>27</v>
      </c>
      <c r="C398" s="70">
        <f t="shared" si="309"/>
        <v>324</v>
      </c>
      <c r="D398" s="13">
        <f t="shared" si="277"/>
        <v>4.8675505653430484E-3</v>
      </c>
      <c r="E398" s="15">
        <f t="shared" si="278"/>
        <v>1</v>
      </c>
      <c r="F398" s="15">
        <f t="shared" si="310"/>
        <v>0</v>
      </c>
      <c r="G398" s="15">
        <f t="shared" si="279"/>
        <v>0</v>
      </c>
      <c r="H398" s="73">
        <f t="shared" si="280"/>
        <v>0</v>
      </c>
      <c r="I398" s="189"/>
      <c r="J398" s="189"/>
      <c r="K398" s="5">
        <f t="shared" ref="K398:K461" si="323">SUM(K397:N397)+AD397+AC397*Z397</f>
        <v>203546.98597642002</v>
      </c>
      <c r="M398" s="5">
        <f t="shared" si="281"/>
        <v>990.77524666339684</v>
      </c>
      <c r="N398" s="5">
        <f t="shared" si="282"/>
        <v>-336.80745323783219</v>
      </c>
      <c r="O398" s="5">
        <f t="shared" si="283"/>
        <v>0</v>
      </c>
      <c r="P398" s="5">
        <f t="shared" si="284"/>
        <v>0</v>
      </c>
      <c r="Q398" s="5">
        <f t="shared" si="319"/>
        <v>0</v>
      </c>
      <c r="R398" s="5">
        <f t="shared" si="311"/>
        <v>0</v>
      </c>
      <c r="S398" s="5">
        <f t="shared" si="285"/>
        <v>0</v>
      </c>
      <c r="T398" s="5">
        <f t="shared" si="286"/>
        <v>0</v>
      </c>
      <c r="U398" s="74">
        <f t="shared" si="287"/>
        <v>0</v>
      </c>
      <c r="V398" s="75">
        <f t="shared" si="288"/>
        <v>0</v>
      </c>
      <c r="W398" s="5">
        <f t="shared" si="289"/>
        <v>0</v>
      </c>
      <c r="X398" s="5">
        <f t="shared" si="290"/>
        <v>204200.9537698456</v>
      </c>
      <c r="Y398" s="5">
        <f t="shared" si="312"/>
        <v>100000</v>
      </c>
      <c r="Z398" s="215">
        <f t="shared" si="291"/>
        <v>1</v>
      </c>
      <c r="AA398" s="216">
        <f t="shared" si="313"/>
        <v>0</v>
      </c>
      <c r="AB398" s="72">
        <f t="shared" si="320"/>
        <v>50215.72519964027</v>
      </c>
      <c r="AC398" s="72">
        <f t="shared" si="292"/>
        <v>0</v>
      </c>
      <c r="AD398" s="72">
        <f t="shared" si="293"/>
        <v>0</v>
      </c>
      <c r="AE398" s="72">
        <f t="shared" si="314"/>
        <v>-42.522489430250708</v>
      </c>
      <c r="AF398" s="70">
        <f t="shared" si="294"/>
        <v>0</v>
      </c>
      <c r="AG398" s="70">
        <f t="shared" si="295"/>
        <v>8462.6128087643592</v>
      </c>
      <c r="AH398" s="1">
        <f t="shared" si="296"/>
        <v>0</v>
      </c>
      <c r="AI398" s="1">
        <f t="shared" si="296"/>
        <v>0</v>
      </c>
      <c r="AJ398" s="1">
        <f t="shared" si="296"/>
        <v>0</v>
      </c>
      <c r="AK398" s="1">
        <f t="shared" si="296"/>
        <v>0</v>
      </c>
      <c r="AL398" s="1">
        <f t="shared" si="296"/>
        <v>0</v>
      </c>
      <c r="AM398" s="1">
        <f t="shared" si="296"/>
        <v>0</v>
      </c>
      <c r="AN398" s="1">
        <f t="shared" si="296"/>
        <v>0</v>
      </c>
      <c r="AO398" s="1">
        <f t="shared" si="296"/>
        <v>0</v>
      </c>
      <c r="AP398" s="1">
        <f t="shared" si="296"/>
        <v>0</v>
      </c>
      <c r="AQ398" s="1">
        <f t="shared" si="296"/>
        <v>1</v>
      </c>
      <c r="AR398" s="1">
        <f t="shared" si="296"/>
        <v>1</v>
      </c>
      <c r="AS398" s="1">
        <f t="shared" si="296"/>
        <v>1</v>
      </c>
      <c r="AT398" s="39">
        <f t="shared" si="297"/>
        <v>204200.9537698456</v>
      </c>
      <c r="AU398" s="39">
        <f t="shared" si="315"/>
        <v>204200.9537698456</v>
      </c>
      <c r="AV398" s="39">
        <f t="shared" si="271"/>
        <v>0</v>
      </c>
      <c r="AW398" s="3">
        <f t="shared" si="298"/>
        <v>324</v>
      </c>
      <c r="AX398" s="69">
        <f t="shared" si="316"/>
        <v>0</v>
      </c>
      <c r="AY398" s="75">
        <f t="shared" si="299"/>
        <v>0</v>
      </c>
      <c r="AZ398" s="75">
        <f t="shared" si="300"/>
        <v>0</v>
      </c>
      <c r="BA398" s="75">
        <f t="shared" si="301"/>
        <v>0</v>
      </c>
      <c r="BB398" s="75">
        <f t="shared" si="302"/>
        <v>0</v>
      </c>
      <c r="BD398" s="214">
        <f t="shared" si="317"/>
        <v>279008.48229366244</v>
      </c>
      <c r="BE398" s="214">
        <f t="shared" si="303"/>
        <v>1358.0878957240225</v>
      </c>
      <c r="BF398" s="214">
        <f t="shared" si="304"/>
        <v>-461.67294446682445</v>
      </c>
      <c r="BG398" s="224">
        <f t="shared" si="321"/>
        <v>0</v>
      </c>
      <c r="BH398" s="19">
        <f t="shared" si="318"/>
        <v>475122.92258930544</v>
      </c>
      <c r="BI398" s="214">
        <f t="shared" si="305"/>
        <v>2312.6848504570153</v>
      </c>
      <c r="BJ398" s="214">
        <f t="shared" si="306"/>
        <v>0</v>
      </c>
      <c r="BK398" s="19">
        <f t="shared" si="322"/>
        <v>0</v>
      </c>
    </row>
    <row r="399" spans="1:63">
      <c r="A399" s="165">
        <f t="shared" si="307"/>
        <v>89.056125941136202</v>
      </c>
      <c r="B399" s="69">
        <f t="shared" si="308"/>
        <v>28</v>
      </c>
      <c r="C399" s="70">
        <f t="shared" si="309"/>
        <v>325</v>
      </c>
      <c r="D399" s="13">
        <f t="shared" si="277"/>
        <v>4.8675505653430484E-3</v>
      </c>
      <c r="E399" s="15">
        <f t="shared" si="278"/>
        <v>1</v>
      </c>
      <c r="F399" s="15">
        <f t="shared" si="310"/>
        <v>0</v>
      </c>
      <c r="G399" s="15">
        <f t="shared" si="279"/>
        <v>0</v>
      </c>
      <c r="H399" s="73">
        <f t="shared" si="280"/>
        <v>0</v>
      </c>
      <c r="I399" s="189"/>
      <c r="J399" s="189"/>
      <c r="K399" s="5">
        <f t="shared" si="323"/>
        <v>204200.9537698456</v>
      </c>
      <c r="M399" s="5">
        <f t="shared" si="281"/>
        <v>993.95846796600165</v>
      </c>
      <c r="N399" s="5">
        <f t="shared" si="282"/>
        <v>-337.88956814091779</v>
      </c>
      <c r="O399" s="5">
        <f t="shared" si="283"/>
        <v>0</v>
      </c>
      <c r="P399" s="5">
        <f t="shared" si="284"/>
        <v>0</v>
      </c>
      <c r="Q399" s="5">
        <f t="shared" si="319"/>
        <v>0</v>
      </c>
      <c r="R399" s="5">
        <f t="shared" si="311"/>
        <v>0</v>
      </c>
      <c r="S399" s="5">
        <f t="shared" si="285"/>
        <v>0</v>
      </c>
      <c r="T399" s="5">
        <f t="shared" si="286"/>
        <v>0</v>
      </c>
      <c r="U399" s="74">
        <f t="shared" si="287"/>
        <v>0</v>
      </c>
      <c r="V399" s="75">
        <f t="shared" si="288"/>
        <v>0</v>
      </c>
      <c r="W399" s="5">
        <f t="shared" si="289"/>
        <v>0</v>
      </c>
      <c r="X399" s="5">
        <f t="shared" si="290"/>
        <v>204857.0226696707</v>
      </c>
      <c r="Y399" s="5">
        <f t="shared" si="312"/>
        <v>100000</v>
      </c>
      <c r="Z399" s="215">
        <f t="shared" si="291"/>
        <v>1</v>
      </c>
      <c r="AA399" s="216">
        <f t="shared" si="313"/>
        <v>0</v>
      </c>
      <c r="AB399" s="72">
        <f t="shared" si="320"/>
        <v>50215.72519964027</v>
      </c>
      <c r="AC399" s="72">
        <f t="shared" si="292"/>
        <v>0</v>
      </c>
      <c r="AD399" s="72">
        <f t="shared" si="293"/>
        <v>0</v>
      </c>
      <c r="AE399" s="72">
        <f t="shared" si="314"/>
        <v>-42.659108198886692</v>
      </c>
      <c r="AF399" s="70">
        <f t="shared" si="294"/>
        <v>0</v>
      </c>
      <c r="AG399" s="70">
        <f t="shared" si="295"/>
        <v>8711.9189906978936</v>
      </c>
      <c r="AH399" s="1">
        <f t="shared" si="296"/>
        <v>0</v>
      </c>
      <c r="AI399" s="1">
        <f t="shared" si="296"/>
        <v>0</v>
      </c>
      <c r="AJ399" s="1">
        <f t="shared" si="296"/>
        <v>0</v>
      </c>
      <c r="AK399" s="1">
        <f t="shared" si="296"/>
        <v>0</v>
      </c>
      <c r="AL399" s="1">
        <f t="shared" si="296"/>
        <v>0</v>
      </c>
      <c r="AM399" s="1">
        <f t="shared" si="296"/>
        <v>0</v>
      </c>
      <c r="AN399" s="1">
        <f t="shared" si="296"/>
        <v>0</v>
      </c>
      <c r="AO399" s="1">
        <f t="shared" si="296"/>
        <v>0</v>
      </c>
      <c r="AP399" s="1">
        <f t="shared" si="296"/>
        <v>0</v>
      </c>
      <c r="AQ399" s="1">
        <f t="shared" si="296"/>
        <v>1</v>
      </c>
      <c r="AR399" s="1">
        <f t="shared" si="296"/>
        <v>1</v>
      </c>
      <c r="AS399" s="1">
        <f t="shared" si="296"/>
        <v>1</v>
      </c>
      <c r="AT399" s="39">
        <f t="shared" si="297"/>
        <v>204857.0226696707</v>
      </c>
      <c r="AU399" s="39">
        <f t="shared" si="315"/>
        <v>204857.0226696707</v>
      </c>
      <c r="AV399" s="39">
        <f t="shared" si="271"/>
        <v>0</v>
      </c>
      <c r="AW399" s="3">
        <f t="shared" si="298"/>
        <v>325</v>
      </c>
      <c r="AX399" s="69">
        <f t="shared" si="316"/>
        <v>0</v>
      </c>
      <c r="AY399" s="75">
        <f t="shared" si="299"/>
        <v>0</v>
      </c>
      <c r="AZ399" s="75">
        <f t="shared" si="300"/>
        <v>0</v>
      </c>
      <c r="BA399" s="75">
        <f t="shared" si="301"/>
        <v>0</v>
      </c>
      <c r="BB399" s="75">
        <f t="shared" si="302"/>
        <v>0</v>
      </c>
      <c r="BD399" s="214">
        <f t="shared" si="317"/>
        <v>279904.89724491967</v>
      </c>
      <c r="BE399" s="214">
        <f t="shared" si="303"/>
        <v>1362.4512408267967</v>
      </c>
      <c r="BF399" s="214">
        <f t="shared" si="304"/>
        <v>-463.15623460413082</v>
      </c>
      <c r="BG399" s="224">
        <f t="shared" si="321"/>
        <v>0</v>
      </c>
      <c r="BH399" s="19">
        <f t="shared" si="318"/>
        <v>477435.60743976245</v>
      </c>
      <c r="BI399" s="214">
        <f t="shared" si="305"/>
        <v>2323.9419609083175</v>
      </c>
      <c r="BJ399" s="214">
        <f t="shared" si="306"/>
        <v>0</v>
      </c>
      <c r="BK399" s="19">
        <f t="shared" si="322"/>
        <v>0</v>
      </c>
    </row>
    <row r="400" spans="1:63">
      <c r="A400" s="165">
        <f t="shared" si="307"/>
        <v>89.139459274469544</v>
      </c>
      <c r="B400" s="69">
        <f t="shared" si="308"/>
        <v>28</v>
      </c>
      <c r="C400" s="70">
        <f t="shared" si="309"/>
        <v>326</v>
      </c>
      <c r="D400" s="13">
        <f t="shared" si="277"/>
        <v>4.8675505653430484E-3</v>
      </c>
      <c r="E400" s="15">
        <f t="shared" si="278"/>
        <v>1</v>
      </c>
      <c r="F400" s="15">
        <f t="shared" si="310"/>
        <v>0</v>
      </c>
      <c r="G400" s="15">
        <f t="shared" si="279"/>
        <v>0</v>
      </c>
      <c r="H400" s="73">
        <f t="shared" si="280"/>
        <v>0</v>
      </c>
      <c r="I400" s="189"/>
      <c r="J400" s="189"/>
      <c r="K400" s="5">
        <f t="shared" si="323"/>
        <v>204857.0226696707</v>
      </c>
      <c r="M400" s="5">
        <f t="shared" si="281"/>
        <v>997.15191651024929</v>
      </c>
      <c r="N400" s="5">
        <f t="shared" si="282"/>
        <v>-338.97515972675558</v>
      </c>
      <c r="O400" s="5">
        <f t="shared" si="283"/>
        <v>0</v>
      </c>
      <c r="P400" s="5">
        <f t="shared" si="284"/>
        <v>0</v>
      </c>
      <c r="Q400" s="5">
        <f t="shared" si="319"/>
        <v>0</v>
      </c>
      <c r="R400" s="5">
        <f t="shared" si="311"/>
        <v>0</v>
      </c>
      <c r="S400" s="5">
        <f t="shared" si="285"/>
        <v>0</v>
      </c>
      <c r="T400" s="5">
        <f t="shared" si="286"/>
        <v>0</v>
      </c>
      <c r="U400" s="74">
        <f t="shared" si="287"/>
        <v>0</v>
      </c>
      <c r="V400" s="75">
        <f t="shared" si="288"/>
        <v>0</v>
      </c>
      <c r="W400" s="5">
        <f t="shared" si="289"/>
        <v>0</v>
      </c>
      <c r="X400" s="5">
        <f t="shared" si="290"/>
        <v>205515.1994264542</v>
      </c>
      <c r="Y400" s="5">
        <f t="shared" si="312"/>
        <v>100000</v>
      </c>
      <c r="Z400" s="215">
        <f t="shared" si="291"/>
        <v>1</v>
      </c>
      <c r="AA400" s="216">
        <f t="shared" si="313"/>
        <v>0</v>
      </c>
      <c r="AB400" s="72">
        <f t="shared" si="320"/>
        <v>50215.72519964027</v>
      </c>
      <c r="AC400" s="72">
        <f t="shared" si="292"/>
        <v>0</v>
      </c>
      <c r="AD400" s="72">
        <f t="shared" si="293"/>
        <v>0</v>
      </c>
      <c r="AE400" s="72">
        <f t="shared" si="314"/>
        <v>-42.796165904381581</v>
      </c>
      <c r="AF400" s="70">
        <f t="shared" si="294"/>
        <v>0</v>
      </c>
      <c r="AG400" s="70">
        <f t="shared" si="295"/>
        <v>8962.0261582756284</v>
      </c>
      <c r="AH400" s="1">
        <f t="shared" si="296"/>
        <v>0</v>
      </c>
      <c r="AI400" s="1">
        <f t="shared" si="296"/>
        <v>0</v>
      </c>
      <c r="AJ400" s="1">
        <f t="shared" si="296"/>
        <v>0</v>
      </c>
      <c r="AK400" s="1">
        <f t="shared" si="296"/>
        <v>0</v>
      </c>
      <c r="AL400" s="1">
        <f t="shared" si="296"/>
        <v>0</v>
      </c>
      <c r="AM400" s="1">
        <f t="shared" si="296"/>
        <v>0</v>
      </c>
      <c r="AN400" s="1">
        <f t="shared" si="296"/>
        <v>0</v>
      </c>
      <c r="AO400" s="1">
        <f t="shared" si="296"/>
        <v>0</v>
      </c>
      <c r="AP400" s="1">
        <f t="shared" si="296"/>
        <v>0</v>
      </c>
      <c r="AQ400" s="1">
        <f t="shared" si="296"/>
        <v>1</v>
      </c>
      <c r="AR400" s="1">
        <f t="shared" si="296"/>
        <v>1</v>
      </c>
      <c r="AS400" s="1">
        <f t="shared" si="296"/>
        <v>1</v>
      </c>
      <c r="AT400" s="39">
        <f t="shared" si="297"/>
        <v>205515.1994264542</v>
      </c>
      <c r="AU400" s="39">
        <f t="shared" si="315"/>
        <v>205515.1994264542</v>
      </c>
      <c r="AV400" s="39">
        <f t="shared" si="271"/>
        <v>0</v>
      </c>
      <c r="AW400" s="3">
        <f t="shared" si="298"/>
        <v>326</v>
      </c>
      <c r="AX400" s="69">
        <f t="shared" si="316"/>
        <v>0</v>
      </c>
      <c r="AY400" s="75">
        <f t="shared" si="299"/>
        <v>0</v>
      </c>
      <c r="AZ400" s="75">
        <f t="shared" si="300"/>
        <v>0</v>
      </c>
      <c r="BA400" s="75">
        <f t="shared" si="301"/>
        <v>0</v>
      </c>
      <c r="BB400" s="75">
        <f t="shared" si="302"/>
        <v>0</v>
      </c>
      <c r="BD400" s="214">
        <f t="shared" si="317"/>
        <v>280804.19225114235</v>
      </c>
      <c r="BE400" s="214">
        <f t="shared" si="303"/>
        <v>1366.8286047427459</v>
      </c>
      <c r="BF400" s="214">
        <f t="shared" si="304"/>
        <v>-464.64429034370562</v>
      </c>
      <c r="BG400" s="224">
        <f t="shared" si="321"/>
        <v>0</v>
      </c>
      <c r="BH400" s="19">
        <f t="shared" si="318"/>
        <v>479759.54940067074</v>
      </c>
      <c r="BI400" s="214">
        <f t="shared" si="305"/>
        <v>2335.2538659139609</v>
      </c>
      <c r="BJ400" s="214">
        <f t="shared" si="306"/>
        <v>0</v>
      </c>
      <c r="BK400" s="19">
        <f t="shared" si="322"/>
        <v>0</v>
      </c>
    </row>
    <row r="401" spans="1:63">
      <c r="A401" s="165">
        <f t="shared" si="307"/>
        <v>89.222792607802873</v>
      </c>
      <c r="B401" s="69">
        <f t="shared" si="308"/>
        <v>28</v>
      </c>
      <c r="C401" s="70">
        <f t="shared" si="309"/>
        <v>327</v>
      </c>
      <c r="D401" s="13">
        <f t="shared" si="277"/>
        <v>4.8675505653430484E-3</v>
      </c>
      <c r="E401" s="15">
        <f t="shared" si="278"/>
        <v>1</v>
      </c>
      <c r="F401" s="15">
        <f t="shared" si="310"/>
        <v>0</v>
      </c>
      <c r="G401" s="15">
        <f t="shared" si="279"/>
        <v>0</v>
      </c>
      <c r="H401" s="73">
        <f t="shared" si="280"/>
        <v>0</v>
      </c>
      <c r="I401" s="189"/>
      <c r="J401" s="189"/>
      <c r="K401" s="5">
        <f t="shared" si="323"/>
        <v>205515.1994264542</v>
      </c>
      <c r="M401" s="5">
        <f t="shared" si="281"/>
        <v>1000.3556251548265</v>
      </c>
      <c r="N401" s="5">
        <f t="shared" si="282"/>
        <v>-340.06423916543741</v>
      </c>
      <c r="O401" s="5">
        <f t="shared" si="283"/>
        <v>0</v>
      </c>
      <c r="P401" s="5">
        <f t="shared" si="284"/>
        <v>0</v>
      </c>
      <c r="Q401" s="5">
        <f t="shared" si="319"/>
        <v>0</v>
      </c>
      <c r="R401" s="5">
        <f t="shared" si="311"/>
        <v>0</v>
      </c>
      <c r="S401" s="5">
        <f t="shared" si="285"/>
        <v>0</v>
      </c>
      <c r="T401" s="5">
        <f t="shared" si="286"/>
        <v>0</v>
      </c>
      <c r="U401" s="74">
        <f t="shared" si="287"/>
        <v>0</v>
      </c>
      <c r="V401" s="75">
        <f t="shared" si="288"/>
        <v>0</v>
      </c>
      <c r="W401" s="5">
        <f t="shared" si="289"/>
        <v>0</v>
      </c>
      <c r="X401" s="5">
        <f t="shared" si="290"/>
        <v>206175.4908124436</v>
      </c>
      <c r="Y401" s="5">
        <f t="shared" si="312"/>
        <v>100000</v>
      </c>
      <c r="Z401" s="215">
        <f t="shared" si="291"/>
        <v>1</v>
      </c>
      <c r="AA401" s="216">
        <f t="shared" si="313"/>
        <v>0</v>
      </c>
      <c r="AB401" s="72">
        <f t="shared" si="320"/>
        <v>50215.72519964027</v>
      </c>
      <c r="AC401" s="72">
        <f t="shared" si="292"/>
        <v>0</v>
      </c>
      <c r="AD401" s="72">
        <f t="shared" si="293"/>
        <v>0</v>
      </c>
      <c r="AE401" s="72">
        <f t="shared" si="314"/>
        <v>-42.933663956977675</v>
      </c>
      <c r="AF401" s="70">
        <f t="shared" si="294"/>
        <v>0</v>
      </c>
      <c r="AG401" s="70">
        <f t="shared" si="295"/>
        <v>9212.9368849516031</v>
      </c>
      <c r="AH401" s="1">
        <f t="shared" si="296"/>
        <v>0</v>
      </c>
      <c r="AI401" s="1">
        <f t="shared" si="296"/>
        <v>0</v>
      </c>
      <c r="AJ401" s="1">
        <f t="shared" si="296"/>
        <v>0</v>
      </c>
      <c r="AK401" s="1">
        <f t="shared" si="296"/>
        <v>0</v>
      </c>
      <c r="AL401" s="1">
        <f t="shared" si="296"/>
        <v>0</v>
      </c>
      <c r="AM401" s="1">
        <f t="shared" si="296"/>
        <v>0</v>
      </c>
      <c r="AN401" s="1">
        <f t="shared" si="296"/>
        <v>0</v>
      </c>
      <c r="AO401" s="1">
        <f t="shared" si="296"/>
        <v>0</v>
      </c>
      <c r="AP401" s="1">
        <f t="shared" si="296"/>
        <v>0</v>
      </c>
      <c r="AQ401" s="1">
        <f t="shared" si="296"/>
        <v>1</v>
      </c>
      <c r="AR401" s="1">
        <f t="shared" si="296"/>
        <v>1</v>
      </c>
      <c r="AS401" s="1">
        <f t="shared" si="296"/>
        <v>1</v>
      </c>
      <c r="AT401" s="39">
        <f t="shared" si="297"/>
        <v>206175.4908124436</v>
      </c>
      <c r="AU401" s="39">
        <f t="shared" si="315"/>
        <v>206175.4908124436</v>
      </c>
      <c r="AV401" s="39">
        <f t="shared" si="271"/>
        <v>0</v>
      </c>
      <c r="AW401" s="3">
        <f t="shared" si="298"/>
        <v>327</v>
      </c>
      <c r="AX401" s="69">
        <f t="shared" si="316"/>
        <v>0</v>
      </c>
      <c r="AY401" s="75">
        <f t="shared" si="299"/>
        <v>0</v>
      </c>
      <c r="AZ401" s="75">
        <f t="shared" si="300"/>
        <v>0</v>
      </c>
      <c r="BA401" s="75">
        <f t="shared" si="301"/>
        <v>0</v>
      </c>
      <c r="BB401" s="75">
        <f t="shared" si="302"/>
        <v>0</v>
      </c>
      <c r="BD401" s="214">
        <f t="shared" si="317"/>
        <v>281706.37656554143</v>
      </c>
      <c r="BE401" s="214">
        <f t="shared" si="303"/>
        <v>1371.2200325123429</v>
      </c>
      <c r="BF401" s="214">
        <f t="shared" si="304"/>
        <v>-466.13712699675767</v>
      </c>
      <c r="BG401" s="224">
        <f t="shared" si="321"/>
        <v>0</v>
      </c>
      <c r="BH401" s="19">
        <f t="shared" si="318"/>
        <v>482094.8032665847</v>
      </c>
      <c r="BI401" s="214">
        <f t="shared" si="305"/>
        <v>2346.62083218921</v>
      </c>
      <c r="BJ401" s="214">
        <f t="shared" si="306"/>
        <v>0</v>
      </c>
      <c r="BK401" s="19">
        <f t="shared" si="322"/>
        <v>0</v>
      </c>
    </row>
    <row r="402" spans="1:63">
      <c r="A402" s="165">
        <f t="shared" si="307"/>
        <v>89.306125941136202</v>
      </c>
      <c r="B402" s="69">
        <f t="shared" si="308"/>
        <v>28</v>
      </c>
      <c r="C402" s="70">
        <f t="shared" si="309"/>
        <v>328</v>
      </c>
      <c r="D402" s="13">
        <f t="shared" si="277"/>
        <v>4.8675505653430484E-3</v>
      </c>
      <c r="E402" s="15">
        <f t="shared" si="278"/>
        <v>1</v>
      </c>
      <c r="F402" s="15">
        <f t="shared" si="310"/>
        <v>0</v>
      </c>
      <c r="G402" s="15">
        <f t="shared" si="279"/>
        <v>0</v>
      </c>
      <c r="H402" s="73">
        <f t="shared" si="280"/>
        <v>0</v>
      </c>
      <c r="I402" s="189"/>
      <c r="J402" s="189"/>
      <c r="K402" s="5">
        <f t="shared" si="323"/>
        <v>206175.4908124436</v>
      </c>
      <c r="M402" s="5">
        <f t="shared" si="281"/>
        <v>1003.5696268639904</v>
      </c>
      <c r="N402" s="5">
        <f t="shared" si="282"/>
        <v>-341.15681766294335</v>
      </c>
      <c r="O402" s="5">
        <f t="shared" si="283"/>
        <v>0</v>
      </c>
      <c r="P402" s="5">
        <f t="shared" si="284"/>
        <v>0</v>
      </c>
      <c r="Q402" s="5">
        <f t="shared" si="319"/>
        <v>0</v>
      </c>
      <c r="R402" s="5">
        <f t="shared" si="311"/>
        <v>0</v>
      </c>
      <c r="S402" s="5">
        <f t="shared" si="285"/>
        <v>0</v>
      </c>
      <c r="T402" s="5">
        <f t="shared" si="286"/>
        <v>0</v>
      </c>
      <c r="U402" s="74">
        <f t="shared" si="287"/>
        <v>0</v>
      </c>
      <c r="V402" s="75">
        <f t="shared" si="288"/>
        <v>0</v>
      </c>
      <c r="W402" s="5">
        <f t="shared" si="289"/>
        <v>0</v>
      </c>
      <c r="X402" s="5">
        <f t="shared" si="290"/>
        <v>206837.90362164465</v>
      </c>
      <c r="Y402" s="5">
        <f t="shared" si="312"/>
        <v>100000</v>
      </c>
      <c r="Z402" s="215">
        <f t="shared" si="291"/>
        <v>1</v>
      </c>
      <c r="AA402" s="216">
        <f t="shared" si="313"/>
        <v>0</v>
      </c>
      <c r="AB402" s="72">
        <f t="shared" si="320"/>
        <v>50215.72519964027</v>
      </c>
      <c r="AC402" s="72">
        <f t="shared" si="292"/>
        <v>0</v>
      </c>
      <c r="AD402" s="72">
        <f t="shared" si="293"/>
        <v>0</v>
      </c>
      <c r="AE402" s="72">
        <f t="shared" si="314"/>
        <v>-43.071603771448196</v>
      </c>
      <c r="AF402" s="70">
        <f t="shared" si="294"/>
        <v>0</v>
      </c>
      <c r="AG402" s="70">
        <f t="shared" si="295"/>
        <v>9464.6537524480009</v>
      </c>
      <c r="AH402" s="1">
        <f t="shared" si="296"/>
        <v>0</v>
      </c>
      <c r="AI402" s="1">
        <f t="shared" si="296"/>
        <v>0</v>
      </c>
      <c r="AJ402" s="1">
        <f t="shared" si="296"/>
        <v>0</v>
      </c>
      <c r="AK402" s="1">
        <f t="shared" si="296"/>
        <v>0</v>
      </c>
      <c r="AL402" s="1">
        <f t="shared" si="296"/>
        <v>0</v>
      </c>
      <c r="AM402" s="1">
        <f t="shared" si="296"/>
        <v>0</v>
      </c>
      <c r="AN402" s="1">
        <f t="shared" si="296"/>
        <v>0</v>
      </c>
      <c r="AO402" s="1">
        <f t="shared" si="296"/>
        <v>0</v>
      </c>
      <c r="AP402" s="1">
        <f t="shared" si="296"/>
        <v>0</v>
      </c>
      <c r="AQ402" s="1">
        <f t="shared" si="296"/>
        <v>1</v>
      </c>
      <c r="AR402" s="1">
        <f t="shared" si="296"/>
        <v>1</v>
      </c>
      <c r="AS402" s="1">
        <f t="shared" si="296"/>
        <v>1</v>
      </c>
      <c r="AT402" s="39">
        <f t="shared" si="297"/>
        <v>206837.90362164465</v>
      </c>
      <c r="AU402" s="39">
        <f t="shared" si="315"/>
        <v>206837.90362164465</v>
      </c>
      <c r="AV402" s="39">
        <f t="shared" si="271"/>
        <v>0</v>
      </c>
      <c r="AW402" s="3">
        <f t="shared" si="298"/>
        <v>328</v>
      </c>
      <c r="AX402" s="69">
        <f t="shared" si="316"/>
        <v>0</v>
      </c>
      <c r="AY402" s="75">
        <f t="shared" si="299"/>
        <v>0</v>
      </c>
      <c r="AZ402" s="75">
        <f t="shared" si="300"/>
        <v>0</v>
      </c>
      <c r="BA402" s="75">
        <f t="shared" si="301"/>
        <v>0</v>
      </c>
      <c r="BB402" s="75">
        <f t="shared" si="302"/>
        <v>0</v>
      </c>
      <c r="BD402" s="214">
        <f t="shared" si="317"/>
        <v>282611.45947105699</v>
      </c>
      <c r="BE402" s="214">
        <f t="shared" si="303"/>
        <v>1375.6255693207675</v>
      </c>
      <c r="BF402" s="214">
        <f t="shared" si="304"/>
        <v>-467.63475992368842</v>
      </c>
      <c r="BG402" s="224">
        <f t="shared" si="321"/>
        <v>0</v>
      </c>
      <c r="BH402" s="19">
        <f t="shared" si="318"/>
        <v>484441.42409877392</v>
      </c>
      <c r="BI402" s="214">
        <f t="shared" si="305"/>
        <v>2358.0431277475786</v>
      </c>
      <c r="BJ402" s="214">
        <f t="shared" si="306"/>
        <v>0</v>
      </c>
      <c r="BK402" s="19">
        <f t="shared" si="322"/>
        <v>0</v>
      </c>
    </row>
    <row r="403" spans="1:63">
      <c r="A403" s="165">
        <f t="shared" si="307"/>
        <v>89.389459274469544</v>
      </c>
      <c r="B403" s="69">
        <f t="shared" si="308"/>
        <v>28</v>
      </c>
      <c r="C403" s="70">
        <f t="shared" si="309"/>
        <v>329</v>
      </c>
      <c r="D403" s="13">
        <f t="shared" si="277"/>
        <v>4.8675505653430484E-3</v>
      </c>
      <c r="E403" s="15">
        <f t="shared" si="278"/>
        <v>1</v>
      </c>
      <c r="F403" s="15">
        <f t="shared" si="310"/>
        <v>0</v>
      </c>
      <c r="G403" s="15">
        <f t="shared" si="279"/>
        <v>0</v>
      </c>
      <c r="H403" s="73">
        <f t="shared" si="280"/>
        <v>0</v>
      </c>
      <c r="I403" s="189"/>
      <c r="J403" s="189"/>
      <c r="K403" s="5">
        <f t="shared" si="323"/>
        <v>206837.90362164465</v>
      </c>
      <c r="M403" s="5">
        <f t="shared" si="281"/>
        <v>1006.7939547079073</v>
      </c>
      <c r="N403" s="5">
        <f t="shared" si="282"/>
        <v>-342.25290646125632</v>
      </c>
      <c r="O403" s="5">
        <f t="shared" si="283"/>
        <v>0</v>
      </c>
      <c r="P403" s="5">
        <f t="shared" si="284"/>
        <v>0</v>
      </c>
      <c r="Q403" s="5">
        <f t="shared" si="319"/>
        <v>0</v>
      </c>
      <c r="R403" s="5">
        <f t="shared" si="311"/>
        <v>0</v>
      </c>
      <c r="S403" s="5">
        <f t="shared" si="285"/>
        <v>0</v>
      </c>
      <c r="T403" s="5">
        <f t="shared" si="286"/>
        <v>0</v>
      </c>
      <c r="U403" s="74">
        <f t="shared" si="287"/>
        <v>0</v>
      </c>
      <c r="V403" s="75">
        <f t="shared" si="288"/>
        <v>0</v>
      </c>
      <c r="W403" s="5">
        <f t="shared" si="289"/>
        <v>0</v>
      </c>
      <c r="X403" s="5">
        <f t="shared" si="290"/>
        <v>207502.44466989132</v>
      </c>
      <c r="Y403" s="5">
        <f t="shared" si="312"/>
        <v>100000</v>
      </c>
      <c r="Z403" s="215">
        <f t="shared" si="291"/>
        <v>1</v>
      </c>
      <c r="AA403" s="216">
        <f t="shared" si="313"/>
        <v>0</v>
      </c>
      <c r="AB403" s="72">
        <f t="shared" si="320"/>
        <v>50215.72519964027</v>
      </c>
      <c r="AC403" s="72">
        <f t="shared" si="292"/>
        <v>0</v>
      </c>
      <c r="AD403" s="72">
        <f t="shared" si="293"/>
        <v>0</v>
      </c>
      <c r="AE403" s="72">
        <f t="shared" si="314"/>
        <v>-43.209986767111801</v>
      </c>
      <c r="AF403" s="70">
        <f t="shared" si="294"/>
        <v>0</v>
      </c>
      <c r="AG403" s="70">
        <f t="shared" si="295"/>
        <v>9717.1793507817347</v>
      </c>
      <c r="AH403" s="1">
        <f t="shared" si="296"/>
        <v>0</v>
      </c>
      <c r="AI403" s="1">
        <f t="shared" si="296"/>
        <v>0</v>
      </c>
      <c r="AJ403" s="1">
        <f t="shared" si="296"/>
        <v>0</v>
      </c>
      <c r="AK403" s="1">
        <f t="shared" si="296"/>
        <v>0</v>
      </c>
      <c r="AL403" s="1">
        <f t="shared" si="296"/>
        <v>0</v>
      </c>
      <c r="AM403" s="1">
        <f t="shared" si="296"/>
        <v>0</v>
      </c>
      <c r="AN403" s="1">
        <f t="shared" si="296"/>
        <v>0</v>
      </c>
      <c r="AO403" s="1">
        <f t="shared" si="296"/>
        <v>0</v>
      </c>
      <c r="AP403" s="1">
        <f t="shared" si="296"/>
        <v>0</v>
      </c>
      <c r="AQ403" s="1">
        <f t="shared" si="296"/>
        <v>1</v>
      </c>
      <c r="AR403" s="1">
        <f t="shared" si="296"/>
        <v>1</v>
      </c>
      <c r="AS403" s="1">
        <f t="shared" si="296"/>
        <v>1</v>
      </c>
      <c r="AT403" s="39">
        <f t="shared" si="297"/>
        <v>207502.44466989132</v>
      </c>
      <c r="AU403" s="39">
        <f t="shared" si="315"/>
        <v>207502.44466989132</v>
      </c>
      <c r="AV403" s="39">
        <f t="shared" si="271"/>
        <v>0</v>
      </c>
      <c r="AW403" s="3">
        <f t="shared" si="298"/>
        <v>329</v>
      </c>
      <c r="AX403" s="69">
        <f t="shared" si="316"/>
        <v>0</v>
      </c>
      <c r="AY403" s="75">
        <f t="shared" si="299"/>
        <v>0</v>
      </c>
      <c r="AZ403" s="75">
        <f t="shared" si="300"/>
        <v>0</v>
      </c>
      <c r="BA403" s="75">
        <f t="shared" si="301"/>
        <v>0</v>
      </c>
      <c r="BB403" s="75">
        <f t="shared" si="302"/>
        <v>0</v>
      </c>
      <c r="BD403" s="214">
        <f t="shared" si="317"/>
        <v>283519.45028045407</v>
      </c>
      <c r="BE403" s="214">
        <f t="shared" si="303"/>
        <v>1380.0452604983745</v>
      </c>
      <c r="BF403" s="214">
        <f t="shared" si="304"/>
        <v>-469.13720453425032</v>
      </c>
      <c r="BG403" s="224">
        <f t="shared" si="321"/>
        <v>0</v>
      </c>
      <c r="BH403" s="19">
        <f t="shared" si="318"/>
        <v>486799.46722652152</v>
      </c>
      <c r="BI403" s="214">
        <f t="shared" si="305"/>
        <v>2369.5210219071496</v>
      </c>
      <c r="BJ403" s="214">
        <f t="shared" si="306"/>
        <v>0</v>
      </c>
      <c r="BK403" s="19">
        <f t="shared" si="322"/>
        <v>0</v>
      </c>
    </row>
    <row r="404" spans="1:63">
      <c r="A404" s="165">
        <f t="shared" si="307"/>
        <v>89.472792607802873</v>
      </c>
      <c r="B404" s="69">
        <f t="shared" si="308"/>
        <v>28</v>
      </c>
      <c r="C404" s="70">
        <f t="shared" si="309"/>
        <v>330</v>
      </c>
      <c r="D404" s="13">
        <f t="shared" si="277"/>
        <v>4.8675505653430484E-3</v>
      </c>
      <c r="E404" s="15">
        <f t="shared" si="278"/>
        <v>1</v>
      </c>
      <c r="F404" s="15">
        <f t="shared" si="310"/>
        <v>0</v>
      </c>
      <c r="G404" s="15">
        <f t="shared" si="279"/>
        <v>0</v>
      </c>
      <c r="H404" s="73">
        <f t="shared" si="280"/>
        <v>0</v>
      </c>
      <c r="I404" s="189"/>
      <c r="J404" s="189"/>
      <c r="K404" s="5">
        <f t="shared" si="323"/>
        <v>207502.44466989132</v>
      </c>
      <c r="M404" s="5">
        <f t="shared" si="281"/>
        <v>1010.0286418629942</v>
      </c>
      <c r="N404" s="5">
        <f t="shared" si="282"/>
        <v>-343.35251683847844</v>
      </c>
      <c r="O404" s="5">
        <f t="shared" si="283"/>
        <v>0</v>
      </c>
      <c r="P404" s="5">
        <f t="shared" si="284"/>
        <v>0</v>
      </c>
      <c r="Q404" s="5">
        <f t="shared" si="319"/>
        <v>0</v>
      </c>
      <c r="R404" s="5">
        <f t="shared" si="311"/>
        <v>0</v>
      </c>
      <c r="S404" s="5">
        <f t="shared" si="285"/>
        <v>0</v>
      </c>
      <c r="T404" s="5">
        <f t="shared" si="286"/>
        <v>0</v>
      </c>
      <c r="U404" s="74">
        <f t="shared" si="287"/>
        <v>0</v>
      </c>
      <c r="V404" s="75">
        <f t="shared" si="288"/>
        <v>0</v>
      </c>
      <c r="W404" s="5">
        <f t="shared" si="289"/>
        <v>0</v>
      </c>
      <c r="X404" s="5">
        <f t="shared" si="290"/>
        <v>208169.12079491586</v>
      </c>
      <c r="Y404" s="5">
        <f t="shared" si="312"/>
        <v>100000</v>
      </c>
      <c r="Z404" s="215">
        <f t="shared" si="291"/>
        <v>1</v>
      </c>
      <c r="AA404" s="216">
        <f t="shared" si="313"/>
        <v>0</v>
      </c>
      <c r="AB404" s="72">
        <f t="shared" si="320"/>
        <v>50215.72519964027</v>
      </c>
      <c r="AC404" s="72">
        <f t="shared" si="292"/>
        <v>0</v>
      </c>
      <c r="AD404" s="72">
        <f t="shared" si="293"/>
        <v>0</v>
      </c>
      <c r="AE404" s="72">
        <f t="shared" si="314"/>
        <v>-43.34881436784724</v>
      </c>
      <c r="AF404" s="70">
        <f t="shared" si="294"/>
        <v>0</v>
      </c>
      <c r="AG404" s="70">
        <f t="shared" si="295"/>
        <v>9970.5162782910556</v>
      </c>
      <c r="AH404" s="1">
        <f t="shared" si="296"/>
        <v>0</v>
      </c>
      <c r="AI404" s="1">
        <f t="shared" si="296"/>
        <v>0</v>
      </c>
      <c r="AJ404" s="1">
        <f t="shared" si="296"/>
        <v>0</v>
      </c>
      <c r="AK404" s="1">
        <f t="shared" si="296"/>
        <v>0</v>
      </c>
      <c r="AL404" s="1">
        <f t="shared" si="296"/>
        <v>0</v>
      </c>
      <c r="AM404" s="1">
        <f t="shared" si="296"/>
        <v>0</v>
      </c>
      <c r="AN404" s="1">
        <f t="shared" si="296"/>
        <v>0</v>
      </c>
      <c r="AO404" s="1">
        <f t="shared" si="296"/>
        <v>0</v>
      </c>
      <c r="AP404" s="1">
        <f t="shared" si="296"/>
        <v>0</v>
      </c>
      <c r="AQ404" s="1">
        <f t="shared" si="296"/>
        <v>1</v>
      </c>
      <c r="AR404" s="1">
        <f t="shared" si="296"/>
        <v>1</v>
      </c>
      <c r="AS404" s="1">
        <f t="shared" si="296"/>
        <v>1</v>
      </c>
      <c r="AT404" s="39">
        <f t="shared" si="297"/>
        <v>208169.12079491586</v>
      </c>
      <c r="AU404" s="39">
        <f t="shared" si="315"/>
        <v>208169.12079491586</v>
      </c>
      <c r="AV404" s="39">
        <f t="shared" si="271"/>
        <v>0</v>
      </c>
      <c r="AW404" s="3">
        <f t="shared" si="298"/>
        <v>330</v>
      </c>
      <c r="AX404" s="69">
        <f t="shared" si="316"/>
        <v>0</v>
      </c>
      <c r="AY404" s="75">
        <f t="shared" si="299"/>
        <v>0</v>
      </c>
      <c r="AZ404" s="75">
        <f t="shared" si="300"/>
        <v>0</v>
      </c>
      <c r="BA404" s="75">
        <f t="shared" si="301"/>
        <v>0</v>
      </c>
      <c r="BB404" s="75">
        <f t="shared" si="302"/>
        <v>0</v>
      </c>
      <c r="BD404" s="214">
        <f t="shared" si="317"/>
        <v>284430.35833641817</v>
      </c>
      <c r="BE404" s="214">
        <f t="shared" si="303"/>
        <v>1384.4791515211582</v>
      </c>
      <c r="BF404" s="214">
        <f t="shared" si="304"/>
        <v>-470.64447628770495</v>
      </c>
      <c r="BG404" s="224">
        <f t="shared" si="321"/>
        <v>0</v>
      </c>
      <c r="BH404" s="19">
        <f t="shared" si="318"/>
        <v>489168.98824842868</v>
      </c>
      <c r="BI404" s="214">
        <f t="shared" si="305"/>
        <v>2381.0547852969262</v>
      </c>
      <c r="BJ404" s="214">
        <f t="shared" si="306"/>
        <v>0</v>
      </c>
      <c r="BK404" s="19">
        <f t="shared" si="322"/>
        <v>0</v>
      </c>
    </row>
    <row r="405" spans="1:63">
      <c r="A405" s="165">
        <f t="shared" si="307"/>
        <v>89.556125941136202</v>
      </c>
      <c r="B405" s="69">
        <f t="shared" si="308"/>
        <v>28</v>
      </c>
      <c r="C405" s="70">
        <f t="shared" si="309"/>
        <v>331</v>
      </c>
      <c r="D405" s="13">
        <f t="shared" si="277"/>
        <v>4.8675505653430484E-3</v>
      </c>
      <c r="E405" s="15">
        <f t="shared" si="278"/>
        <v>1</v>
      </c>
      <c r="F405" s="15">
        <f t="shared" si="310"/>
        <v>0</v>
      </c>
      <c r="G405" s="15">
        <f t="shared" si="279"/>
        <v>0</v>
      </c>
      <c r="H405" s="73">
        <f t="shared" si="280"/>
        <v>0</v>
      </c>
      <c r="I405" s="189"/>
      <c r="J405" s="189"/>
      <c r="K405" s="5">
        <f t="shared" si="323"/>
        <v>208169.12079491586</v>
      </c>
      <c r="M405" s="5">
        <f t="shared" si="281"/>
        <v>1013.273721612258</v>
      </c>
      <c r="N405" s="5">
        <f t="shared" si="282"/>
        <v>-344.45566010894669</v>
      </c>
      <c r="O405" s="5">
        <f t="shared" si="283"/>
        <v>0</v>
      </c>
      <c r="P405" s="5">
        <f t="shared" si="284"/>
        <v>0</v>
      </c>
      <c r="Q405" s="5">
        <f t="shared" si="319"/>
        <v>0</v>
      </c>
      <c r="R405" s="5">
        <f t="shared" si="311"/>
        <v>0</v>
      </c>
      <c r="S405" s="5">
        <f t="shared" si="285"/>
        <v>0</v>
      </c>
      <c r="T405" s="5">
        <f t="shared" si="286"/>
        <v>0</v>
      </c>
      <c r="U405" s="74">
        <f t="shared" si="287"/>
        <v>0</v>
      </c>
      <c r="V405" s="75">
        <f t="shared" si="288"/>
        <v>0</v>
      </c>
      <c r="W405" s="5">
        <f t="shared" si="289"/>
        <v>0</v>
      </c>
      <c r="X405" s="5">
        <f t="shared" si="290"/>
        <v>208837.93885641918</v>
      </c>
      <c r="Y405" s="5">
        <f t="shared" si="312"/>
        <v>100000</v>
      </c>
      <c r="Z405" s="215">
        <f t="shared" si="291"/>
        <v>1</v>
      </c>
      <c r="AA405" s="216">
        <f t="shared" si="313"/>
        <v>0</v>
      </c>
      <c r="AB405" s="72">
        <f t="shared" si="320"/>
        <v>50215.72519964027</v>
      </c>
      <c r="AC405" s="72">
        <f t="shared" si="292"/>
        <v>0</v>
      </c>
      <c r="AD405" s="72">
        <f t="shared" si="293"/>
        <v>0</v>
      </c>
      <c r="AE405" s="72">
        <f t="shared" si="314"/>
        <v>-43.488088002107979</v>
      </c>
      <c r="AF405" s="70">
        <f t="shared" si="294"/>
        <v>0</v>
      </c>
      <c r="AG405" s="70">
        <f t="shared" si="295"/>
        <v>10224.667141662314</v>
      </c>
      <c r="AH405" s="1">
        <f t="shared" ref="AH405:AS414" si="324">IF($B405&lt;=AH$74,1,0)</f>
        <v>0</v>
      </c>
      <c r="AI405" s="1">
        <f t="shared" si="324"/>
        <v>0</v>
      </c>
      <c r="AJ405" s="1">
        <f t="shared" si="324"/>
        <v>0</v>
      </c>
      <c r="AK405" s="1">
        <f t="shared" si="324"/>
        <v>0</v>
      </c>
      <c r="AL405" s="1">
        <f t="shared" si="324"/>
        <v>0</v>
      </c>
      <c r="AM405" s="1">
        <f t="shared" si="324"/>
        <v>0</v>
      </c>
      <c r="AN405" s="1">
        <f t="shared" si="324"/>
        <v>0</v>
      </c>
      <c r="AO405" s="1">
        <f t="shared" si="324"/>
        <v>0</v>
      </c>
      <c r="AP405" s="1">
        <f t="shared" si="324"/>
        <v>0</v>
      </c>
      <c r="AQ405" s="1">
        <f t="shared" si="324"/>
        <v>1</v>
      </c>
      <c r="AR405" s="1">
        <f t="shared" si="324"/>
        <v>1</v>
      </c>
      <c r="AS405" s="1">
        <f t="shared" si="324"/>
        <v>1</v>
      </c>
      <c r="AT405" s="39">
        <f t="shared" si="297"/>
        <v>208837.93885641918</v>
      </c>
      <c r="AU405" s="39">
        <f t="shared" si="315"/>
        <v>208837.93885641918</v>
      </c>
      <c r="AV405" s="39">
        <f t="shared" si="271"/>
        <v>0</v>
      </c>
      <c r="AW405" s="3">
        <f t="shared" si="298"/>
        <v>331</v>
      </c>
      <c r="AX405" s="69">
        <f t="shared" si="316"/>
        <v>0</v>
      </c>
      <c r="AY405" s="75">
        <f t="shared" si="299"/>
        <v>0</v>
      </c>
      <c r="AZ405" s="75">
        <f t="shared" si="300"/>
        <v>0</v>
      </c>
      <c r="BA405" s="75">
        <f t="shared" si="301"/>
        <v>0</v>
      </c>
      <c r="BB405" s="75">
        <f t="shared" si="302"/>
        <v>0</v>
      </c>
      <c r="BD405" s="214">
        <f t="shared" si="317"/>
        <v>285344.19301165163</v>
      </c>
      <c r="BE405" s="214">
        <f t="shared" si="303"/>
        <v>1388.9272880112208</v>
      </c>
      <c r="BF405" s="214">
        <f t="shared" si="304"/>
        <v>-472.15659069298266</v>
      </c>
      <c r="BG405" s="224">
        <f t="shared" si="321"/>
        <v>0</v>
      </c>
      <c r="BH405" s="19">
        <f t="shared" si="318"/>
        <v>491550.04303372558</v>
      </c>
      <c r="BI405" s="214">
        <f t="shared" si="305"/>
        <v>2392.6446898632107</v>
      </c>
      <c r="BJ405" s="214">
        <f t="shared" si="306"/>
        <v>0</v>
      </c>
      <c r="BK405" s="19">
        <f t="shared" si="322"/>
        <v>0</v>
      </c>
    </row>
    <row r="406" spans="1:63">
      <c r="A406" s="165">
        <f t="shared" si="307"/>
        <v>89.639459274469544</v>
      </c>
      <c r="B406" s="69">
        <f t="shared" si="308"/>
        <v>28</v>
      </c>
      <c r="C406" s="70">
        <f t="shared" si="309"/>
        <v>332</v>
      </c>
      <c r="D406" s="13">
        <f t="shared" si="277"/>
        <v>4.8675505653430484E-3</v>
      </c>
      <c r="E406" s="15">
        <f t="shared" si="278"/>
        <v>1</v>
      </c>
      <c r="F406" s="15">
        <f t="shared" si="310"/>
        <v>0</v>
      </c>
      <c r="G406" s="15">
        <f t="shared" si="279"/>
        <v>0</v>
      </c>
      <c r="H406" s="73">
        <f t="shared" si="280"/>
        <v>0</v>
      </c>
      <c r="I406" s="189"/>
      <c r="J406" s="189"/>
      <c r="K406" s="5">
        <f t="shared" si="323"/>
        <v>208837.93885641918</v>
      </c>
      <c r="M406" s="5">
        <f t="shared" si="281"/>
        <v>1016.5292273456402</v>
      </c>
      <c r="N406" s="5">
        <f t="shared" si="282"/>
        <v>-345.56234762334935</v>
      </c>
      <c r="O406" s="5">
        <f t="shared" si="283"/>
        <v>0</v>
      </c>
      <c r="P406" s="5">
        <f t="shared" si="284"/>
        <v>0</v>
      </c>
      <c r="Q406" s="5">
        <f t="shared" si="319"/>
        <v>0</v>
      </c>
      <c r="R406" s="5">
        <f t="shared" si="311"/>
        <v>0</v>
      </c>
      <c r="S406" s="5">
        <f t="shared" si="285"/>
        <v>0</v>
      </c>
      <c r="T406" s="5">
        <f t="shared" si="286"/>
        <v>0</v>
      </c>
      <c r="U406" s="74">
        <f t="shared" si="287"/>
        <v>0</v>
      </c>
      <c r="V406" s="75">
        <f t="shared" si="288"/>
        <v>0</v>
      </c>
      <c r="W406" s="5">
        <f t="shared" si="289"/>
        <v>0</v>
      </c>
      <c r="X406" s="5">
        <f t="shared" si="290"/>
        <v>209508.90573614146</v>
      </c>
      <c r="Y406" s="5">
        <f t="shared" si="312"/>
        <v>100000</v>
      </c>
      <c r="Z406" s="215">
        <f t="shared" si="291"/>
        <v>1</v>
      </c>
      <c r="AA406" s="216">
        <f t="shared" si="313"/>
        <v>0</v>
      </c>
      <c r="AB406" s="72">
        <f t="shared" si="320"/>
        <v>50215.72519964027</v>
      </c>
      <c r="AC406" s="72">
        <f t="shared" si="292"/>
        <v>0</v>
      </c>
      <c r="AD406" s="72">
        <f t="shared" si="293"/>
        <v>0</v>
      </c>
      <c r="AE406" s="72">
        <f t="shared" si="314"/>
        <v>-43.627809102936908</v>
      </c>
      <c r="AF406" s="70">
        <f t="shared" si="294"/>
        <v>0</v>
      </c>
      <c r="AG406" s="70">
        <f t="shared" si="295"/>
        <v>10479.634555956785</v>
      </c>
      <c r="AH406" s="1">
        <f t="shared" si="324"/>
        <v>0</v>
      </c>
      <c r="AI406" s="1">
        <f t="shared" si="324"/>
        <v>0</v>
      </c>
      <c r="AJ406" s="1">
        <f t="shared" si="324"/>
        <v>0</v>
      </c>
      <c r="AK406" s="1">
        <f t="shared" si="324"/>
        <v>0</v>
      </c>
      <c r="AL406" s="1">
        <f t="shared" si="324"/>
        <v>0</v>
      </c>
      <c r="AM406" s="1">
        <f t="shared" si="324"/>
        <v>0</v>
      </c>
      <c r="AN406" s="1">
        <f t="shared" si="324"/>
        <v>0</v>
      </c>
      <c r="AO406" s="1">
        <f t="shared" si="324"/>
        <v>0</v>
      </c>
      <c r="AP406" s="1">
        <f t="shared" si="324"/>
        <v>0</v>
      </c>
      <c r="AQ406" s="1">
        <f t="shared" si="324"/>
        <v>1</v>
      </c>
      <c r="AR406" s="1">
        <f t="shared" si="324"/>
        <v>1</v>
      </c>
      <c r="AS406" s="1">
        <f t="shared" si="324"/>
        <v>1</v>
      </c>
      <c r="AT406" s="39">
        <f t="shared" si="297"/>
        <v>209508.90573614146</v>
      </c>
      <c r="AU406" s="39">
        <f t="shared" si="315"/>
        <v>209508.90573614146</v>
      </c>
      <c r="AV406" s="39">
        <f t="shared" si="271"/>
        <v>0</v>
      </c>
      <c r="AW406" s="3">
        <f t="shared" si="298"/>
        <v>332</v>
      </c>
      <c r="AX406" s="69">
        <f t="shared" si="316"/>
        <v>0</v>
      </c>
      <c r="AY406" s="75">
        <f t="shared" si="299"/>
        <v>0</v>
      </c>
      <c r="AZ406" s="75">
        <f t="shared" si="300"/>
        <v>0</v>
      </c>
      <c r="BA406" s="75">
        <f t="shared" si="301"/>
        <v>0</v>
      </c>
      <c r="BB406" s="75">
        <f t="shared" si="302"/>
        <v>0</v>
      </c>
      <c r="BD406" s="214">
        <f t="shared" si="317"/>
        <v>286260.96370896988</v>
      </c>
      <c r="BE406" s="214">
        <f t="shared" si="303"/>
        <v>1393.3897157372421</v>
      </c>
      <c r="BF406" s="214">
        <f t="shared" si="304"/>
        <v>-473.67356330884149</v>
      </c>
      <c r="BG406" s="224">
        <f t="shared" si="321"/>
        <v>0</v>
      </c>
      <c r="BH406" s="19">
        <f t="shared" si="318"/>
        <v>493942.68772358878</v>
      </c>
      <c r="BI406" s="214">
        <f t="shared" si="305"/>
        <v>2404.2910088760195</v>
      </c>
      <c r="BJ406" s="214">
        <f t="shared" si="306"/>
        <v>0</v>
      </c>
      <c r="BK406" s="19">
        <f t="shared" si="322"/>
        <v>0</v>
      </c>
    </row>
    <row r="407" spans="1:63">
      <c r="A407" s="165">
        <f t="shared" si="307"/>
        <v>89.722792607802873</v>
      </c>
      <c r="B407" s="69">
        <f t="shared" si="308"/>
        <v>28</v>
      </c>
      <c r="C407" s="70">
        <f t="shared" si="309"/>
        <v>333</v>
      </c>
      <c r="D407" s="13">
        <f t="shared" si="277"/>
        <v>4.8675505653430484E-3</v>
      </c>
      <c r="E407" s="15">
        <f t="shared" si="278"/>
        <v>1</v>
      </c>
      <c r="F407" s="15">
        <f t="shared" si="310"/>
        <v>0</v>
      </c>
      <c r="G407" s="15">
        <f t="shared" si="279"/>
        <v>0</v>
      </c>
      <c r="H407" s="73">
        <f t="shared" si="280"/>
        <v>0</v>
      </c>
      <c r="I407" s="189"/>
      <c r="J407" s="189"/>
      <c r="K407" s="5">
        <f t="shared" si="323"/>
        <v>209508.90573614146</v>
      </c>
      <c r="M407" s="5">
        <f t="shared" si="281"/>
        <v>1019.7951925603588</v>
      </c>
      <c r="N407" s="5">
        <f t="shared" si="282"/>
        <v>-346.67259076884289</v>
      </c>
      <c r="O407" s="5">
        <f t="shared" si="283"/>
        <v>0</v>
      </c>
      <c r="P407" s="5">
        <f t="shared" si="284"/>
        <v>0</v>
      </c>
      <c r="Q407" s="5">
        <f t="shared" si="319"/>
        <v>0</v>
      </c>
      <c r="R407" s="5">
        <f t="shared" si="311"/>
        <v>0</v>
      </c>
      <c r="S407" s="5">
        <f t="shared" si="285"/>
        <v>0</v>
      </c>
      <c r="T407" s="5">
        <f t="shared" si="286"/>
        <v>0</v>
      </c>
      <c r="U407" s="74">
        <f t="shared" si="287"/>
        <v>0</v>
      </c>
      <c r="V407" s="75">
        <f t="shared" si="288"/>
        <v>0</v>
      </c>
      <c r="W407" s="5">
        <f t="shared" si="289"/>
        <v>0</v>
      </c>
      <c r="X407" s="5">
        <f t="shared" si="290"/>
        <v>210182.02833793298</v>
      </c>
      <c r="Y407" s="5">
        <f t="shared" si="312"/>
        <v>100000</v>
      </c>
      <c r="Z407" s="215">
        <f t="shared" si="291"/>
        <v>1</v>
      </c>
      <c r="AA407" s="216">
        <f t="shared" si="313"/>
        <v>0</v>
      </c>
      <c r="AB407" s="72">
        <f t="shared" si="320"/>
        <v>50215.72519964027</v>
      </c>
      <c r="AC407" s="72">
        <f t="shared" si="292"/>
        <v>0</v>
      </c>
      <c r="AD407" s="72">
        <f t="shared" si="293"/>
        <v>0</v>
      </c>
      <c r="AE407" s="72">
        <f t="shared" si="314"/>
        <v>-43.76797910798107</v>
      </c>
      <c r="AF407" s="70">
        <f t="shared" si="294"/>
        <v>0</v>
      </c>
      <c r="AG407" s="70">
        <f t="shared" si="295"/>
        <v>10735.421144637563</v>
      </c>
      <c r="AH407" s="1">
        <f t="shared" si="324"/>
        <v>0</v>
      </c>
      <c r="AI407" s="1">
        <f t="shared" si="324"/>
        <v>0</v>
      </c>
      <c r="AJ407" s="1">
        <f t="shared" si="324"/>
        <v>0</v>
      </c>
      <c r="AK407" s="1">
        <f t="shared" si="324"/>
        <v>0</v>
      </c>
      <c r="AL407" s="1">
        <f t="shared" si="324"/>
        <v>0</v>
      </c>
      <c r="AM407" s="1">
        <f t="shared" si="324"/>
        <v>0</v>
      </c>
      <c r="AN407" s="1">
        <f t="shared" si="324"/>
        <v>0</v>
      </c>
      <c r="AO407" s="1">
        <f t="shared" si="324"/>
        <v>0</v>
      </c>
      <c r="AP407" s="1">
        <f t="shared" si="324"/>
        <v>0</v>
      </c>
      <c r="AQ407" s="1">
        <f t="shared" si="324"/>
        <v>1</v>
      </c>
      <c r="AR407" s="1">
        <f t="shared" si="324"/>
        <v>1</v>
      </c>
      <c r="AS407" s="1">
        <f t="shared" si="324"/>
        <v>1</v>
      </c>
      <c r="AT407" s="39">
        <f t="shared" si="297"/>
        <v>210182.02833793298</v>
      </c>
      <c r="AU407" s="39">
        <f t="shared" si="315"/>
        <v>210182.02833793298</v>
      </c>
      <c r="AV407" s="39">
        <f t="shared" ref="AV407:AV470" si="325">IF(W407=0,0,IF(W407&gt;W395,"Y","N"))</f>
        <v>0</v>
      </c>
      <c r="AW407" s="3">
        <f t="shared" si="298"/>
        <v>333</v>
      </c>
      <c r="AX407" s="69">
        <f t="shared" si="316"/>
        <v>0</v>
      </c>
      <c r="AY407" s="75">
        <f t="shared" si="299"/>
        <v>0</v>
      </c>
      <c r="AZ407" s="75">
        <f t="shared" si="300"/>
        <v>0</v>
      </c>
      <c r="BA407" s="75">
        <f t="shared" si="301"/>
        <v>0</v>
      </c>
      <c r="BB407" s="75">
        <f t="shared" si="302"/>
        <v>0</v>
      </c>
      <c r="BD407" s="214">
        <f t="shared" si="317"/>
        <v>287180.6798613983</v>
      </c>
      <c r="BE407" s="214">
        <f t="shared" si="303"/>
        <v>1397.8664806149502</v>
      </c>
      <c r="BF407" s="214">
        <f t="shared" si="304"/>
        <v>-475.19540974402776</v>
      </c>
      <c r="BG407" s="224">
        <f t="shared" si="321"/>
        <v>0</v>
      </c>
      <c r="BH407" s="19">
        <f t="shared" si="318"/>
        <v>496346.97873246478</v>
      </c>
      <c r="BI407" s="214">
        <f t="shared" si="305"/>
        <v>2415.9940169355232</v>
      </c>
      <c r="BJ407" s="214">
        <f t="shared" si="306"/>
        <v>0</v>
      </c>
      <c r="BK407" s="19">
        <f t="shared" si="322"/>
        <v>0</v>
      </c>
    </row>
    <row r="408" spans="1:63">
      <c r="A408" s="165">
        <f t="shared" si="307"/>
        <v>89.806125941136202</v>
      </c>
      <c r="B408" s="69">
        <f t="shared" si="308"/>
        <v>28</v>
      </c>
      <c r="C408" s="70">
        <f t="shared" si="309"/>
        <v>334</v>
      </c>
      <c r="D408" s="13">
        <f t="shared" si="277"/>
        <v>4.8675505653430484E-3</v>
      </c>
      <c r="E408" s="15">
        <f t="shared" si="278"/>
        <v>1</v>
      </c>
      <c r="F408" s="15">
        <f t="shared" si="310"/>
        <v>0</v>
      </c>
      <c r="G408" s="15">
        <f t="shared" si="279"/>
        <v>0</v>
      </c>
      <c r="H408" s="73">
        <f t="shared" si="280"/>
        <v>0</v>
      </c>
      <c r="I408" s="189"/>
      <c r="J408" s="189"/>
      <c r="K408" s="5">
        <f t="shared" si="323"/>
        <v>210182.02833793298</v>
      </c>
      <c r="M408" s="5">
        <f t="shared" si="281"/>
        <v>1023.0716508612543</v>
      </c>
      <c r="N408" s="5">
        <f t="shared" si="282"/>
        <v>-347.78640096916928</v>
      </c>
      <c r="O408" s="5">
        <f t="shared" si="283"/>
        <v>0</v>
      </c>
      <c r="P408" s="5">
        <f t="shared" si="284"/>
        <v>0</v>
      </c>
      <c r="Q408" s="5">
        <f t="shared" si="319"/>
        <v>0</v>
      </c>
      <c r="R408" s="5">
        <f t="shared" si="311"/>
        <v>0</v>
      </c>
      <c r="S408" s="5">
        <f t="shared" si="285"/>
        <v>0</v>
      </c>
      <c r="T408" s="5">
        <f t="shared" si="286"/>
        <v>0</v>
      </c>
      <c r="U408" s="74">
        <f t="shared" si="287"/>
        <v>0</v>
      </c>
      <c r="V408" s="75">
        <f t="shared" si="288"/>
        <v>0</v>
      </c>
      <c r="W408" s="5">
        <f t="shared" si="289"/>
        <v>0</v>
      </c>
      <c r="X408" s="5">
        <f t="shared" si="290"/>
        <v>210857.31358782508</v>
      </c>
      <c r="Y408" s="5">
        <f t="shared" si="312"/>
        <v>100000</v>
      </c>
      <c r="Z408" s="215">
        <f t="shared" si="291"/>
        <v>1</v>
      </c>
      <c r="AA408" s="216">
        <f t="shared" si="313"/>
        <v>0</v>
      </c>
      <c r="AB408" s="72">
        <f t="shared" si="320"/>
        <v>50215.72519964027</v>
      </c>
      <c r="AC408" s="72">
        <f t="shared" si="292"/>
        <v>0</v>
      </c>
      <c r="AD408" s="72">
        <f t="shared" si="293"/>
        <v>0</v>
      </c>
      <c r="AE408" s="72">
        <f t="shared" si="314"/>
        <v>-43.908599459506483</v>
      </c>
      <c r="AF408" s="70">
        <f t="shared" si="294"/>
        <v>0</v>
      </c>
      <c r="AG408" s="70">
        <f t="shared" si="295"/>
        <v>10992.029539596559</v>
      </c>
      <c r="AH408" s="1">
        <f t="shared" si="324"/>
        <v>0</v>
      </c>
      <c r="AI408" s="1">
        <f t="shared" si="324"/>
        <v>0</v>
      </c>
      <c r="AJ408" s="1">
        <f t="shared" si="324"/>
        <v>0</v>
      </c>
      <c r="AK408" s="1">
        <f t="shared" si="324"/>
        <v>0</v>
      </c>
      <c r="AL408" s="1">
        <f t="shared" si="324"/>
        <v>0</v>
      </c>
      <c r="AM408" s="1">
        <f t="shared" si="324"/>
        <v>0</v>
      </c>
      <c r="AN408" s="1">
        <f t="shared" si="324"/>
        <v>0</v>
      </c>
      <c r="AO408" s="1">
        <f t="shared" si="324"/>
        <v>0</v>
      </c>
      <c r="AP408" s="1">
        <f t="shared" si="324"/>
        <v>0</v>
      </c>
      <c r="AQ408" s="1">
        <f t="shared" si="324"/>
        <v>1</v>
      </c>
      <c r="AR408" s="1">
        <f t="shared" si="324"/>
        <v>1</v>
      </c>
      <c r="AS408" s="1">
        <f t="shared" si="324"/>
        <v>1</v>
      </c>
      <c r="AT408" s="39">
        <f t="shared" si="297"/>
        <v>210857.31358782508</v>
      </c>
      <c r="AU408" s="39">
        <f t="shared" si="315"/>
        <v>210857.31358782508</v>
      </c>
      <c r="AV408" s="39">
        <f t="shared" si="325"/>
        <v>0</v>
      </c>
      <c r="AW408" s="3">
        <f t="shared" si="298"/>
        <v>334</v>
      </c>
      <c r="AX408" s="69">
        <f t="shared" si="316"/>
        <v>0</v>
      </c>
      <c r="AY408" s="75">
        <f t="shared" si="299"/>
        <v>0</v>
      </c>
      <c r="AZ408" s="75">
        <f t="shared" si="300"/>
        <v>0</v>
      </c>
      <c r="BA408" s="75">
        <f t="shared" si="301"/>
        <v>0</v>
      </c>
      <c r="BB408" s="75">
        <f t="shared" si="302"/>
        <v>0</v>
      </c>
      <c r="BD408" s="214">
        <f t="shared" si="317"/>
        <v>288103.35093226918</v>
      </c>
      <c r="BE408" s="214">
        <f t="shared" si="303"/>
        <v>1402.3576287075934</v>
      </c>
      <c r="BF408" s="214">
        <f t="shared" si="304"/>
        <v>-476.7221456574361</v>
      </c>
      <c r="BG408" s="224">
        <f t="shared" si="321"/>
        <v>0</v>
      </c>
      <c r="BH408" s="19">
        <f t="shared" si="318"/>
        <v>498762.9727494003</v>
      </c>
      <c r="BI408" s="214">
        <f t="shared" si="305"/>
        <v>2427.7539899785229</v>
      </c>
      <c r="BJ408" s="214">
        <f t="shared" si="306"/>
        <v>0</v>
      </c>
      <c r="BK408" s="19">
        <f t="shared" si="322"/>
        <v>0</v>
      </c>
    </row>
    <row r="409" spans="1:63">
      <c r="A409" s="165">
        <f t="shared" si="307"/>
        <v>89.889459274469544</v>
      </c>
      <c r="B409" s="69">
        <f t="shared" si="308"/>
        <v>28</v>
      </c>
      <c r="C409" s="70">
        <f t="shared" si="309"/>
        <v>335</v>
      </c>
      <c r="D409" s="13">
        <f t="shared" si="277"/>
        <v>4.8675505653430484E-3</v>
      </c>
      <c r="E409" s="15">
        <f t="shared" si="278"/>
        <v>1</v>
      </c>
      <c r="F409" s="15">
        <f t="shared" si="310"/>
        <v>0</v>
      </c>
      <c r="G409" s="15">
        <f t="shared" si="279"/>
        <v>0</v>
      </c>
      <c r="H409" s="73">
        <f t="shared" si="280"/>
        <v>0</v>
      </c>
      <c r="I409" s="189"/>
      <c r="J409" s="189"/>
      <c r="K409" s="5">
        <f t="shared" si="323"/>
        <v>210857.31358782508</v>
      </c>
      <c r="M409" s="5">
        <f t="shared" si="281"/>
        <v>1026.3586359611345</v>
      </c>
      <c r="N409" s="5">
        <f t="shared" si="282"/>
        <v>-348.90378968477313</v>
      </c>
      <c r="O409" s="5">
        <f t="shared" si="283"/>
        <v>0</v>
      </c>
      <c r="P409" s="5">
        <f t="shared" si="284"/>
        <v>0</v>
      </c>
      <c r="Q409" s="5">
        <f t="shared" si="319"/>
        <v>0</v>
      </c>
      <c r="R409" s="5">
        <f t="shared" si="311"/>
        <v>0</v>
      </c>
      <c r="S409" s="5">
        <f t="shared" si="285"/>
        <v>0</v>
      </c>
      <c r="T409" s="5">
        <f t="shared" si="286"/>
        <v>0</v>
      </c>
      <c r="U409" s="74">
        <f t="shared" si="287"/>
        <v>0</v>
      </c>
      <c r="V409" s="75">
        <f t="shared" si="288"/>
        <v>0</v>
      </c>
      <c r="W409" s="5">
        <f t="shared" si="289"/>
        <v>0</v>
      </c>
      <c r="X409" s="5">
        <f t="shared" si="290"/>
        <v>211534.76843410142</v>
      </c>
      <c r="Y409" s="5">
        <f t="shared" si="312"/>
        <v>100000</v>
      </c>
      <c r="Z409" s="215">
        <f t="shared" si="291"/>
        <v>1</v>
      </c>
      <c r="AA409" s="216">
        <f t="shared" si="313"/>
        <v>0</v>
      </c>
      <c r="AB409" s="72">
        <f t="shared" si="320"/>
        <v>50215.72519964027</v>
      </c>
      <c r="AC409" s="72">
        <f t="shared" si="292"/>
        <v>0</v>
      </c>
      <c r="AD409" s="72">
        <f t="shared" si="293"/>
        <v>0</v>
      </c>
      <c r="AE409" s="72">
        <f t="shared" si="314"/>
        <v>-44.049671604412957</v>
      </c>
      <c r="AF409" s="70">
        <f t="shared" si="294"/>
        <v>0</v>
      </c>
      <c r="AG409" s="70">
        <f t="shared" si="295"/>
        <v>11249.462381181569</v>
      </c>
      <c r="AH409" s="1">
        <f t="shared" si="324"/>
        <v>0</v>
      </c>
      <c r="AI409" s="1">
        <f t="shared" si="324"/>
        <v>0</v>
      </c>
      <c r="AJ409" s="1">
        <f t="shared" si="324"/>
        <v>0</v>
      </c>
      <c r="AK409" s="1">
        <f t="shared" si="324"/>
        <v>0</v>
      </c>
      <c r="AL409" s="1">
        <f t="shared" si="324"/>
        <v>0</v>
      </c>
      <c r="AM409" s="1">
        <f t="shared" si="324"/>
        <v>0</v>
      </c>
      <c r="AN409" s="1">
        <f t="shared" si="324"/>
        <v>0</v>
      </c>
      <c r="AO409" s="1">
        <f t="shared" si="324"/>
        <v>0</v>
      </c>
      <c r="AP409" s="1">
        <f t="shared" si="324"/>
        <v>0</v>
      </c>
      <c r="AQ409" s="1">
        <f t="shared" si="324"/>
        <v>1</v>
      </c>
      <c r="AR409" s="1">
        <f t="shared" si="324"/>
        <v>1</v>
      </c>
      <c r="AS409" s="1">
        <f t="shared" si="324"/>
        <v>1</v>
      </c>
      <c r="AT409" s="39">
        <f t="shared" si="297"/>
        <v>211534.76843410142</v>
      </c>
      <c r="AU409" s="39">
        <f t="shared" si="315"/>
        <v>211534.76843410142</v>
      </c>
      <c r="AV409" s="39">
        <f t="shared" si="325"/>
        <v>0</v>
      </c>
      <c r="AW409" s="3">
        <f t="shared" si="298"/>
        <v>335</v>
      </c>
      <c r="AX409" s="69">
        <f t="shared" si="316"/>
        <v>0</v>
      </c>
      <c r="AY409" s="75">
        <f t="shared" si="299"/>
        <v>0</v>
      </c>
      <c r="AZ409" s="75">
        <f t="shared" si="300"/>
        <v>0</v>
      </c>
      <c r="BA409" s="75">
        <f t="shared" si="301"/>
        <v>0</v>
      </c>
      <c r="BB409" s="75">
        <f t="shared" si="302"/>
        <v>0</v>
      </c>
      <c r="BD409" s="214">
        <f t="shared" si="317"/>
        <v>289028.98641531932</v>
      </c>
      <c r="BE409" s="214">
        <f t="shared" si="303"/>
        <v>1406.8632062264157</v>
      </c>
      <c r="BF409" s="214">
        <f t="shared" si="304"/>
        <v>-478.2537867582717</v>
      </c>
      <c r="BG409" s="224">
        <f t="shared" si="321"/>
        <v>0</v>
      </c>
      <c r="BH409" s="19">
        <f t="shared" si="318"/>
        <v>501190.72673937882</v>
      </c>
      <c r="BI409" s="214">
        <f t="shared" si="305"/>
        <v>2439.5712052849567</v>
      </c>
      <c r="BJ409" s="214">
        <f t="shared" si="306"/>
        <v>0</v>
      </c>
      <c r="BK409" s="19">
        <f t="shared" si="322"/>
        <v>0</v>
      </c>
    </row>
    <row r="410" spans="1:63">
      <c r="A410" s="165">
        <f t="shared" si="307"/>
        <v>89.972792607802873</v>
      </c>
      <c r="B410" s="69">
        <f t="shared" si="308"/>
        <v>28</v>
      </c>
      <c r="C410" s="70">
        <f t="shared" si="309"/>
        <v>336</v>
      </c>
      <c r="D410" s="13">
        <f t="shared" si="277"/>
        <v>4.8675505653430484E-3</v>
      </c>
      <c r="E410" s="15">
        <f t="shared" si="278"/>
        <v>1</v>
      </c>
      <c r="F410" s="15">
        <f t="shared" si="310"/>
        <v>0</v>
      </c>
      <c r="G410" s="15">
        <f t="shared" si="279"/>
        <v>0</v>
      </c>
      <c r="H410" s="73">
        <f t="shared" si="280"/>
        <v>0</v>
      </c>
      <c r="I410" s="189"/>
      <c r="J410" s="189"/>
      <c r="K410" s="5">
        <f t="shared" si="323"/>
        <v>211534.76843410142</v>
      </c>
      <c r="M410" s="5">
        <f t="shared" si="281"/>
        <v>1029.6561816811213</v>
      </c>
      <c r="N410" s="5">
        <f t="shared" si="282"/>
        <v>-350.02476841291997</v>
      </c>
      <c r="O410" s="5">
        <f t="shared" si="283"/>
        <v>0</v>
      </c>
      <c r="P410" s="5">
        <f t="shared" si="284"/>
        <v>0</v>
      </c>
      <c r="Q410" s="5">
        <f t="shared" si="319"/>
        <v>0</v>
      </c>
      <c r="R410" s="5">
        <f t="shared" si="311"/>
        <v>0</v>
      </c>
      <c r="S410" s="5">
        <f t="shared" si="285"/>
        <v>0</v>
      </c>
      <c r="T410" s="5">
        <f t="shared" si="286"/>
        <v>0</v>
      </c>
      <c r="U410" s="74">
        <f t="shared" si="287"/>
        <v>0</v>
      </c>
      <c r="V410" s="75">
        <f t="shared" si="288"/>
        <v>0</v>
      </c>
      <c r="W410" s="5">
        <f t="shared" si="289"/>
        <v>0</v>
      </c>
      <c r="X410" s="5">
        <f t="shared" si="290"/>
        <v>212214.39984736961</v>
      </c>
      <c r="Y410" s="5">
        <f t="shared" si="312"/>
        <v>100000</v>
      </c>
      <c r="Z410" s="215">
        <f t="shared" si="291"/>
        <v>1</v>
      </c>
      <c r="AA410" s="216">
        <f t="shared" si="313"/>
        <v>0</v>
      </c>
      <c r="AB410" s="72">
        <f t="shared" si="320"/>
        <v>50215.72519964027</v>
      </c>
      <c r="AC410" s="72">
        <f t="shared" si="292"/>
        <v>0</v>
      </c>
      <c r="AD410" s="72">
        <f t="shared" si="293"/>
        <v>0</v>
      </c>
      <c r="AE410" s="72">
        <f t="shared" si="314"/>
        <v>-44.191196994248969</v>
      </c>
      <c r="AF410" s="70">
        <f t="shared" si="294"/>
        <v>0</v>
      </c>
      <c r="AG410" s="70">
        <f t="shared" si="295"/>
        <v>11507.722318223496</v>
      </c>
      <c r="AH410" s="1">
        <f t="shared" si="324"/>
        <v>0</v>
      </c>
      <c r="AI410" s="1">
        <f t="shared" si="324"/>
        <v>0</v>
      </c>
      <c r="AJ410" s="1">
        <f t="shared" si="324"/>
        <v>0</v>
      </c>
      <c r="AK410" s="1">
        <f t="shared" si="324"/>
        <v>0</v>
      </c>
      <c r="AL410" s="1">
        <f t="shared" si="324"/>
        <v>0</v>
      </c>
      <c r="AM410" s="1">
        <f t="shared" si="324"/>
        <v>0</v>
      </c>
      <c r="AN410" s="1">
        <f t="shared" si="324"/>
        <v>0</v>
      </c>
      <c r="AO410" s="1">
        <f t="shared" si="324"/>
        <v>0</v>
      </c>
      <c r="AP410" s="1">
        <f t="shared" si="324"/>
        <v>0</v>
      </c>
      <c r="AQ410" s="1">
        <f t="shared" si="324"/>
        <v>1</v>
      </c>
      <c r="AR410" s="1">
        <f t="shared" si="324"/>
        <v>1</v>
      </c>
      <c r="AS410" s="1">
        <f t="shared" si="324"/>
        <v>1</v>
      </c>
      <c r="AT410" s="39">
        <f t="shared" si="297"/>
        <v>212214.39984736961</v>
      </c>
      <c r="AU410" s="39">
        <f t="shared" si="315"/>
        <v>212214.39984736961</v>
      </c>
      <c r="AV410" s="39">
        <f t="shared" si="325"/>
        <v>0</v>
      </c>
      <c r="AW410" s="3">
        <f t="shared" si="298"/>
        <v>336</v>
      </c>
      <c r="AX410" s="69">
        <f t="shared" si="316"/>
        <v>0</v>
      </c>
      <c r="AY410" s="75">
        <f t="shared" si="299"/>
        <v>0</v>
      </c>
      <c r="AZ410" s="75">
        <f t="shared" si="300"/>
        <v>0</v>
      </c>
      <c r="BA410" s="75">
        <f t="shared" si="301"/>
        <v>0</v>
      </c>
      <c r="BB410" s="75">
        <f t="shared" si="302"/>
        <v>0</v>
      </c>
      <c r="BD410" s="214">
        <f t="shared" si="317"/>
        <v>289957.59583478747</v>
      </c>
      <c r="BE410" s="214">
        <f t="shared" si="303"/>
        <v>1411.383259531131</v>
      </c>
      <c r="BF410" s="214">
        <f t="shared" si="304"/>
        <v>-479.79034880621066</v>
      </c>
      <c r="BG410" s="224">
        <f t="shared" si="321"/>
        <v>0</v>
      </c>
      <c r="BH410" s="19">
        <f t="shared" si="318"/>
        <v>503630.29794466379</v>
      </c>
      <c r="BI410" s="214">
        <f t="shared" si="305"/>
        <v>2451.4459414844359</v>
      </c>
      <c r="BJ410" s="214">
        <f t="shared" si="306"/>
        <v>0</v>
      </c>
      <c r="BK410" s="19">
        <f t="shared" si="322"/>
        <v>0</v>
      </c>
    </row>
    <row r="411" spans="1:63">
      <c r="A411" s="165">
        <f t="shared" si="307"/>
        <v>90.056125941136202</v>
      </c>
      <c r="B411" s="69">
        <f t="shared" si="308"/>
        <v>29</v>
      </c>
      <c r="C411" s="70">
        <f t="shared" si="309"/>
        <v>337</v>
      </c>
      <c r="D411" s="13">
        <f t="shared" si="277"/>
        <v>4.8675505653430484E-3</v>
      </c>
      <c r="E411" s="15">
        <f t="shared" si="278"/>
        <v>1</v>
      </c>
      <c r="F411" s="15">
        <f t="shared" si="310"/>
        <v>0</v>
      </c>
      <c r="G411" s="15">
        <f t="shared" si="279"/>
        <v>0</v>
      </c>
      <c r="H411" s="73">
        <f t="shared" si="280"/>
        <v>0</v>
      </c>
      <c r="I411" s="189"/>
      <c r="J411" s="189"/>
      <c r="K411" s="5">
        <f t="shared" si="323"/>
        <v>212214.39984736961</v>
      </c>
      <c r="M411" s="5">
        <f t="shared" si="281"/>
        <v>1032.9643219509996</v>
      </c>
      <c r="N411" s="5">
        <f t="shared" si="282"/>
        <v>-351.14934868781432</v>
      </c>
      <c r="O411" s="5">
        <f t="shared" si="283"/>
        <v>0</v>
      </c>
      <c r="P411" s="5">
        <f t="shared" si="284"/>
        <v>0</v>
      </c>
      <c r="Q411" s="5">
        <f t="shared" si="319"/>
        <v>0</v>
      </c>
      <c r="R411" s="5">
        <f t="shared" si="311"/>
        <v>0</v>
      </c>
      <c r="S411" s="5">
        <f t="shared" si="285"/>
        <v>0</v>
      </c>
      <c r="T411" s="5">
        <f t="shared" si="286"/>
        <v>0</v>
      </c>
      <c r="U411" s="74">
        <f t="shared" si="287"/>
        <v>0</v>
      </c>
      <c r="V411" s="75">
        <f t="shared" si="288"/>
        <v>0</v>
      </c>
      <c r="W411" s="5">
        <f t="shared" si="289"/>
        <v>0</v>
      </c>
      <c r="X411" s="5">
        <f t="shared" si="290"/>
        <v>212896.2148206328</v>
      </c>
      <c r="Y411" s="5">
        <f t="shared" si="312"/>
        <v>100000</v>
      </c>
      <c r="Z411" s="215">
        <f t="shared" si="291"/>
        <v>1</v>
      </c>
      <c r="AA411" s="216">
        <f t="shared" si="313"/>
        <v>0</v>
      </c>
      <c r="AB411" s="72">
        <f t="shared" si="320"/>
        <v>50215.72519964027</v>
      </c>
      <c r="AC411" s="72">
        <f t="shared" si="292"/>
        <v>0</v>
      </c>
      <c r="AD411" s="72">
        <f t="shared" si="293"/>
        <v>0</v>
      </c>
      <c r="AE411" s="72">
        <f t="shared" si="314"/>
        <v>-44.333177085226637</v>
      </c>
      <c r="AF411" s="70">
        <f t="shared" si="294"/>
        <v>0</v>
      </c>
      <c r="AG411" s="70">
        <f t="shared" si="295"/>
        <v>11766.812008063505</v>
      </c>
      <c r="AH411" s="1">
        <f t="shared" si="324"/>
        <v>0</v>
      </c>
      <c r="AI411" s="1">
        <f t="shared" si="324"/>
        <v>0</v>
      </c>
      <c r="AJ411" s="1">
        <f t="shared" si="324"/>
        <v>0</v>
      </c>
      <c r="AK411" s="1">
        <f t="shared" si="324"/>
        <v>0</v>
      </c>
      <c r="AL411" s="1">
        <f t="shared" si="324"/>
        <v>0</v>
      </c>
      <c r="AM411" s="1">
        <f t="shared" si="324"/>
        <v>0</v>
      </c>
      <c r="AN411" s="1">
        <f t="shared" si="324"/>
        <v>0</v>
      </c>
      <c r="AO411" s="1">
        <f t="shared" si="324"/>
        <v>0</v>
      </c>
      <c r="AP411" s="1">
        <f t="shared" si="324"/>
        <v>0</v>
      </c>
      <c r="AQ411" s="1">
        <f t="shared" si="324"/>
        <v>1</v>
      </c>
      <c r="AR411" s="1">
        <f t="shared" si="324"/>
        <v>1</v>
      </c>
      <c r="AS411" s="1">
        <f t="shared" si="324"/>
        <v>1</v>
      </c>
      <c r="AT411" s="39">
        <f t="shared" si="297"/>
        <v>212896.2148206328</v>
      </c>
      <c r="AU411" s="39">
        <f t="shared" si="315"/>
        <v>212896.2148206328</v>
      </c>
      <c r="AV411" s="39">
        <f t="shared" si="325"/>
        <v>0</v>
      </c>
      <c r="AW411" s="3">
        <f t="shared" si="298"/>
        <v>337</v>
      </c>
      <c r="AX411" s="69">
        <f t="shared" si="316"/>
        <v>0</v>
      </c>
      <c r="AY411" s="75">
        <f t="shared" si="299"/>
        <v>0</v>
      </c>
      <c r="AZ411" s="75">
        <f t="shared" si="300"/>
        <v>0</v>
      </c>
      <c r="BA411" s="75">
        <f t="shared" si="301"/>
        <v>0</v>
      </c>
      <c r="BB411" s="75">
        <f t="shared" si="302"/>
        <v>0</v>
      </c>
      <c r="BD411" s="214">
        <f t="shared" si="317"/>
        <v>290889.18874551239</v>
      </c>
      <c r="BE411" s="214">
        <f t="shared" si="303"/>
        <v>1415.9178351303997</v>
      </c>
      <c r="BF411" s="214">
        <f t="shared" si="304"/>
        <v>-481.33184761156281</v>
      </c>
      <c r="BG411" s="224">
        <f t="shared" si="321"/>
        <v>0</v>
      </c>
      <c r="BH411" s="19">
        <f t="shared" si="318"/>
        <v>506081.74388614821</v>
      </c>
      <c r="BI411" s="214">
        <f t="shared" si="305"/>
        <v>2463.3784785628163</v>
      </c>
      <c r="BJ411" s="214">
        <f t="shared" si="306"/>
        <v>0</v>
      </c>
      <c r="BK411" s="19">
        <f t="shared" si="322"/>
        <v>0</v>
      </c>
    </row>
    <row r="412" spans="1:63">
      <c r="A412" s="165">
        <f t="shared" si="307"/>
        <v>90.139459274469544</v>
      </c>
      <c r="B412" s="69">
        <f t="shared" si="308"/>
        <v>29</v>
      </c>
      <c r="C412" s="70">
        <f t="shared" si="309"/>
        <v>338</v>
      </c>
      <c r="D412" s="13">
        <f t="shared" si="277"/>
        <v>4.8675505653430484E-3</v>
      </c>
      <c r="E412" s="15">
        <f t="shared" si="278"/>
        <v>1</v>
      </c>
      <c r="F412" s="15">
        <f t="shared" si="310"/>
        <v>0</v>
      </c>
      <c r="G412" s="15">
        <f t="shared" si="279"/>
        <v>0</v>
      </c>
      <c r="H412" s="73">
        <f t="shared" si="280"/>
        <v>0</v>
      </c>
      <c r="I412" s="189"/>
      <c r="J412" s="189"/>
      <c r="K412" s="5">
        <f t="shared" si="323"/>
        <v>212896.2148206328</v>
      </c>
      <c r="M412" s="5">
        <f t="shared" si="281"/>
        <v>1036.2830908095664</v>
      </c>
      <c r="N412" s="5">
        <f t="shared" si="282"/>
        <v>-352.27754208071872</v>
      </c>
      <c r="O412" s="5">
        <f t="shared" si="283"/>
        <v>0</v>
      </c>
      <c r="P412" s="5">
        <f t="shared" si="284"/>
        <v>0</v>
      </c>
      <c r="Q412" s="5">
        <f t="shared" si="319"/>
        <v>0</v>
      </c>
      <c r="R412" s="5">
        <f t="shared" si="311"/>
        <v>0</v>
      </c>
      <c r="S412" s="5">
        <f t="shared" si="285"/>
        <v>0</v>
      </c>
      <c r="T412" s="5">
        <f t="shared" si="286"/>
        <v>0</v>
      </c>
      <c r="U412" s="74">
        <f t="shared" si="287"/>
        <v>0</v>
      </c>
      <c r="V412" s="75">
        <f t="shared" si="288"/>
        <v>0</v>
      </c>
      <c r="W412" s="5">
        <f t="shared" si="289"/>
        <v>0</v>
      </c>
      <c r="X412" s="5">
        <f t="shared" si="290"/>
        <v>213580.22036936163</v>
      </c>
      <c r="Y412" s="5">
        <f t="shared" si="312"/>
        <v>100000</v>
      </c>
      <c r="Z412" s="215">
        <f t="shared" si="291"/>
        <v>1</v>
      </c>
      <c r="AA412" s="216">
        <f t="shared" si="313"/>
        <v>0</v>
      </c>
      <c r="AB412" s="72">
        <f t="shared" si="320"/>
        <v>50215.72519964027</v>
      </c>
      <c r="AC412" s="72">
        <f t="shared" si="292"/>
        <v>0</v>
      </c>
      <c r="AD412" s="72">
        <f t="shared" si="293"/>
        <v>0</v>
      </c>
      <c r="AE412" s="72">
        <f t="shared" si="314"/>
        <v>-44.475613338236691</v>
      </c>
      <c r="AF412" s="70">
        <f t="shared" si="294"/>
        <v>0</v>
      </c>
      <c r="AG412" s="70">
        <f t="shared" si="295"/>
        <v>12026.734116580454</v>
      </c>
      <c r="AH412" s="1">
        <f t="shared" si="324"/>
        <v>0</v>
      </c>
      <c r="AI412" s="1">
        <f t="shared" si="324"/>
        <v>0</v>
      </c>
      <c r="AJ412" s="1">
        <f t="shared" si="324"/>
        <v>0</v>
      </c>
      <c r="AK412" s="1">
        <f t="shared" si="324"/>
        <v>0</v>
      </c>
      <c r="AL412" s="1">
        <f t="shared" si="324"/>
        <v>0</v>
      </c>
      <c r="AM412" s="1">
        <f t="shared" si="324"/>
        <v>0</v>
      </c>
      <c r="AN412" s="1">
        <f t="shared" si="324"/>
        <v>0</v>
      </c>
      <c r="AO412" s="1">
        <f t="shared" si="324"/>
        <v>0</v>
      </c>
      <c r="AP412" s="1">
        <f t="shared" si="324"/>
        <v>0</v>
      </c>
      <c r="AQ412" s="1">
        <f t="shared" si="324"/>
        <v>1</v>
      </c>
      <c r="AR412" s="1">
        <f t="shared" si="324"/>
        <v>1</v>
      </c>
      <c r="AS412" s="1">
        <f t="shared" si="324"/>
        <v>1</v>
      </c>
      <c r="AT412" s="39">
        <f t="shared" si="297"/>
        <v>213580.22036936163</v>
      </c>
      <c r="AU412" s="39">
        <f t="shared" si="315"/>
        <v>213580.22036936163</v>
      </c>
      <c r="AV412" s="39">
        <f t="shared" si="325"/>
        <v>0</v>
      </c>
      <c r="AW412" s="3">
        <f t="shared" si="298"/>
        <v>338</v>
      </c>
      <c r="AX412" s="69">
        <f t="shared" si="316"/>
        <v>0</v>
      </c>
      <c r="AY412" s="75">
        <f t="shared" si="299"/>
        <v>0</v>
      </c>
      <c r="AZ412" s="75">
        <f t="shared" si="300"/>
        <v>0</v>
      </c>
      <c r="BA412" s="75">
        <f t="shared" si="301"/>
        <v>0</v>
      </c>
      <c r="BB412" s="75">
        <f t="shared" si="302"/>
        <v>0</v>
      </c>
      <c r="BD412" s="214">
        <f t="shared" si="317"/>
        <v>291823.77473303123</v>
      </c>
      <c r="BE412" s="214">
        <f t="shared" si="303"/>
        <v>1420.4669796823086</v>
      </c>
      <c r="BF412" s="214">
        <f t="shared" si="304"/>
        <v>-482.87829903543434</v>
      </c>
      <c r="BG412" s="224">
        <f t="shared" si="321"/>
        <v>0</v>
      </c>
      <c r="BH412" s="19">
        <f t="shared" si="318"/>
        <v>508545.12236471102</v>
      </c>
      <c r="BI412" s="214">
        <f t="shared" si="305"/>
        <v>2475.3690978687987</v>
      </c>
      <c r="BJ412" s="214">
        <f t="shared" si="306"/>
        <v>0</v>
      </c>
      <c r="BK412" s="19">
        <f t="shared" si="322"/>
        <v>0</v>
      </c>
    </row>
    <row r="413" spans="1:63">
      <c r="A413" s="165">
        <f t="shared" si="307"/>
        <v>90.222792607802873</v>
      </c>
      <c r="B413" s="69">
        <f t="shared" si="308"/>
        <v>29</v>
      </c>
      <c r="C413" s="70">
        <f t="shared" si="309"/>
        <v>339</v>
      </c>
      <c r="D413" s="13">
        <f t="shared" si="277"/>
        <v>4.8675505653430484E-3</v>
      </c>
      <c r="E413" s="15">
        <f t="shared" si="278"/>
        <v>1</v>
      </c>
      <c r="F413" s="15">
        <f t="shared" si="310"/>
        <v>0</v>
      </c>
      <c r="G413" s="15">
        <f t="shared" si="279"/>
        <v>0</v>
      </c>
      <c r="H413" s="73">
        <f t="shared" si="280"/>
        <v>0</v>
      </c>
      <c r="I413" s="189"/>
      <c r="J413" s="189"/>
      <c r="K413" s="5">
        <f t="shared" si="323"/>
        <v>213580.22036936163</v>
      </c>
      <c r="M413" s="5">
        <f t="shared" si="281"/>
        <v>1039.612522404979</v>
      </c>
      <c r="N413" s="5">
        <f t="shared" si="282"/>
        <v>-353.40936020007223</v>
      </c>
      <c r="O413" s="5">
        <f t="shared" si="283"/>
        <v>0</v>
      </c>
      <c r="P413" s="5">
        <f t="shared" si="284"/>
        <v>0</v>
      </c>
      <c r="Q413" s="5">
        <f t="shared" si="319"/>
        <v>0</v>
      </c>
      <c r="R413" s="5">
        <f t="shared" si="311"/>
        <v>0</v>
      </c>
      <c r="S413" s="5">
        <f t="shared" si="285"/>
        <v>0</v>
      </c>
      <c r="T413" s="5">
        <f t="shared" si="286"/>
        <v>0</v>
      </c>
      <c r="U413" s="74">
        <f t="shared" si="287"/>
        <v>0</v>
      </c>
      <c r="V413" s="75">
        <f t="shared" si="288"/>
        <v>0</v>
      </c>
      <c r="W413" s="5">
        <f t="shared" si="289"/>
        <v>0</v>
      </c>
      <c r="X413" s="5">
        <f t="shared" si="290"/>
        <v>214266.42353156654</v>
      </c>
      <c r="Y413" s="5">
        <f t="shared" si="312"/>
        <v>100000</v>
      </c>
      <c r="Z413" s="215">
        <f t="shared" si="291"/>
        <v>1</v>
      </c>
      <c r="AA413" s="216">
        <f t="shared" si="313"/>
        <v>0</v>
      </c>
      <c r="AB413" s="72">
        <f t="shared" si="320"/>
        <v>50215.72519964027</v>
      </c>
      <c r="AC413" s="72">
        <f t="shared" si="292"/>
        <v>0</v>
      </c>
      <c r="AD413" s="72">
        <f t="shared" si="293"/>
        <v>0</v>
      </c>
      <c r="AE413" s="72">
        <f t="shared" si="314"/>
        <v>-44.618507218863471</v>
      </c>
      <c r="AF413" s="70">
        <f t="shared" si="294"/>
        <v>0</v>
      </c>
      <c r="AG413" s="70">
        <f t="shared" si="295"/>
        <v>12287.49131821833</v>
      </c>
      <c r="AH413" s="1">
        <f t="shared" si="324"/>
        <v>0</v>
      </c>
      <c r="AI413" s="1">
        <f t="shared" si="324"/>
        <v>0</v>
      </c>
      <c r="AJ413" s="1">
        <f t="shared" si="324"/>
        <v>0</v>
      </c>
      <c r="AK413" s="1">
        <f t="shared" si="324"/>
        <v>0</v>
      </c>
      <c r="AL413" s="1">
        <f t="shared" si="324"/>
        <v>0</v>
      </c>
      <c r="AM413" s="1">
        <f t="shared" si="324"/>
        <v>0</v>
      </c>
      <c r="AN413" s="1">
        <f t="shared" si="324"/>
        <v>0</v>
      </c>
      <c r="AO413" s="1">
        <f t="shared" si="324"/>
        <v>0</v>
      </c>
      <c r="AP413" s="1">
        <f t="shared" si="324"/>
        <v>0</v>
      </c>
      <c r="AQ413" s="1">
        <f t="shared" si="324"/>
        <v>1</v>
      </c>
      <c r="AR413" s="1">
        <f t="shared" si="324"/>
        <v>1</v>
      </c>
      <c r="AS413" s="1">
        <f t="shared" si="324"/>
        <v>1</v>
      </c>
      <c r="AT413" s="39">
        <f t="shared" si="297"/>
        <v>214266.42353156654</v>
      </c>
      <c r="AU413" s="39">
        <f t="shared" si="315"/>
        <v>214266.42353156654</v>
      </c>
      <c r="AV413" s="39">
        <f t="shared" si="325"/>
        <v>0</v>
      </c>
      <c r="AW413" s="3">
        <f t="shared" si="298"/>
        <v>339</v>
      </c>
      <c r="AX413" s="69">
        <f t="shared" si="316"/>
        <v>0</v>
      </c>
      <c r="AY413" s="75">
        <f t="shared" si="299"/>
        <v>0</v>
      </c>
      <c r="AZ413" s="75">
        <f t="shared" si="300"/>
        <v>0</v>
      </c>
      <c r="BA413" s="75">
        <f t="shared" si="301"/>
        <v>0</v>
      </c>
      <c r="BB413" s="75">
        <f t="shared" si="302"/>
        <v>0</v>
      </c>
      <c r="BD413" s="214">
        <f t="shared" si="317"/>
        <v>292761.36341367813</v>
      </c>
      <c r="BE413" s="214">
        <f t="shared" si="303"/>
        <v>1425.0307399948506</v>
      </c>
      <c r="BF413" s="214">
        <f t="shared" si="304"/>
        <v>-484.42971898989083</v>
      </c>
      <c r="BG413" s="224">
        <f t="shared" si="321"/>
        <v>0</v>
      </c>
      <c r="BH413" s="19">
        <f t="shared" si="318"/>
        <v>511020.49146257981</v>
      </c>
      <c r="BI413" s="214">
        <f t="shared" si="305"/>
        <v>2487.4180821205628</v>
      </c>
      <c r="BJ413" s="214">
        <f t="shared" si="306"/>
        <v>0</v>
      </c>
      <c r="BK413" s="19">
        <f t="shared" si="322"/>
        <v>0</v>
      </c>
    </row>
    <row r="414" spans="1:63">
      <c r="A414" s="165">
        <f t="shared" si="307"/>
        <v>90.306125941136202</v>
      </c>
      <c r="B414" s="69">
        <f t="shared" si="308"/>
        <v>29</v>
      </c>
      <c r="C414" s="70">
        <f t="shared" si="309"/>
        <v>340</v>
      </c>
      <c r="D414" s="13">
        <f t="shared" si="277"/>
        <v>4.8675505653430484E-3</v>
      </c>
      <c r="E414" s="15">
        <f t="shared" si="278"/>
        <v>1</v>
      </c>
      <c r="F414" s="15">
        <f t="shared" si="310"/>
        <v>0</v>
      </c>
      <c r="G414" s="15">
        <f t="shared" si="279"/>
        <v>0</v>
      </c>
      <c r="H414" s="73">
        <f t="shared" si="280"/>
        <v>0</v>
      </c>
      <c r="I414" s="189"/>
      <c r="J414" s="189"/>
      <c r="K414" s="5">
        <f t="shared" si="323"/>
        <v>214266.42353156654</v>
      </c>
      <c r="M414" s="5">
        <f t="shared" si="281"/>
        <v>1042.9526509951097</v>
      </c>
      <c r="N414" s="5">
        <f t="shared" si="282"/>
        <v>-354.54481469161038</v>
      </c>
      <c r="O414" s="5">
        <f t="shared" si="283"/>
        <v>0</v>
      </c>
      <c r="P414" s="5">
        <f t="shared" si="284"/>
        <v>0</v>
      </c>
      <c r="Q414" s="5">
        <f t="shared" si="319"/>
        <v>0</v>
      </c>
      <c r="R414" s="5">
        <f t="shared" si="311"/>
        <v>0</v>
      </c>
      <c r="S414" s="5">
        <f t="shared" si="285"/>
        <v>0</v>
      </c>
      <c r="T414" s="5">
        <f t="shared" si="286"/>
        <v>0</v>
      </c>
      <c r="U414" s="74">
        <f t="shared" si="287"/>
        <v>0</v>
      </c>
      <c r="V414" s="75">
        <f t="shared" si="288"/>
        <v>0</v>
      </c>
      <c r="W414" s="5">
        <f t="shared" si="289"/>
        <v>0</v>
      </c>
      <c r="X414" s="5">
        <f t="shared" si="290"/>
        <v>214954.83136787004</v>
      </c>
      <c r="Y414" s="5">
        <f t="shared" si="312"/>
        <v>100000</v>
      </c>
      <c r="Z414" s="215">
        <f t="shared" si="291"/>
        <v>1</v>
      </c>
      <c r="AA414" s="216">
        <f t="shared" si="313"/>
        <v>0</v>
      </c>
      <c r="AB414" s="72">
        <f t="shared" si="320"/>
        <v>50215.72519964027</v>
      </c>
      <c r="AC414" s="72">
        <f t="shared" si="292"/>
        <v>0</v>
      </c>
      <c r="AD414" s="72">
        <f t="shared" si="293"/>
        <v>0</v>
      </c>
      <c r="AE414" s="72">
        <f t="shared" si="314"/>
        <v>-44.761860197400047</v>
      </c>
      <c r="AF414" s="70">
        <f t="shared" si="294"/>
        <v>0</v>
      </c>
      <c r="AG414" s="70">
        <f t="shared" si="295"/>
        <v>12549.086296013644</v>
      </c>
      <c r="AH414" s="1">
        <f t="shared" si="324"/>
        <v>0</v>
      </c>
      <c r="AI414" s="1">
        <f t="shared" si="324"/>
        <v>0</v>
      </c>
      <c r="AJ414" s="1">
        <f t="shared" si="324"/>
        <v>0</v>
      </c>
      <c r="AK414" s="1">
        <f t="shared" si="324"/>
        <v>0</v>
      </c>
      <c r="AL414" s="1">
        <f t="shared" si="324"/>
        <v>0</v>
      </c>
      <c r="AM414" s="1">
        <f t="shared" si="324"/>
        <v>0</v>
      </c>
      <c r="AN414" s="1">
        <f t="shared" si="324"/>
        <v>0</v>
      </c>
      <c r="AO414" s="1">
        <f t="shared" si="324"/>
        <v>0</v>
      </c>
      <c r="AP414" s="1">
        <f t="shared" si="324"/>
        <v>0</v>
      </c>
      <c r="AQ414" s="1">
        <f t="shared" si="324"/>
        <v>1</v>
      </c>
      <c r="AR414" s="1">
        <f t="shared" si="324"/>
        <v>1</v>
      </c>
      <c r="AS414" s="1">
        <f t="shared" si="324"/>
        <v>1</v>
      </c>
      <c r="AT414" s="39">
        <f t="shared" si="297"/>
        <v>214954.83136787004</v>
      </c>
      <c r="AU414" s="39">
        <f t="shared" si="315"/>
        <v>214954.83136787004</v>
      </c>
      <c r="AV414" s="39">
        <f t="shared" si="325"/>
        <v>0</v>
      </c>
      <c r="AW414" s="3">
        <f t="shared" si="298"/>
        <v>340</v>
      </c>
      <c r="AX414" s="69">
        <f t="shared" si="316"/>
        <v>0</v>
      </c>
      <c r="AY414" s="75">
        <f t="shared" si="299"/>
        <v>0</v>
      </c>
      <c r="AZ414" s="75">
        <f t="shared" si="300"/>
        <v>0</v>
      </c>
      <c r="BA414" s="75">
        <f t="shared" si="301"/>
        <v>0</v>
      </c>
      <c r="BB414" s="75">
        <f t="shared" si="302"/>
        <v>0</v>
      </c>
      <c r="BD414" s="214">
        <f t="shared" si="317"/>
        <v>293701.96443468309</v>
      </c>
      <c r="BE414" s="214">
        <f t="shared" si="303"/>
        <v>1429.6091630264057</v>
      </c>
      <c r="BF414" s="214">
        <f t="shared" si="304"/>
        <v>-485.98612343812124</v>
      </c>
      <c r="BG414" s="224">
        <f t="shared" si="321"/>
        <v>0</v>
      </c>
      <c r="BH414" s="19">
        <f t="shared" si="318"/>
        <v>513507.90954470035</v>
      </c>
      <c r="BI414" s="214">
        <f t="shared" si="305"/>
        <v>2499.5257154124333</v>
      </c>
      <c r="BJ414" s="214">
        <f t="shared" si="306"/>
        <v>0</v>
      </c>
      <c r="BK414" s="19">
        <f t="shared" si="322"/>
        <v>0</v>
      </c>
    </row>
    <row r="415" spans="1:63">
      <c r="A415" s="165">
        <f t="shared" si="307"/>
        <v>90.389459274469544</v>
      </c>
      <c r="B415" s="69">
        <f t="shared" si="308"/>
        <v>29</v>
      </c>
      <c r="C415" s="70">
        <f t="shared" si="309"/>
        <v>341</v>
      </c>
      <c r="D415" s="13">
        <f t="shared" si="277"/>
        <v>4.8675505653430484E-3</v>
      </c>
      <c r="E415" s="15">
        <f t="shared" si="278"/>
        <v>1</v>
      </c>
      <c r="F415" s="15">
        <f t="shared" si="310"/>
        <v>0</v>
      </c>
      <c r="G415" s="15">
        <f t="shared" si="279"/>
        <v>0</v>
      </c>
      <c r="H415" s="73">
        <f t="shared" si="280"/>
        <v>0</v>
      </c>
      <c r="I415" s="189"/>
      <c r="J415" s="189"/>
      <c r="K415" s="5">
        <f t="shared" si="323"/>
        <v>214954.83136787004</v>
      </c>
      <c r="M415" s="5">
        <f t="shared" si="281"/>
        <v>1046.3035109478953</v>
      </c>
      <c r="N415" s="5">
        <f t="shared" si="282"/>
        <v>-355.68391723848481</v>
      </c>
      <c r="O415" s="5">
        <f t="shared" si="283"/>
        <v>0</v>
      </c>
      <c r="P415" s="5">
        <f t="shared" si="284"/>
        <v>0</v>
      </c>
      <c r="Q415" s="5">
        <f t="shared" si="319"/>
        <v>0</v>
      </c>
      <c r="R415" s="5">
        <f t="shared" si="311"/>
        <v>0</v>
      </c>
      <c r="S415" s="5">
        <f t="shared" si="285"/>
        <v>0</v>
      </c>
      <c r="T415" s="5">
        <f t="shared" si="286"/>
        <v>0</v>
      </c>
      <c r="U415" s="74">
        <f t="shared" si="287"/>
        <v>0</v>
      </c>
      <c r="V415" s="75">
        <f t="shared" si="288"/>
        <v>0</v>
      </c>
      <c r="W415" s="5">
        <f t="shared" si="289"/>
        <v>0</v>
      </c>
      <c r="X415" s="5">
        <f t="shared" si="290"/>
        <v>215645.45096157945</v>
      </c>
      <c r="Y415" s="5">
        <f t="shared" si="312"/>
        <v>100000</v>
      </c>
      <c r="Z415" s="215">
        <f t="shared" si="291"/>
        <v>1</v>
      </c>
      <c r="AA415" s="216">
        <f t="shared" si="313"/>
        <v>0</v>
      </c>
      <c r="AB415" s="72">
        <f t="shared" si="320"/>
        <v>50215.72519964027</v>
      </c>
      <c r="AC415" s="72">
        <f t="shared" si="292"/>
        <v>0</v>
      </c>
      <c r="AD415" s="72">
        <f t="shared" si="293"/>
        <v>0</v>
      </c>
      <c r="AE415" s="72">
        <f t="shared" si="314"/>
        <v>-44.905673748863336</v>
      </c>
      <c r="AF415" s="70">
        <f t="shared" si="294"/>
        <v>0</v>
      </c>
      <c r="AG415" s="70">
        <f t="shared" si="295"/>
        <v>12811.521741623219</v>
      </c>
      <c r="AH415" s="1">
        <f t="shared" ref="AH415:AS424" si="326">IF($B415&lt;=AH$74,1,0)</f>
        <v>0</v>
      </c>
      <c r="AI415" s="1">
        <f t="shared" si="326"/>
        <v>0</v>
      </c>
      <c r="AJ415" s="1">
        <f t="shared" si="326"/>
        <v>0</v>
      </c>
      <c r="AK415" s="1">
        <f t="shared" si="326"/>
        <v>0</v>
      </c>
      <c r="AL415" s="1">
        <f t="shared" si="326"/>
        <v>0</v>
      </c>
      <c r="AM415" s="1">
        <f t="shared" si="326"/>
        <v>0</v>
      </c>
      <c r="AN415" s="1">
        <f t="shared" si="326"/>
        <v>0</v>
      </c>
      <c r="AO415" s="1">
        <f t="shared" si="326"/>
        <v>0</v>
      </c>
      <c r="AP415" s="1">
        <f t="shared" si="326"/>
        <v>0</v>
      </c>
      <c r="AQ415" s="1">
        <f t="shared" si="326"/>
        <v>1</v>
      </c>
      <c r="AR415" s="1">
        <f t="shared" si="326"/>
        <v>1</v>
      </c>
      <c r="AS415" s="1">
        <f t="shared" si="326"/>
        <v>1</v>
      </c>
      <c r="AT415" s="39">
        <f t="shared" si="297"/>
        <v>215645.45096157945</v>
      </c>
      <c r="AU415" s="39">
        <f t="shared" si="315"/>
        <v>215645.45096157945</v>
      </c>
      <c r="AV415" s="39">
        <f t="shared" si="325"/>
        <v>0</v>
      </c>
      <c r="AW415" s="3">
        <f t="shared" si="298"/>
        <v>341</v>
      </c>
      <c r="AX415" s="69">
        <f t="shared" si="316"/>
        <v>0</v>
      </c>
      <c r="AY415" s="75">
        <f t="shared" si="299"/>
        <v>0</v>
      </c>
      <c r="AZ415" s="75">
        <f t="shared" si="300"/>
        <v>0</v>
      </c>
      <c r="BA415" s="75">
        <f t="shared" si="301"/>
        <v>0</v>
      </c>
      <c r="BB415" s="75">
        <f t="shared" si="302"/>
        <v>0</v>
      </c>
      <c r="BD415" s="214">
        <f t="shared" si="317"/>
        <v>294645.58747427136</v>
      </c>
      <c r="BE415" s="214">
        <f t="shared" si="303"/>
        <v>1434.2022958862242</v>
      </c>
      <c r="BF415" s="214">
        <f t="shared" si="304"/>
        <v>-487.54752839460184</v>
      </c>
      <c r="BG415" s="224">
        <f t="shared" si="321"/>
        <v>0</v>
      </c>
      <c r="BH415" s="19">
        <f t="shared" si="318"/>
        <v>516007.4352601128</v>
      </c>
      <c r="BI415" s="214">
        <f t="shared" si="305"/>
        <v>2511.6922832215787</v>
      </c>
      <c r="BJ415" s="214">
        <f t="shared" si="306"/>
        <v>0</v>
      </c>
      <c r="BK415" s="19">
        <f t="shared" si="322"/>
        <v>0</v>
      </c>
    </row>
    <row r="416" spans="1:63">
      <c r="A416" s="165">
        <f t="shared" si="307"/>
        <v>90.472792607802873</v>
      </c>
      <c r="B416" s="69">
        <f t="shared" si="308"/>
        <v>29</v>
      </c>
      <c r="C416" s="70">
        <f t="shared" si="309"/>
        <v>342</v>
      </c>
      <c r="D416" s="13">
        <f t="shared" si="277"/>
        <v>4.8675505653430484E-3</v>
      </c>
      <c r="E416" s="15">
        <f t="shared" si="278"/>
        <v>1</v>
      </c>
      <c r="F416" s="15">
        <f t="shared" si="310"/>
        <v>0</v>
      </c>
      <c r="G416" s="15">
        <f t="shared" si="279"/>
        <v>0</v>
      </c>
      <c r="H416" s="73">
        <f t="shared" si="280"/>
        <v>0</v>
      </c>
      <c r="I416" s="189"/>
      <c r="J416" s="189"/>
      <c r="K416" s="5">
        <f t="shared" si="323"/>
        <v>215645.45096157945</v>
      </c>
      <c r="M416" s="5">
        <f t="shared" si="281"/>
        <v>1049.6651367416928</v>
      </c>
      <c r="N416" s="5">
        <f t="shared" si="282"/>
        <v>-356.82667956138334</v>
      </c>
      <c r="O416" s="5">
        <f t="shared" si="283"/>
        <v>0</v>
      </c>
      <c r="P416" s="5">
        <f t="shared" si="284"/>
        <v>0</v>
      </c>
      <c r="Q416" s="5">
        <f t="shared" si="319"/>
        <v>0</v>
      </c>
      <c r="R416" s="5">
        <f t="shared" si="311"/>
        <v>0</v>
      </c>
      <c r="S416" s="5">
        <f t="shared" si="285"/>
        <v>0</v>
      </c>
      <c r="T416" s="5">
        <f t="shared" si="286"/>
        <v>0</v>
      </c>
      <c r="U416" s="74">
        <f t="shared" si="287"/>
        <v>0</v>
      </c>
      <c r="V416" s="75">
        <f t="shared" si="288"/>
        <v>0</v>
      </c>
      <c r="W416" s="5">
        <f t="shared" si="289"/>
        <v>0</v>
      </c>
      <c r="X416" s="5">
        <f t="shared" si="290"/>
        <v>216338.28941875978</v>
      </c>
      <c r="Y416" s="5">
        <f t="shared" si="312"/>
        <v>100000</v>
      </c>
      <c r="Z416" s="215">
        <f t="shared" si="291"/>
        <v>1</v>
      </c>
      <c r="AA416" s="216">
        <f t="shared" si="313"/>
        <v>0</v>
      </c>
      <c r="AB416" s="72">
        <f t="shared" si="320"/>
        <v>50215.72519964027</v>
      </c>
      <c r="AC416" s="72">
        <f t="shared" si="292"/>
        <v>0</v>
      </c>
      <c r="AD416" s="72">
        <f t="shared" si="293"/>
        <v>0</v>
      </c>
      <c r="AE416" s="72">
        <f t="shared" si="314"/>
        <v>-45.049949353009268</v>
      </c>
      <c r="AF416" s="70">
        <f t="shared" si="294"/>
        <v>0</v>
      </c>
      <c r="AG416" s="70">
        <f t="shared" si="295"/>
        <v>13074.800355351763</v>
      </c>
      <c r="AH416" s="1">
        <f t="shared" si="326"/>
        <v>0</v>
      </c>
      <c r="AI416" s="1">
        <f t="shared" si="326"/>
        <v>0</v>
      </c>
      <c r="AJ416" s="1">
        <f t="shared" si="326"/>
        <v>0</v>
      </c>
      <c r="AK416" s="1">
        <f t="shared" si="326"/>
        <v>0</v>
      </c>
      <c r="AL416" s="1">
        <f t="shared" si="326"/>
        <v>0</v>
      </c>
      <c r="AM416" s="1">
        <f t="shared" si="326"/>
        <v>0</v>
      </c>
      <c r="AN416" s="1">
        <f t="shared" si="326"/>
        <v>0</v>
      </c>
      <c r="AO416" s="1">
        <f t="shared" si="326"/>
        <v>0</v>
      </c>
      <c r="AP416" s="1">
        <f t="shared" si="326"/>
        <v>0</v>
      </c>
      <c r="AQ416" s="1">
        <f t="shared" si="326"/>
        <v>1</v>
      </c>
      <c r="AR416" s="1">
        <f t="shared" si="326"/>
        <v>1</v>
      </c>
      <c r="AS416" s="1">
        <f t="shared" si="326"/>
        <v>1</v>
      </c>
      <c r="AT416" s="39">
        <f t="shared" si="297"/>
        <v>216338.28941875978</v>
      </c>
      <c r="AU416" s="39">
        <f t="shared" si="315"/>
        <v>216338.28941875978</v>
      </c>
      <c r="AV416" s="39">
        <f t="shared" si="325"/>
        <v>0</v>
      </c>
      <c r="AW416" s="3">
        <f t="shared" si="298"/>
        <v>342</v>
      </c>
      <c r="AX416" s="69">
        <f t="shared" si="316"/>
        <v>0</v>
      </c>
      <c r="AY416" s="75">
        <f t="shared" si="299"/>
        <v>0</v>
      </c>
      <c r="AZ416" s="75">
        <f t="shared" si="300"/>
        <v>0</v>
      </c>
      <c r="BA416" s="75">
        <f t="shared" si="301"/>
        <v>0</v>
      </c>
      <c r="BB416" s="75">
        <f t="shared" si="302"/>
        <v>0</v>
      </c>
      <c r="BD416" s="214">
        <f t="shared" si="317"/>
        <v>295592.24224176299</v>
      </c>
      <c r="BE416" s="214">
        <f t="shared" si="303"/>
        <v>1438.8101858349128</v>
      </c>
      <c r="BF416" s="214">
        <f t="shared" si="304"/>
        <v>-489.11394992526129</v>
      </c>
      <c r="BG416" s="224">
        <f t="shared" si="321"/>
        <v>0</v>
      </c>
      <c r="BH416" s="19">
        <f t="shared" si="318"/>
        <v>518519.12754333438</v>
      </c>
      <c r="BI416" s="214">
        <f t="shared" si="305"/>
        <v>2523.9180724147413</v>
      </c>
      <c r="BJ416" s="214">
        <f t="shared" si="306"/>
        <v>0</v>
      </c>
      <c r="BK416" s="19">
        <f t="shared" si="322"/>
        <v>0</v>
      </c>
    </row>
    <row r="417" spans="1:63">
      <c r="A417" s="165">
        <f t="shared" si="307"/>
        <v>90.556125941136202</v>
      </c>
      <c r="B417" s="69">
        <f t="shared" si="308"/>
        <v>29</v>
      </c>
      <c r="C417" s="70">
        <f t="shared" si="309"/>
        <v>343</v>
      </c>
      <c r="D417" s="13">
        <f t="shared" si="277"/>
        <v>4.8675505653430484E-3</v>
      </c>
      <c r="E417" s="15">
        <f t="shared" si="278"/>
        <v>1</v>
      </c>
      <c r="F417" s="15">
        <f t="shared" si="310"/>
        <v>0</v>
      </c>
      <c r="G417" s="15">
        <f t="shared" si="279"/>
        <v>0</v>
      </c>
      <c r="H417" s="73">
        <f t="shared" si="280"/>
        <v>0</v>
      </c>
      <c r="I417" s="189"/>
      <c r="J417" s="189"/>
      <c r="K417" s="5">
        <f t="shared" si="323"/>
        <v>216338.28941875978</v>
      </c>
      <c r="M417" s="5">
        <f t="shared" si="281"/>
        <v>1053.0375629656323</v>
      </c>
      <c r="N417" s="5">
        <f t="shared" si="282"/>
        <v>-357.97311341865094</v>
      </c>
      <c r="O417" s="5">
        <f t="shared" si="283"/>
        <v>0</v>
      </c>
      <c r="P417" s="5">
        <f t="shared" si="284"/>
        <v>0</v>
      </c>
      <c r="Q417" s="5">
        <f t="shared" si="319"/>
        <v>0</v>
      </c>
      <c r="R417" s="5">
        <f t="shared" si="311"/>
        <v>0</v>
      </c>
      <c r="S417" s="5">
        <f t="shared" si="285"/>
        <v>0</v>
      </c>
      <c r="T417" s="5">
        <f t="shared" si="286"/>
        <v>0</v>
      </c>
      <c r="U417" s="74">
        <f t="shared" si="287"/>
        <v>0</v>
      </c>
      <c r="V417" s="75">
        <f t="shared" si="288"/>
        <v>0</v>
      </c>
      <c r="W417" s="5">
        <f t="shared" si="289"/>
        <v>0</v>
      </c>
      <c r="X417" s="5">
        <f t="shared" si="290"/>
        <v>217033.35386830676</v>
      </c>
      <c r="Y417" s="5">
        <f t="shared" si="312"/>
        <v>100000</v>
      </c>
      <c r="Z417" s="215">
        <f t="shared" si="291"/>
        <v>1</v>
      </c>
      <c r="AA417" s="216">
        <f t="shared" si="313"/>
        <v>0</v>
      </c>
      <c r="AB417" s="72">
        <f t="shared" si="320"/>
        <v>50215.72519964027</v>
      </c>
      <c r="AC417" s="72">
        <f t="shared" si="292"/>
        <v>0</v>
      </c>
      <c r="AD417" s="72">
        <f t="shared" si="293"/>
        <v>0</v>
      </c>
      <c r="AE417" s="72">
        <f t="shared" si="314"/>
        <v>-45.194688494348043</v>
      </c>
      <c r="AF417" s="70">
        <f t="shared" si="294"/>
        <v>0</v>
      </c>
      <c r="AG417" s="70">
        <f t="shared" si="295"/>
        <v>13338.924846179609</v>
      </c>
      <c r="AH417" s="1">
        <f t="shared" si="326"/>
        <v>0</v>
      </c>
      <c r="AI417" s="1">
        <f t="shared" si="326"/>
        <v>0</v>
      </c>
      <c r="AJ417" s="1">
        <f t="shared" si="326"/>
        <v>0</v>
      </c>
      <c r="AK417" s="1">
        <f t="shared" si="326"/>
        <v>0</v>
      </c>
      <c r="AL417" s="1">
        <f t="shared" si="326"/>
        <v>0</v>
      </c>
      <c r="AM417" s="1">
        <f t="shared" si="326"/>
        <v>0</v>
      </c>
      <c r="AN417" s="1">
        <f t="shared" si="326"/>
        <v>0</v>
      </c>
      <c r="AO417" s="1">
        <f t="shared" si="326"/>
        <v>0</v>
      </c>
      <c r="AP417" s="1">
        <f t="shared" si="326"/>
        <v>0</v>
      </c>
      <c r="AQ417" s="1">
        <f t="shared" si="326"/>
        <v>1</v>
      </c>
      <c r="AR417" s="1">
        <f t="shared" si="326"/>
        <v>1</v>
      </c>
      <c r="AS417" s="1">
        <f t="shared" si="326"/>
        <v>1</v>
      </c>
      <c r="AT417" s="39">
        <f t="shared" si="297"/>
        <v>217033.35386830676</v>
      </c>
      <c r="AU417" s="39">
        <f t="shared" si="315"/>
        <v>217033.35386830676</v>
      </c>
      <c r="AV417" s="39">
        <f t="shared" si="325"/>
        <v>0</v>
      </c>
      <c r="AW417" s="3">
        <f t="shared" si="298"/>
        <v>343</v>
      </c>
      <c r="AX417" s="69">
        <f t="shared" si="316"/>
        <v>0</v>
      </c>
      <c r="AY417" s="75">
        <f t="shared" si="299"/>
        <v>0</v>
      </c>
      <c r="AZ417" s="75">
        <f t="shared" si="300"/>
        <v>0</v>
      </c>
      <c r="BA417" s="75">
        <f t="shared" si="301"/>
        <v>0</v>
      </c>
      <c r="BB417" s="75">
        <f t="shared" si="302"/>
        <v>0</v>
      </c>
      <c r="BD417" s="214">
        <f t="shared" si="317"/>
        <v>296541.93847767264</v>
      </c>
      <c r="BE417" s="214">
        <f t="shared" si="303"/>
        <v>1443.4328802849188</v>
      </c>
      <c r="BF417" s="214">
        <f t="shared" si="304"/>
        <v>-490.68540414764584</v>
      </c>
      <c r="BG417" s="224">
        <f t="shared" si="321"/>
        <v>0</v>
      </c>
      <c r="BH417" s="19">
        <f t="shared" si="318"/>
        <v>521043.04561574914</v>
      </c>
      <c r="BI417" s="214">
        <f t="shared" si="305"/>
        <v>2536.2033712550037</v>
      </c>
      <c r="BJ417" s="214">
        <f t="shared" si="306"/>
        <v>0</v>
      </c>
      <c r="BK417" s="19">
        <f t="shared" si="322"/>
        <v>0</v>
      </c>
    </row>
    <row r="418" spans="1:63">
      <c r="A418" s="165">
        <f t="shared" si="307"/>
        <v>90.639459274469544</v>
      </c>
      <c r="B418" s="69">
        <f t="shared" si="308"/>
        <v>29</v>
      </c>
      <c r="C418" s="70">
        <f t="shared" si="309"/>
        <v>344</v>
      </c>
      <c r="D418" s="13">
        <f t="shared" si="277"/>
        <v>4.8675505653430484E-3</v>
      </c>
      <c r="E418" s="15">
        <f t="shared" si="278"/>
        <v>1</v>
      </c>
      <c r="F418" s="15">
        <f t="shared" si="310"/>
        <v>0</v>
      </c>
      <c r="G418" s="15">
        <f t="shared" si="279"/>
        <v>0</v>
      </c>
      <c r="H418" s="73">
        <f t="shared" si="280"/>
        <v>0</v>
      </c>
      <c r="I418" s="189"/>
      <c r="J418" s="189"/>
      <c r="K418" s="5">
        <f t="shared" si="323"/>
        <v>217033.35386830676</v>
      </c>
      <c r="M418" s="5">
        <f t="shared" si="281"/>
        <v>1056.4208243199744</v>
      </c>
      <c r="N418" s="5">
        <f t="shared" si="282"/>
        <v>-359.12323060641017</v>
      </c>
      <c r="O418" s="5">
        <f t="shared" si="283"/>
        <v>0</v>
      </c>
      <c r="P418" s="5">
        <f t="shared" si="284"/>
        <v>0</v>
      </c>
      <c r="Q418" s="5">
        <f t="shared" si="319"/>
        <v>0</v>
      </c>
      <c r="R418" s="5">
        <f t="shared" si="311"/>
        <v>0</v>
      </c>
      <c r="S418" s="5">
        <f t="shared" si="285"/>
        <v>0</v>
      </c>
      <c r="T418" s="5">
        <f t="shared" si="286"/>
        <v>0</v>
      </c>
      <c r="U418" s="74">
        <f t="shared" si="287"/>
        <v>0</v>
      </c>
      <c r="V418" s="75">
        <f t="shared" si="288"/>
        <v>0</v>
      </c>
      <c r="W418" s="5">
        <f t="shared" si="289"/>
        <v>0</v>
      </c>
      <c r="X418" s="5">
        <f t="shared" si="290"/>
        <v>217730.65146202032</v>
      </c>
      <c r="Y418" s="5">
        <f t="shared" si="312"/>
        <v>100000</v>
      </c>
      <c r="Z418" s="215">
        <f t="shared" si="291"/>
        <v>1</v>
      </c>
      <c r="AA418" s="216">
        <f t="shared" si="313"/>
        <v>0</v>
      </c>
      <c r="AB418" s="72">
        <f t="shared" si="320"/>
        <v>50215.72519964027</v>
      </c>
      <c r="AC418" s="72">
        <f t="shared" si="292"/>
        <v>0</v>
      </c>
      <c r="AD418" s="72">
        <f t="shared" si="293"/>
        <v>0</v>
      </c>
      <c r="AE418" s="72">
        <f t="shared" si="314"/>
        <v>-45.339892662159343</v>
      </c>
      <c r="AF418" s="70">
        <f t="shared" si="294"/>
        <v>0</v>
      </c>
      <c r="AG418" s="70">
        <f t="shared" si="295"/>
        <v>13603.897931790765</v>
      </c>
      <c r="AH418" s="1">
        <f t="shared" si="326"/>
        <v>0</v>
      </c>
      <c r="AI418" s="1">
        <f t="shared" si="326"/>
        <v>0</v>
      </c>
      <c r="AJ418" s="1">
        <f t="shared" si="326"/>
        <v>0</v>
      </c>
      <c r="AK418" s="1">
        <f t="shared" si="326"/>
        <v>0</v>
      </c>
      <c r="AL418" s="1">
        <f t="shared" si="326"/>
        <v>0</v>
      </c>
      <c r="AM418" s="1">
        <f t="shared" si="326"/>
        <v>0</v>
      </c>
      <c r="AN418" s="1">
        <f t="shared" si="326"/>
        <v>0</v>
      </c>
      <c r="AO418" s="1">
        <f t="shared" si="326"/>
        <v>0</v>
      </c>
      <c r="AP418" s="1">
        <f t="shared" si="326"/>
        <v>0</v>
      </c>
      <c r="AQ418" s="1">
        <f t="shared" si="326"/>
        <v>1</v>
      </c>
      <c r="AR418" s="1">
        <f t="shared" si="326"/>
        <v>1</v>
      </c>
      <c r="AS418" s="1">
        <f t="shared" si="326"/>
        <v>1</v>
      </c>
      <c r="AT418" s="39">
        <f t="shared" si="297"/>
        <v>217730.65146202032</v>
      </c>
      <c r="AU418" s="39">
        <f t="shared" si="315"/>
        <v>217730.65146202032</v>
      </c>
      <c r="AV418" s="39">
        <f t="shared" si="325"/>
        <v>0</v>
      </c>
      <c r="AW418" s="3">
        <f t="shared" si="298"/>
        <v>344</v>
      </c>
      <c r="AX418" s="69">
        <f t="shared" si="316"/>
        <v>0</v>
      </c>
      <c r="AY418" s="75">
        <f t="shared" si="299"/>
        <v>0</v>
      </c>
      <c r="AZ418" s="75">
        <f t="shared" si="300"/>
        <v>0</v>
      </c>
      <c r="BA418" s="75">
        <f t="shared" si="301"/>
        <v>0</v>
      </c>
      <c r="BB418" s="75">
        <f t="shared" si="302"/>
        <v>0</v>
      </c>
      <c r="BD418" s="214">
        <f t="shared" si="317"/>
        <v>297494.68595380988</v>
      </c>
      <c r="BE418" s="214">
        <f t="shared" si="303"/>
        <v>1448.0704268010199</v>
      </c>
      <c r="BF418" s="214">
        <f t="shared" si="304"/>
        <v>-492.26190723108488</v>
      </c>
      <c r="BG418" s="224">
        <f t="shared" si="321"/>
        <v>0</v>
      </c>
      <c r="BH418" s="19">
        <f t="shared" si="318"/>
        <v>523579.24898700416</v>
      </c>
      <c r="BI418" s="214">
        <f t="shared" si="305"/>
        <v>2548.5484694085808</v>
      </c>
      <c r="BJ418" s="214">
        <f t="shared" si="306"/>
        <v>0</v>
      </c>
      <c r="BK418" s="19">
        <f t="shared" si="322"/>
        <v>0</v>
      </c>
    </row>
    <row r="419" spans="1:63">
      <c r="A419" s="165">
        <f t="shared" si="307"/>
        <v>90.722792607802873</v>
      </c>
      <c r="B419" s="69">
        <f t="shared" si="308"/>
        <v>29</v>
      </c>
      <c r="C419" s="70">
        <f t="shared" si="309"/>
        <v>345</v>
      </c>
      <c r="D419" s="13">
        <f t="shared" si="277"/>
        <v>4.8675505653430484E-3</v>
      </c>
      <c r="E419" s="15">
        <f t="shared" si="278"/>
        <v>1</v>
      </c>
      <c r="F419" s="15">
        <f t="shared" si="310"/>
        <v>0</v>
      </c>
      <c r="G419" s="15">
        <f t="shared" si="279"/>
        <v>0</v>
      </c>
      <c r="H419" s="73">
        <f t="shared" si="280"/>
        <v>0</v>
      </c>
      <c r="I419" s="189"/>
      <c r="J419" s="189"/>
      <c r="K419" s="5">
        <f t="shared" si="323"/>
        <v>217730.65146202032</v>
      </c>
      <c r="M419" s="5">
        <f t="shared" si="281"/>
        <v>1059.8149556164672</v>
      </c>
      <c r="N419" s="5">
        <f t="shared" si="282"/>
        <v>-360.27704295868318</v>
      </c>
      <c r="O419" s="5">
        <f t="shared" si="283"/>
        <v>0</v>
      </c>
      <c r="P419" s="5">
        <f t="shared" si="284"/>
        <v>0</v>
      </c>
      <c r="Q419" s="5">
        <f t="shared" si="319"/>
        <v>0</v>
      </c>
      <c r="R419" s="5">
        <f t="shared" si="311"/>
        <v>0</v>
      </c>
      <c r="S419" s="5">
        <f t="shared" si="285"/>
        <v>0</v>
      </c>
      <c r="T419" s="5">
        <f t="shared" si="286"/>
        <v>0</v>
      </c>
      <c r="U419" s="74">
        <f t="shared" si="287"/>
        <v>0</v>
      </c>
      <c r="V419" s="75">
        <f t="shared" si="288"/>
        <v>0</v>
      </c>
      <c r="W419" s="5">
        <f t="shared" si="289"/>
        <v>0</v>
      </c>
      <c r="X419" s="5">
        <f t="shared" si="290"/>
        <v>218430.1893746781</v>
      </c>
      <c r="Y419" s="5">
        <f t="shared" si="312"/>
        <v>100000</v>
      </c>
      <c r="Z419" s="215">
        <f t="shared" si="291"/>
        <v>1</v>
      </c>
      <c r="AA419" s="216">
        <f t="shared" si="313"/>
        <v>0</v>
      </c>
      <c r="AB419" s="72">
        <f t="shared" si="320"/>
        <v>50215.72519964027</v>
      </c>
      <c r="AC419" s="72">
        <f t="shared" si="292"/>
        <v>0</v>
      </c>
      <c r="AD419" s="72">
        <f t="shared" si="293"/>
        <v>0</v>
      </c>
      <c r="AE419" s="72">
        <f t="shared" si="314"/>
        <v>-45.485563350507725</v>
      </c>
      <c r="AF419" s="70">
        <f t="shared" si="294"/>
        <v>0</v>
      </c>
      <c r="AG419" s="70">
        <f t="shared" si="295"/>
        <v>13869.722338600717</v>
      </c>
      <c r="AH419" s="1">
        <f t="shared" si="326"/>
        <v>0</v>
      </c>
      <c r="AI419" s="1">
        <f t="shared" si="326"/>
        <v>0</v>
      </c>
      <c r="AJ419" s="1">
        <f t="shared" si="326"/>
        <v>0</v>
      </c>
      <c r="AK419" s="1">
        <f t="shared" si="326"/>
        <v>0</v>
      </c>
      <c r="AL419" s="1">
        <f t="shared" si="326"/>
        <v>0</v>
      </c>
      <c r="AM419" s="1">
        <f t="shared" si="326"/>
        <v>0</v>
      </c>
      <c r="AN419" s="1">
        <f t="shared" si="326"/>
        <v>0</v>
      </c>
      <c r="AO419" s="1">
        <f t="shared" si="326"/>
        <v>0</v>
      </c>
      <c r="AP419" s="1">
        <f t="shared" si="326"/>
        <v>0</v>
      </c>
      <c r="AQ419" s="1">
        <f t="shared" si="326"/>
        <v>1</v>
      </c>
      <c r="AR419" s="1">
        <f t="shared" si="326"/>
        <v>1</v>
      </c>
      <c r="AS419" s="1">
        <f t="shared" si="326"/>
        <v>1</v>
      </c>
      <c r="AT419" s="39">
        <f t="shared" si="297"/>
        <v>218430.1893746781</v>
      </c>
      <c r="AU419" s="39">
        <f t="shared" si="315"/>
        <v>218430.1893746781</v>
      </c>
      <c r="AV419" s="39">
        <f t="shared" si="325"/>
        <v>0</v>
      </c>
      <c r="AW419" s="3">
        <f t="shared" si="298"/>
        <v>345</v>
      </c>
      <c r="AX419" s="69">
        <f t="shared" si="316"/>
        <v>0</v>
      </c>
      <c r="AY419" s="75">
        <f t="shared" si="299"/>
        <v>0</v>
      </c>
      <c r="AZ419" s="75">
        <f t="shared" si="300"/>
        <v>0</v>
      </c>
      <c r="BA419" s="75">
        <f t="shared" si="301"/>
        <v>0</v>
      </c>
      <c r="BB419" s="75">
        <f t="shared" si="302"/>
        <v>0</v>
      </c>
      <c r="BD419" s="214">
        <f t="shared" si="317"/>
        <v>298450.49447337986</v>
      </c>
      <c r="BE419" s="214">
        <f t="shared" si="303"/>
        <v>1452.7228731008124</v>
      </c>
      <c r="BF419" s="214">
        <f t="shared" si="304"/>
        <v>-493.84347539685803</v>
      </c>
      <c r="BG419" s="224">
        <f t="shared" si="321"/>
        <v>0</v>
      </c>
      <c r="BH419" s="19">
        <f t="shared" si="318"/>
        <v>526127.79745641269</v>
      </c>
      <c r="BI419" s="214">
        <f t="shared" si="305"/>
        <v>2560.9536579516543</v>
      </c>
      <c r="BJ419" s="214">
        <f t="shared" si="306"/>
        <v>0</v>
      </c>
      <c r="BK419" s="19">
        <f t="shared" si="322"/>
        <v>0</v>
      </c>
    </row>
    <row r="420" spans="1:63">
      <c r="A420" s="165">
        <f t="shared" si="307"/>
        <v>90.806125941136202</v>
      </c>
      <c r="B420" s="69">
        <f t="shared" si="308"/>
        <v>29</v>
      </c>
      <c r="C420" s="70">
        <f t="shared" si="309"/>
        <v>346</v>
      </c>
      <c r="D420" s="13">
        <f t="shared" si="277"/>
        <v>4.8675505653430484E-3</v>
      </c>
      <c r="E420" s="15">
        <f t="shared" si="278"/>
        <v>1</v>
      </c>
      <c r="F420" s="15">
        <f t="shared" si="310"/>
        <v>0</v>
      </c>
      <c r="G420" s="15">
        <f t="shared" si="279"/>
        <v>0</v>
      </c>
      <c r="H420" s="73">
        <f t="shared" si="280"/>
        <v>0</v>
      </c>
      <c r="I420" s="189"/>
      <c r="J420" s="189"/>
      <c r="K420" s="5">
        <f t="shared" si="323"/>
        <v>218430.1893746781</v>
      </c>
      <c r="M420" s="5">
        <f t="shared" si="281"/>
        <v>1063.2199917787036</v>
      </c>
      <c r="N420" s="5">
        <f t="shared" si="282"/>
        <v>-361.43456234751301</v>
      </c>
      <c r="O420" s="5">
        <f t="shared" si="283"/>
        <v>0</v>
      </c>
      <c r="P420" s="5">
        <f t="shared" si="284"/>
        <v>0</v>
      </c>
      <c r="Q420" s="5">
        <f t="shared" si="319"/>
        <v>0</v>
      </c>
      <c r="R420" s="5">
        <f t="shared" si="311"/>
        <v>0</v>
      </c>
      <c r="S420" s="5">
        <f t="shared" si="285"/>
        <v>0</v>
      </c>
      <c r="T420" s="5">
        <f t="shared" si="286"/>
        <v>0</v>
      </c>
      <c r="U420" s="74">
        <f t="shared" si="287"/>
        <v>0</v>
      </c>
      <c r="V420" s="75">
        <f t="shared" si="288"/>
        <v>0</v>
      </c>
      <c r="W420" s="5">
        <f t="shared" si="289"/>
        <v>0</v>
      </c>
      <c r="X420" s="5">
        <f t="shared" si="290"/>
        <v>219131.97480410928</v>
      </c>
      <c r="Y420" s="5">
        <f t="shared" si="312"/>
        <v>100000</v>
      </c>
      <c r="Z420" s="215">
        <f t="shared" si="291"/>
        <v>1</v>
      </c>
      <c r="AA420" s="216">
        <f t="shared" si="313"/>
        <v>0</v>
      </c>
      <c r="AB420" s="72">
        <f t="shared" si="320"/>
        <v>50215.72519964027</v>
      </c>
      <c r="AC420" s="72">
        <f t="shared" si="292"/>
        <v>0</v>
      </c>
      <c r="AD420" s="72">
        <f t="shared" si="293"/>
        <v>0</v>
      </c>
      <c r="AE420" s="72">
        <f t="shared" si="314"/>
        <v>-45.631702058257964</v>
      </c>
      <c r="AF420" s="70">
        <f t="shared" si="294"/>
        <v>0</v>
      </c>
      <c r="AG420" s="70">
        <f t="shared" si="295"/>
        <v>14136.40080178457</v>
      </c>
      <c r="AH420" s="1">
        <f t="shared" si="326"/>
        <v>0</v>
      </c>
      <c r="AI420" s="1">
        <f t="shared" si="326"/>
        <v>0</v>
      </c>
      <c r="AJ420" s="1">
        <f t="shared" si="326"/>
        <v>0</v>
      </c>
      <c r="AK420" s="1">
        <f t="shared" si="326"/>
        <v>0</v>
      </c>
      <c r="AL420" s="1">
        <f t="shared" si="326"/>
        <v>0</v>
      </c>
      <c r="AM420" s="1">
        <f t="shared" si="326"/>
        <v>0</v>
      </c>
      <c r="AN420" s="1">
        <f t="shared" si="326"/>
        <v>0</v>
      </c>
      <c r="AO420" s="1">
        <f t="shared" si="326"/>
        <v>0</v>
      </c>
      <c r="AP420" s="1">
        <f t="shared" si="326"/>
        <v>0</v>
      </c>
      <c r="AQ420" s="1">
        <f t="shared" si="326"/>
        <v>1</v>
      </c>
      <c r="AR420" s="1">
        <f t="shared" si="326"/>
        <v>1</v>
      </c>
      <c r="AS420" s="1">
        <f t="shared" si="326"/>
        <v>1</v>
      </c>
      <c r="AT420" s="39">
        <f t="shared" si="297"/>
        <v>219131.97480410928</v>
      </c>
      <c r="AU420" s="39">
        <f t="shared" si="315"/>
        <v>219131.97480410928</v>
      </c>
      <c r="AV420" s="39">
        <f t="shared" si="325"/>
        <v>0</v>
      </c>
      <c r="AW420" s="3">
        <f t="shared" si="298"/>
        <v>346</v>
      </c>
      <c r="AX420" s="69">
        <f t="shared" si="316"/>
        <v>0</v>
      </c>
      <c r="AY420" s="75">
        <f t="shared" si="299"/>
        <v>0</v>
      </c>
      <c r="AZ420" s="75">
        <f t="shared" si="300"/>
        <v>0</v>
      </c>
      <c r="BA420" s="75">
        <f t="shared" si="301"/>
        <v>0</v>
      </c>
      <c r="BB420" s="75">
        <f t="shared" si="302"/>
        <v>0</v>
      </c>
      <c r="BD420" s="214">
        <f t="shared" si="317"/>
        <v>299409.37387108384</v>
      </c>
      <c r="BE420" s="214">
        <f t="shared" si="303"/>
        <v>1457.3902670552022</v>
      </c>
      <c r="BF420" s="214">
        <f t="shared" si="304"/>
        <v>-495.43012491836129</v>
      </c>
      <c r="BG420" s="224">
        <f t="shared" si="321"/>
        <v>0</v>
      </c>
      <c r="BH420" s="19">
        <f t="shared" si="318"/>
        <v>528688.75111436436</v>
      </c>
      <c r="BI420" s="214">
        <f t="shared" si="305"/>
        <v>2573.4192293772344</v>
      </c>
      <c r="BJ420" s="214">
        <f t="shared" si="306"/>
        <v>0</v>
      </c>
      <c r="BK420" s="19">
        <f t="shared" si="322"/>
        <v>0</v>
      </c>
    </row>
    <row r="421" spans="1:63">
      <c r="A421" s="165">
        <f t="shared" si="307"/>
        <v>90.889459274469544</v>
      </c>
      <c r="B421" s="69">
        <f t="shared" si="308"/>
        <v>29</v>
      </c>
      <c r="C421" s="70">
        <f t="shared" si="309"/>
        <v>347</v>
      </c>
      <c r="D421" s="13">
        <f t="shared" si="277"/>
        <v>4.8675505653430484E-3</v>
      </c>
      <c r="E421" s="15">
        <f t="shared" si="278"/>
        <v>1</v>
      </c>
      <c r="F421" s="15">
        <f t="shared" si="310"/>
        <v>0</v>
      </c>
      <c r="G421" s="15">
        <f t="shared" si="279"/>
        <v>0</v>
      </c>
      <c r="H421" s="73">
        <f t="shared" si="280"/>
        <v>0</v>
      </c>
      <c r="I421" s="189"/>
      <c r="J421" s="189"/>
      <c r="K421" s="5">
        <f t="shared" si="323"/>
        <v>219131.97480410928</v>
      </c>
      <c r="M421" s="5">
        <f t="shared" si="281"/>
        <v>1066.6359678424808</v>
      </c>
      <c r="N421" s="5">
        <f t="shared" si="282"/>
        <v>-362.59580068308588</v>
      </c>
      <c r="O421" s="5">
        <f t="shared" si="283"/>
        <v>0</v>
      </c>
      <c r="P421" s="5">
        <f t="shared" si="284"/>
        <v>0</v>
      </c>
      <c r="Q421" s="5">
        <f t="shared" si="319"/>
        <v>0</v>
      </c>
      <c r="R421" s="5">
        <f t="shared" si="311"/>
        <v>0</v>
      </c>
      <c r="S421" s="5">
        <f t="shared" si="285"/>
        <v>0</v>
      </c>
      <c r="T421" s="5">
        <f t="shared" si="286"/>
        <v>0</v>
      </c>
      <c r="U421" s="74">
        <f t="shared" si="287"/>
        <v>0</v>
      </c>
      <c r="V421" s="75">
        <f t="shared" si="288"/>
        <v>0</v>
      </c>
      <c r="W421" s="5">
        <f t="shared" si="289"/>
        <v>0</v>
      </c>
      <c r="X421" s="5">
        <f t="shared" si="290"/>
        <v>219836.01497126868</v>
      </c>
      <c r="Y421" s="5">
        <f t="shared" si="312"/>
        <v>100000</v>
      </c>
      <c r="Z421" s="215">
        <f t="shared" si="291"/>
        <v>1</v>
      </c>
      <c r="AA421" s="216">
        <f t="shared" si="313"/>
        <v>0</v>
      </c>
      <c r="AB421" s="72">
        <f t="shared" si="320"/>
        <v>50215.72519964027</v>
      </c>
      <c r="AC421" s="72">
        <f t="shared" si="292"/>
        <v>0</v>
      </c>
      <c r="AD421" s="72">
        <f t="shared" si="293"/>
        <v>0</v>
      </c>
      <c r="AE421" s="72">
        <f t="shared" si="314"/>
        <v>-45.77831028909047</v>
      </c>
      <c r="AF421" s="70">
        <f t="shared" si="294"/>
        <v>0</v>
      </c>
      <c r="AG421" s="70">
        <f t="shared" si="295"/>
        <v>14403.936065305141</v>
      </c>
      <c r="AH421" s="1">
        <f t="shared" si="326"/>
        <v>0</v>
      </c>
      <c r="AI421" s="1">
        <f t="shared" si="326"/>
        <v>0</v>
      </c>
      <c r="AJ421" s="1">
        <f t="shared" si="326"/>
        <v>0</v>
      </c>
      <c r="AK421" s="1">
        <f t="shared" si="326"/>
        <v>0</v>
      </c>
      <c r="AL421" s="1">
        <f t="shared" si="326"/>
        <v>0</v>
      </c>
      <c r="AM421" s="1">
        <f t="shared" si="326"/>
        <v>0</v>
      </c>
      <c r="AN421" s="1">
        <f t="shared" si="326"/>
        <v>0</v>
      </c>
      <c r="AO421" s="1">
        <f t="shared" si="326"/>
        <v>0</v>
      </c>
      <c r="AP421" s="1">
        <f t="shared" si="326"/>
        <v>0</v>
      </c>
      <c r="AQ421" s="1">
        <f t="shared" si="326"/>
        <v>1</v>
      </c>
      <c r="AR421" s="1">
        <f t="shared" si="326"/>
        <v>1</v>
      </c>
      <c r="AS421" s="1">
        <f t="shared" si="326"/>
        <v>1</v>
      </c>
      <c r="AT421" s="39">
        <f t="shared" si="297"/>
        <v>219836.01497126868</v>
      </c>
      <c r="AU421" s="39">
        <f t="shared" si="315"/>
        <v>219836.01497126868</v>
      </c>
      <c r="AV421" s="39">
        <f t="shared" si="325"/>
        <v>0</v>
      </c>
      <c r="AW421" s="3">
        <f t="shared" si="298"/>
        <v>347</v>
      </c>
      <c r="AX421" s="69">
        <f t="shared" si="316"/>
        <v>0</v>
      </c>
      <c r="AY421" s="75">
        <f t="shared" si="299"/>
        <v>0</v>
      </c>
      <c r="AZ421" s="75">
        <f t="shared" si="300"/>
        <v>0</v>
      </c>
      <c r="BA421" s="75">
        <f t="shared" si="301"/>
        <v>0</v>
      </c>
      <c r="BB421" s="75">
        <f t="shared" si="302"/>
        <v>0</v>
      </c>
      <c r="BD421" s="214">
        <f t="shared" si="317"/>
        <v>300371.33401322068</v>
      </c>
      <c r="BE421" s="214">
        <f t="shared" si="303"/>
        <v>1462.072656688898</v>
      </c>
      <c r="BF421" s="214">
        <f t="shared" si="304"/>
        <v>-497.02187212127461</v>
      </c>
      <c r="BG421" s="224">
        <f t="shared" si="321"/>
        <v>0</v>
      </c>
      <c r="BH421" s="19">
        <f t="shared" si="318"/>
        <v>531262.17034374154</v>
      </c>
      <c r="BI421" s="214">
        <f t="shared" si="305"/>
        <v>2585.9454776020539</v>
      </c>
      <c r="BJ421" s="214">
        <f t="shared" si="306"/>
        <v>0</v>
      </c>
      <c r="BK421" s="19">
        <f t="shared" si="322"/>
        <v>0</v>
      </c>
    </row>
    <row r="422" spans="1:63">
      <c r="A422" s="165">
        <f t="shared" si="307"/>
        <v>90.972792607802873</v>
      </c>
      <c r="B422" s="69">
        <f t="shared" si="308"/>
        <v>29</v>
      </c>
      <c r="C422" s="70">
        <f t="shared" si="309"/>
        <v>348</v>
      </c>
      <c r="D422" s="13">
        <f t="shared" si="277"/>
        <v>4.8675505653430484E-3</v>
      </c>
      <c r="E422" s="15">
        <f t="shared" si="278"/>
        <v>1</v>
      </c>
      <c r="F422" s="15">
        <f t="shared" si="310"/>
        <v>0</v>
      </c>
      <c r="G422" s="15">
        <f t="shared" si="279"/>
        <v>0</v>
      </c>
      <c r="H422" s="73">
        <f t="shared" si="280"/>
        <v>0</v>
      </c>
      <c r="I422" s="189"/>
      <c r="J422" s="189"/>
      <c r="K422" s="5">
        <f t="shared" si="323"/>
        <v>219836.01497126868</v>
      </c>
      <c r="M422" s="5">
        <f t="shared" si="281"/>
        <v>1070.0629189561616</v>
      </c>
      <c r="N422" s="5">
        <f t="shared" si="282"/>
        <v>-363.76076991385389</v>
      </c>
      <c r="O422" s="5">
        <f t="shared" si="283"/>
        <v>0</v>
      </c>
      <c r="P422" s="5">
        <f t="shared" si="284"/>
        <v>0</v>
      </c>
      <c r="Q422" s="5">
        <f t="shared" si="319"/>
        <v>0</v>
      </c>
      <c r="R422" s="5">
        <f t="shared" si="311"/>
        <v>0</v>
      </c>
      <c r="S422" s="5">
        <f t="shared" si="285"/>
        <v>0</v>
      </c>
      <c r="T422" s="5">
        <f t="shared" si="286"/>
        <v>0</v>
      </c>
      <c r="U422" s="74">
        <f t="shared" si="287"/>
        <v>0</v>
      </c>
      <c r="V422" s="75">
        <f t="shared" si="288"/>
        <v>0</v>
      </c>
      <c r="W422" s="5">
        <f t="shared" si="289"/>
        <v>0</v>
      </c>
      <c r="X422" s="5">
        <f t="shared" si="290"/>
        <v>220542.317120311</v>
      </c>
      <c r="Y422" s="5">
        <f t="shared" si="312"/>
        <v>100000</v>
      </c>
      <c r="Z422" s="215">
        <f t="shared" si="291"/>
        <v>1</v>
      </c>
      <c r="AA422" s="216">
        <f t="shared" si="313"/>
        <v>0</v>
      </c>
      <c r="AB422" s="72">
        <f t="shared" si="320"/>
        <v>50215.72519964027</v>
      </c>
      <c r="AC422" s="72">
        <f t="shared" si="292"/>
        <v>0</v>
      </c>
      <c r="AD422" s="72">
        <f t="shared" si="293"/>
        <v>0</v>
      </c>
      <c r="AE422" s="72">
        <f t="shared" si="314"/>
        <v>-45.925389551516766</v>
      </c>
      <c r="AF422" s="70">
        <f t="shared" si="294"/>
        <v>0</v>
      </c>
      <c r="AG422" s="70">
        <f t="shared" si="295"/>
        <v>14672.33088194122</v>
      </c>
      <c r="AH422" s="1">
        <f t="shared" si="326"/>
        <v>0</v>
      </c>
      <c r="AI422" s="1">
        <f t="shared" si="326"/>
        <v>0</v>
      </c>
      <c r="AJ422" s="1">
        <f t="shared" si="326"/>
        <v>0</v>
      </c>
      <c r="AK422" s="1">
        <f t="shared" si="326"/>
        <v>0</v>
      </c>
      <c r="AL422" s="1">
        <f t="shared" si="326"/>
        <v>0</v>
      </c>
      <c r="AM422" s="1">
        <f t="shared" si="326"/>
        <v>0</v>
      </c>
      <c r="AN422" s="1">
        <f t="shared" si="326"/>
        <v>0</v>
      </c>
      <c r="AO422" s="1">
        <f t="shared" si="326"/>
        <v>0</v>
      </c>
      <c r="AP422" s="1">
        <f t="shared" si="326"/>
        <v>0</v>
      </c>
      <c r="AQ422" s="1">
        <f t="shared" si="326"/>
        <v>1</v>
      </c>
      <c r="AR422" s="1">
        <f t="shared" si="326"/>
        <v>1</v>
      </c>
      <c r="AS422" s="1">
        <f t="shared" si="326"/>
        <v>1</v>
      </c>
      <c r="AT422" s="39">
        <f t="shared" si="297"/>
        <v>220542.317120311</v>
      </c>
      <c r="AU422" s="39">
        <f t="shared" si="315"/>
        <v>220542.317120311</v>
      </c>
      <c r="AV422" s="39">
        <f t="shared" si="325"/>
        <v>0</v>
      </c>
      <c r="AW422" s="3">
        <f t="shared" si="298"/>
        <v>348</v>
      </c>
      <c r="AX422" s="69">
        <f t="shared" si="316"/>
        <v>0</v>
      </c>
      <c r="AY422" s="75">
        <f t="shared" si="299"/>
        <v>0</v>
      </c>
      <c r="AZ422" s="75">
        <f t="shared" si="300"/>
        <v>0</v>
      </c>
      <c r="BA422" s="75">
        <f t="shared" si="301"/>
        <v>0</v>
      </c>
      <c r="BB422" s="75">
        <f t="shared" si="302"/>
        <v>0</v>
      </c>
      <c r="BD422" s="214">
        <f t="shared" si="317"/>
        <v>301336.38479778834</v>
      </c>
      <c r="BE422" s="214">
        <f t="shared" si="303"/>
        <v>1466.7700901809051</v>
      </c>
      <c r="BF422" s="214">
        <f t="shared" si="304"/>
        <v>-498.61873338373056</v>
      </c>
      <c r="BG422" s="224">
        <f t="shared" si="321"/>
        <v>0</v>
      </c>
      <c r="BH422" s="19">
        <f t="shared" si="318"/>
        <v>533848.11582134361</v>
      </c>
      <c r="BI422" s="214">
        <f t="shared" si="305"/>
        <v>2598.5326979735023</v>
      </c>
      <c r="BJ422" s="214">
        <f t="shared" si="306"/>
        <v>0</v>
      </c>
      <c r="BK422" s="19">
        <f t="shared" si="322"/>
        <v>0</v>
      </c>
    </row>
    <row r="423" spans="1:63">
      <c r="A423" s="165">
        <f t="shared" si="307"/>
        <v>91.056125941136202</v>
      </c>
      <c r="B423" s="69">
        <f t="shared" si="308"/>
        <v>30</v>
      </c>
      <c r="C423" s="70">
        <f t="shared" si="309"/>
        <v>349</v>
      </c>
      <c r="D423" s="13">
        <f t="shared" si="277"/>
        <v>4.8675505653430484E-3</v>
      </c>
      <c r="E423" s="15">
        <f t="shared" si="278"/>
        <v>1</v>
      </c>
      <c r="F423" s="15">
        <f t="shared" si="310"/>
        <v>0</v>
      </c>
      <c r="G423" s="15">
        <f t="shared" si="279"/>
        <v>0</v>
      </c>
      <c r="H423" s="73">
        <f t="shared" si="280"/>
        <v>0</v>
      </c>
      <c r="I423" s="189"/>
      <c r="J423" s="189"/>
      <c r="K423" s="5">
        <f t="shared" si="323"/>
        <v>220542.317120311</v>
      </c>
      <c r="M423" s="5">
        <f t="shared" si="281"/>
        <v>1073.5008803810356</v>
      </c>
      <c r="N423" s="5">
        <f t="shared" si="282"/>
        <v>-364.92948202665769</v>
      </c>
      <c r="O423" s="5">
        <f t="shared" si="283"/>
        <v>0</v>
      </c>
      <c r="P423" s="5">
        <f t="shared" si="284"/>
        <v>0</v>
      </c>
      <c r="Q423" s="5">
        <f t="shared" si="319"/>
        <v>0</v>
      </c>
      <c r="R423" s="5">
        <f t="shared" si="311"/>
        <v>0</v>
      </c>
      <c r="S423" s="5">
        <f t="shared" si="285"/>
        <v>0</v>
      </c>
      <c r="T423" s="5">
        <f t="shared" si="286"/>
        <v>0</v>
      </c>
      <c r="U423" s="74">
        <f t="shared" si="287"/>
        <v>0</v>
      </c>
      <c r="V423" s="75">
        <f t="shared" si="288"/>
        <v>0</v>
      </c>
      <c r="W423" s="5">
        <f t="shared" si="289"/>
        <v>0</v>
      </c>
      <c r="X423" s="5">
        <f t="shared" si="290"/>
        <v>221250.88851866536</v>
      </c>
      <c r="Y423" s="5">
        <f t="shared" si="312"/>
        <v>100000</v>
      </c>
      <c r="Z423" s="215">
        <f t="shared" si="291"/>
        <v>1</v>
      </c>
      <c r="AA423" s="216">
        <f t="shared" si="313"/>
        <v>0</v>
      </c>
      <c r="AB423" s="72">
        <f t="shared" si="320"/>
        <v>50215.72519964027</v>
      </c>
      <c r="AC423" s="72">
        <f t="shared" si="292"/>
        <v>0</v>
      </c>
      <c r="AD423" s="72">
        <f t="shared" si="293"/>
        <v>0</v>
      </c>
      <c r="AE423" s="72">
        <f t="shared" si="314"/>
        <v>-46.072941358895008</v>
      </c>
      <c r="AF423" s="70">
        <f t="shared" si="294"/>
        <v>0</v>
      </c>
      <c r="AG423" s="70">
        <f t="shared" si="295"/>
        <v>14941.588013315879</v>
      </c>
      <c r="AH423" s="1">
        <f t="shared" si="326"/>
        <v>0</v>
      </c>
      <c r="AI423" s="1">
        <f t="shared" si="326"/>
        <v>0</v>
      </c>
      <c r="AJ423" s="1">
        <f t="shared" si="326"/>
        <v>0</v>
      </c>
      <c r="AK423" s="1">
        <f t="shared" si="326"/>
        <v>0</v>
      </c>
      <c r="AL423" s="1">
        <f t="shared" si="326"/>
        <v>0</v>
      </c>
      <c r="AM423" s="1">
        <f t="shared" si="326"/>
        <v>0</v>
      </c>
      <c r="AN423" s="1">
        <f t="shared" si="326"/>
        <v>0</v>
      </c>
      <c r="AO423" s="1">
        <f t="shared" si="326"/>
        <v>0</v>
      </c>
      <c r="AP423" s="1">
        <f t="shared" si="326"/>
        <v>0</v>
      </c>
      <c r="AQ423" s="1">
        <f t="shared" si="326"/>
        <v>1</v>
      </c>
      <c r="AR423" s="1">
        <f t="shared" si="326"/>
        <v>1</v>
      </c>
      <c r="AS423" s="1">
        <f t="shared" si="326"/>
        <v>1</v>
      </c>
      <c r="AT423" s="39">
        <f t="shared" si="297"/>
        <v>221250.88851866536</v>
      </c>
      <c r="AU423" s="39">
        <f t="shared" si="315"/>
        <v>221250.88851866536</v>
      </c>
      <c r="AV423" s="39">
        <f t="shared" si="325"/>
        <v>0</v>
      </c>
      <c r="AW423" s="3">
        <f t="shared" si="298"/>
        <v>349</v>
      </c>
      <c r="AX423" s="69">
        <f t="shared" si="316"/>
        <v>0</v>
      </c>
      <c r="AY423" s="75">
        <f t="shared" si="299"/>
        <v>0</v>
      </c>
      <c r="AZ423" s="75">
        <f t="shared" si="300"/>
        <v>0</v>
      </c>
      <c r="BA423" s="75">
        <f t="shared" si="301"/>
        <v>0</v>
      </c>
      <c r="BB423" s="75">
        <f t="shared" si="302"/>
        <v>0</v>
      </c>
      <c r="BD423" s="214">
        <f t="shared" si="317"/>
        <v>302304.53615458554</v>
      </c>
      <c r="BE423" s="214">
        <f t="shared" si="303"/>
        <v>1471.4826158650208</v>
      </c>
      <c r="BF423" s="214">
        <f t="shared" si="304"/>
        <v>-500.22072513648192</v>
      </c>
      <c r="BG423" s="224">
        <f t="shared" si="321"/>
        <v>0</v>
      </c>
      <c r="BH423" s="19">
        <f t="shared" si="318"/>
        <v>536446.64851931715</v>
      </c>
      <c r="BI423" s="214">
        <f t="shared" si="305"/>
        <v>2611.1811872765857</v>
      </c>
      <c r="BJ423" s="214">
        <f t="shared" si="306"/>
        <v>0</v>
      </c>
      <c r="BK423" s="19">
        <f t="shared" si="322"/>
        <v>0</v>
      </c>
    </row>
    <row r="424" spans="1:63">
      <c r="A424" s="165">
        <f t="shared" si="307"/>
        <v>91.139459274469544</v>
      </c>
      <c r="B424" s="69">
        <f t="shared" si="308"/>
        <v>30</v>
      </c>
      <c r="C424" s="70">
        <f t="shared" si="309"/>
        <v>350</v>
      </c>
      <c r="D424" s="13">
        <f t="shared" si="277"/>
        <v>4.8675505653430484E-3</v>
      </c>
      <c r="E424" s="15">
        <f t="shared" si="278"/>
        <v>1</v>
      </c>
      <c r="F424" s="15">
        <f t="shared" si="310"/>
        <v>0</v>
      </c>
      <c r="G424" s="15">
        <f t="shared" si="279"/>
        <v>0</v>
      </c>
      <c r="H424" s="73">
        <f t="shared" si="280"/>
        <v>0</v>
      </c>
      <c r="I424" s="189"/>
      <c r="J424" s="189"/>
      <c r="K424" s="5">
        <f t="shared" si="323"/>
        <v>221250.88851866536</v>
      </c>
      <c r="M424" s="5">
        <f t="shared" si="281"/>
        <v>1076.9498874916815</v>
      </c>
      <c r="N424" s="5">
        <f t="shared" si="282"/>
        <v>-366.10194904685005</v>
      </c>
      <c r="O424" s="5">
        <f t="shared" si="283"/>
        <v>0</v>
      </c>
      <c r="P424" s="5">
        <f t="shared" si="284"/>
        <v>0</v>
      </c>
      <c r="Q424" s="5">
        <f t="shared" si="319"/>
        <v>0</v>
      </c>
      <c r="R424" s="5">
        <f t="shared" si="311"/>
        <v>0</v>
      </c>
      <c r="S424" s="5">
        <f t="shared" si="285"/>
        <v>0</v>
      </c>
      <c r="T424" s="5">
        <f t="shared" si="286"/>
        <v>0</v>
      </c>
      <c r="U424" s="74">
        <f t="shared" si="287"/>
        <v>0</v>
      </c>
      <c r="V424" s="75">
        <f t="shared" si="288"/>
        <v>0</v>
      </c>
      <c r="W424" s="5">
        <f t="shared" si="289"/>
        <v>0</v>
      </c>
      <c r="X424" s="5">
        <f t="shared" si="290"/>
        <v>221961.73645711018</v>
      </c>
      <c r="Y424" s="5">
        <f t="shared" si="312"/>
        <v>100000</v>
      </c>
      <c r="Z424" s="215">
        <f t="shared" si="291"/>
        <v>1</v>
      </c>
      <c r="AA424" s="216">
        <f t="shared" si="313"/>
        <v>0</v>
      </c>
      <c r="AB424" s="72">
        <f t="shared" si="320"/>
        <v>50215.72519964027</v>
      </c>
      <c r="AC424" s="72">
        <f t="shared" si="292"/>
        <v>0</v>
      </c>
      <c r="AD424" s="72">
        <f t="shared" si="293"/>
        <v>0</v>
      </c>
      <c r="AE424" s="72">
        <f t="shared" si="314"/>
        <v>-46.22096722944557</v>
      </c>
      <c r="AF424" s="70">
        <f t="shared" si="294"/>
        <v>0</v>
      </c>
      <c r="AG424" s="70">
        <f t="shared" si="295"/>
        <v>15211.710229924909</v>
      </c>
      <c r="AH424" s="1">
        <f t="shared" si="326"/>
        <v>0</v>
      </c>
      <c r="AI424" s="1">
        <f t="shared" si="326"/>
        <v>0</v>
      </c>
      <c r="AJ424" s="1">
        <f t="shared" si="326"/>
        <v>0</v>
      </c>
      <c r="AK424" s="1">
        <f t="shared" si="326"/>
        <v>0</v>
      </c>
      <c r="AL424" s="1">
        <f t="shared" si="326"/>
        <v>0</v>
      </c>
      <c r="AM424" s="1">
        <f t="shared" si="326"/>
        <v>0</v>
      </c>
      <c r="AN424" s="1">
        <f t="shared" si="326"/>
        <v>0</v>
      </c>
      <c r="AO424" s="1">
        <f t="shared" si="326"/>
        <v>0</v>
      </c>
      <c r="AP424" s="1">
        <f t="shared" si="326"/>
        <v>0</v>
      </c>
      <c r="AQ424" s="1">
        <f t="shared" si="326"/>
        <v>1</v>
      </c>
      <c r="AR424" s="1">
        <f t="shared" si="326"/>
        <v>1</v>
      </c>
      <c r="AS424" s="1">
        <f t="shared" si="326"/>
        <v>1</v>
      </c>
      <c r="AT424" s="39">
        <f t="shared" si="297"/>
        <v>221961.73645711018</v>
      </c>
      <c r="AU424" s="39">
        <f t="shared" si="315"/>
        <v>221961.73645711018</v>
      </c>
      <c r="AV424" s="39">
        <f t="shared" si="325"/>
        <v>0</v>
      </c>
      <c r="AW424" s="3">
        <f t="shared" si="298"/>
        <v>350</v>
      </c>
      <c r="AX424" s="69">
        <f t="shared" si="316"/>
        <v>0</v>
      </c>
      <c r="AY424" s="75">
        <f t="shared" si="299"/>
        <v>0</v>
      </c>
      <c r="AZ424" s="75">
        <f t="shared" si="300"/>
        <v>0</v>
      </c>
      <c r="BA424" s="75">
        <f t="shared" si="301"/>
        <v>0</v>
      </c>
      <c r="BB424" s="75">
        <f t="shared" si="302"/>
        <v>0</v>
      </c>
      <c r="BD424" s="214">
        <f t="shared" si="317"/>
        <v>303275.79804531409</v>
      </c>
      <c r="BE424" s="214">
        <f t="shared" si="303"/>
        <v>1476.2102822303327</v>
      </c>
      <c r="BF424" s="214">
        <f t="shared" si="304"/>
        <v>-501.82786386307123</v>
      </c>
      <c r="BG424" s="224">
        <f t="shared" si="321"/>
        <v>0</v>
      </c>
      <c r="BH424" s="19">
        <f t="shared" si="318"/>
        <v>539057.82970659377</v>
      </c>
      <c r="BI424" s="214">
        <f t="shared" si="305"/>
        <v>2623.8912437409272</v>
      </c>
      <c r="BJ424" s="214">
        <f t="shared" si="306"/>
        <v>0</v>
      </c>
      <c r="BK424" s="19">
        <f t="shared" si="322"/>
        <v>0</v>
      </c>
    </row>
    <row r="425" spans="1:63">
      <c r="A425" s="165">
        <f t="shared" si="307"/>
        <v>91.222792607802873</v>
      </c>
      <c r="B425" s="69">
        <f t="shared" si="308"/>
        <v>30</v>
      </c>
      <c r="C425" s="70">
        <f t="shared" si="309"/>
        <v>351</v>
      </c>
      <c r="D425" s="13">
        <f t="shared" si="277"/>
        <v>4.8675505653430484E-3</v>
      </c>
      <c r="E425" s="15">
        <f t="shared" si="278"/>
        <v>1</v>
      </c>
      <c r="F425" s="15">
        <f t="shared" si="310"/>
        <v>0</v>
      </c>
      <c r="G425" s="15">
        <f t="shared" si="279"/>
        <v>0</v>
      </c>
      <c r="H425" s="73">
        <f t="shared" si="280"/>
        <v>0</v>
      </c>
      <c r="I425" s="189"/>
      <c r="J425" s="189"/>
      <c r="K425" s="5">
        <f t="shared" si="323"/>
        <v>221961.73645711018</v>
      </c>
      <c r="M425" s="5">
        <f t="shared" si="281"/>
        <v>1080.4099757763313</v>
      </c>
      <c r="N425" s="5">
        <f t="shared" si="282"/>
        <v>-367.2781830384194</v>
      </c>
      <c r="O425" s="5">
        <f t="shared" si="283"/>
        <v>0</v>
      </c>
      <c r="P425" s="5">
        <f t="shared" si="284"/>
        <v>0</v>
      </c>
      <c r="Q425" s="5">
        <f t="shared" si="319"/>
        <v>0</v>
      </c>
      <c r="R425" s="5">
        <f t="shared" si="311"/>
        <v>0</v>
      </c>
      <c r="S425" s="5">
        <f t="shared" si="285"/>
        <v>0</v>
      </c>
      <c r="T425" s="5">
        <f t="shared" si="286"/>
        <v>0</v>
      </c>
      <c r="U425" s="74">
        <f t="shared" si="287"/>
        <v>0</v>
      </c>
      <c r="V425" s="75">
        <f t="shared" si="288"/>
        <v>0</v>
      </c>
      <c r="W425" s="5">
        <f t="shared" si="289"/>
        <v>0</v>
      </c>
      <c r="X425" s="5">
        <f t="shared" si="290"/>
        <v>222674.86824984808</v>
      </c>
      <c r="Y425" s="5">
        <f t="shared" si="312"/>
        <v>100000</v>
      </c>
      <c r="Z425" s="215">
        <f t="shared" si="291"/>
        <v>1</v>
      </c>
      <c r="AA425" s="216">
        <f t="shared" si="313"/>
        <v>0</v>
      </c>
      <c r="AB425" s="72">
        <f t="shared" si="320"/>
        <v>50215.72519964027</v>
      </c>
      <c r="AC425" s="72">
        <f t="shared" si="292"/>
        <v>0</v>
      </c>
      <c r="AD425" s="72">
        <f t="shared" si="293"/>
        <v>0</v>
      </c>
      <c r="AE425" s="72">
        <f t="shared" si="314"/>
        <v>-46.369468686266636</v>
      </c>
      <c r="AF425" s="70">
        <f t="shared" si="294"/>
        <v>0</v>
      </c>
      <c r="AG425" s="70">
        <f t="shared" si="295"/>
        <v>15482.700311165296</v>
      </c>
      <c r="AH425" s="1">
        <f t="shared" ref="AH425:AS434" si="327">IF($B425&lt;=AH$74,1,0)</f>
        <v>0</v>
      </c>
      <c r="AI425" s="1">
        <f t="shared" si="327"/>
        <v>0</v>
      </c>
      <c r="AJ425" s="1">
        <f t="shared" si="327"/>
        <v>0</v>
      </c>
      <c r="AK425" s="1">
        <f t="shared" si="327"/>
        <v>0</v>
      </c>
      <c r="AL425" s="1">
        <f t="shared" si="327"/>
        <v>0</v>
      </c>
      <c r="AM425" s="1">
        <f t="shared" si="327"/>
        <v>0</v>
      </c>
      <c r="AN425" s="1">
        <f t="shared" si="327"/>
        <v>0</v>
      </c>
      <c r="AO425" s="1">
        <f t="shared" si="327"/>
        <v>0</v>
      </c>
      <c r="AP425" s="1">
        <f t="shared" si="327"/>
        <v>0</v>
      </c>
      <c r="AQ425" s="1">
        <f t="shared" si="327"/>
        <v>1</v>
      </c>
      <c r="AR425" s="1">
        <f t="shared" si="327"/>
        <v>1</v>
      </c>
      <c r="AS425" s="1">
        <f t="shared" si="327"/>
        <v>1</v>
      </c>
      <c r="AT425" s="39">
        <f t="shared" si="297"/>
        <v>222674.86824984808</v>
      </c>
      <c r="AU425" s="39">
        <f t="shared" si="315"/>
        <v>222674.86824984808</v>
      </c>
      <c r="AV425" s="39">
        <f t="shared" si="325"/>
        <v>0</v>
      </c>
      <c r="AW425" s="3">
        <f t="shared" si="298"/>
        <v>351</v>
      </c>
      <c r="AX425" s="69">
        <f t="shared" si="316"/>
        <v>0</v>
      </c>
      <c r="AY425" s="75">
        <f t="shared" si="299"/>
        <v>0</v>
      </c>
      <c r="AZ425" s="75">
        <f t="shared" si="300"/>
        <v>0</v>
      </c>
      <c r="BA425" s="75">
        <f t="shared" si="301"/>
        <v>0</v>
      </c>
      <c r="BB425" s="75">
        <f t="shared" si="302"/>
        <v>0</v>
      </c>
      <c r="BD425" s="214">
        <f t="shared" si="317"/>
        <v>304250.18046368135</v>
      </c>
      <c r="BE425" s="214">
        <f t="shared" si="303"/>
        <v>1480.9531379217167</v>
      </c>
      <c r="BF425" s="214">
        <f t="shared" si="304"/>
        <v>-503.44016610000057</v>
      </c>
      <c r="BG425" s="224">
        <f t="shared" si="321"/>
        <v>0</v>
      </c>
      <c r="BH425" s="19">
        <f t="shared" si="318"/>
        <v>541681.72095033468</v>
      </c>
      <c r="BI425" s="214">
        <f t="shared" si="305"/>
        <v>2636.6631670477968</v>
      </c>
      <c r="BJ425" s="214">
        <f t="shared" si="306"/>
        <v>0</v>
      </c>
      <c r="BK425" s="19">
        <f t="shared" si="322"/>
        <v>0</v>
      </c>
    </row>
    <row r="426" spans="1:63">
      <c r="A426" s="165">
        <f t="shared" si="307"/>
        <v>91.306125941136202</v>
      </c>
      <c r="B426" s="69">
        <f t="shared" si="308"/>
        <v>30</v>
      </c>
      <c r="C426" s="70">
        <f t="shared" si="309"/>
        <v>352</v>
      </c>
      <c r="D426" s="13">
        <f t="shared" si="277"/>
        <v>4.8675505653430484E-3</v>
      </c>
      <c r="E426" s="15">
        <f t="shared" si="278"/>
        <v>1</v>
      </c>
      <c r="F426" s="15">
        <f t="shared" si="310"/>
        <v>0</v>
      </c>
      <c r="G426" s="15">
        <f t="shared" si="279"/>
        <v>0</v>
      </c>
      <c r="H426" s="73">
        <f t="shared" si="280"/>
        <v>0</v>
      </c>
      <c r="I426" s="189"/>
      <c r="J426" s="189"/>
      <c r="K426" s="5">
        <f t="shared" si="323"/>
        <v>222674.86824984808</v>
      </c>
      <c r="M426" s="5">
        <f t="shared" si="281"/>
        <v>1083.8811808372368</v>
      </c>
      <c r="N426" s="5">
        <f t="shared" si="282"/>
        <v>-368.45819610411422</v>
      </c>
      <c r="O426" s="5">
        <f t="shared" si="283"/>
        <v>0</v>
      </c>
      <c r="P426" s="5">
        <f t="shared" si="284"/>
        <v>0</v>
      </c>
      <c r="Q426" s="5">
        <f t="shared" si="319"/>
        <v>0</v>
      </c>
      <c r="R426" s="5">
        <f t="shared" si="311"/>
        <v>0</v>
      </c>
      <c r="S426" s="5">
        <f t="shared" si="285"/>
        <v>0</v>
      </c>
      <c r="T426" s="5">
        <f t="shared" si="286"/>
        <v>0</v>
      </c>
      <c r="U426" s="74">
        <f t="shared" si="287"/>
        <v>0</v>
      </c>
      <c r="V426" s="75">
        <f t="shared" si="288"/>
        <v>0</v>
      </c>
      <c r="W426" s="5">
        <f t="shared" si="289"/>
        <v>0</v>
      </c>
      <c r="X426" s="5">
        <f t="shared" si="290"/>
        <v>223390.29123458118</v>
      </c>
      <c r="Y426" s="5">
        <f t="shared" si="312"/>
        <v>100000</v>
      </c>
      <c r="Z426" s="215">
        <f t="shared" si="291"/>
        <v>1</v>
      </c>
      <c r="AA426" s="216">
        <f t="shared" si="313"/>
        <v>0</v>
      </c>
      <c r="AB426" s="72">
        <f t="shared" si="320"/>
        <v>50215.72519964027</v>
      </c>
      <c r="AC426" s="72">
        <f t="shared" si="292"/>
        <v>0</v>
      </c>
      <c r="AD426" s="72">
        <f t="shared" si="293"/>
        <v>0</v>
      </c>
      <c r="AE426" s="72">
        <f t="shared" si="314"/>
        <v>-46.518447257349898</v>
      </c>
      <c r="AF426" s="70">
        <f t="shared" si="294"/>
        <v>0</v>
      </c>
      <c r="AG426" s="70">
        <f t="shared" si="295"/>
        <v>15754.561045363887</v>
      </c>
      <c r="AH426" s="1">
        <f t="shared" si="327"/>
        <v>0</v>
      </c>
      <c r="AI426" s="1">
        <f t="shared" si="327"/>
        <v>0</v>
      </c>
      <c r="AJ426" s="1">
        <f t="shared" si="327"/>
        <v>0</v>
      </c>
      <c r="AK426" s="1">
        <f t="shared" si="327"/>
        <v>0</v>
      </c>
      <c r="AL426" s="1">
        <f t="shared" si="327"/>
        <v>0</v>
      </c>
      <c r="AM426" s="1">
        <f t="shared" si="327"/>
        <v>0</v>
      </c>
      <c r="AN426" s="1">
        <f t="shared" si="327"/>
        <v>0</v>
      </c>
      <c r="AO426" s="1">
        <f t="shared" si="327"/>
        <v>0</v>
      </c>
      <c r="AP426" s="1">
        <f t="shared" si="327"/>
        <v>0</v>
      </c>
      <c r="AQ426" s="1">
        <f t="shared" si="327"/>
        <v>1</v>
      </c>
      <c r="AR426" s="1">
        <f t="shared" si="327"/>
        <v>1</v>
      </c>
      <c r="AS426" s="1">
        <f t="shared" si="327"/>
        <v>1</v>
      </c>
      <c r="AT426" s="39">
        <f t="shared" si="297"/>
        <v>223390.29123458118</v>
      </c>
      <c r="AU426" s="39">
        <f t="shared" si="315"/>
        <v>223390.29123458118</v>
      </c>
      <c r="AV426" s="39">
        <f t="shared" si="325"/>
        <v>0</v>
      </c>
      <c r="AW426" s="3">
        <f t="shared" si="298"/>
        <v>352</v>
      </c>
      <c r="AX426" s="69">
        <f t="shared" si="316"/>
        <v>0</v>
      </c>
      <c r="AY426" s="75">
        <f t="shared" si="299"/>
        <v>0</v>
      </c>
      <c r="AZ426" s="75">
        <f t="shared" si="300"/>
        <v>0</v>
      </c>
      <c r="BA426" s="75">
        <f t="shared" si="301"/>
        <v>0</v>
      </c>
      <c r="BB426" s="75">
        <f t="shared" si="302"/>
        <v>0</v>
      </c>
      <c r="BD426" s="214">
        <f t="shared" si="317"/>
        <v>305227.69343550305</v>
      </c>
      <c r="BE426" s="214">
        <f t="shared" si="303"/>
        <v>1485.7112317403376</v>
      </c>
      <c r="BF426" s="214">
        <f t="shared" si="304"/>
        <v>-505.0576484369011</v>
      </c>
      <c r="BG426" s="224">
        <f t="shared" si="321"/>
        <v>0</v>
      </c>
      <c r="BH426" s="19">
        <f t="shared" si="318"/>
        <v>544318.38411738246</v>
      </c>
      <c r="BI426" s="214">
        <f t="shared" si="305"/>
        <v>2649.4972583371796</v>
      </c>
      <c r="BJ426" s="214">
        <f t="shared" si="306"/>
        <v>0</v>
      </c>
      <c r="BK426" s="19">
        <f t="shared" si="322"/>
        <v>0</v>
      </c>
    </row>
    <row r="427" spans="1:63">
      <c r="A427" s="165">
        <f t="shared" si="307"/>
        <v>91.389459274469544</v>
      </c>
      <c r="B427" s="69">
        <f t="shared" si="308"/>
        <v>30</v>
      </c>
      <c r="C427" s="70">
        <f t="shared" si="309"/>
        <v>353</v>
      </c>
      <c r="D427" s="13">
        <f t="shared" si="277"/>
        <v>4.8675505653430484E-3</v>
      </c>
      <c r="E427" s="15">
        <f t="shared" si="278"/>
        <v>1</v>
      </c>
      <c r="F427" s="15">
        <f t="shared" si="310"/>
        <v>0</v>
      </c>
      <c r="G427" s="15">
        <f t="shared" si="279"/>
        <v>0</v>
      </c>
      <c r="H427" s="73">
        <f t="shared" si="280"/>
        <v>0</v>
      </c>
      <c r="I427" s="189"/>
      <c r="J427" s="189"/>
      <c r="K427" s="5">
        <f t="shared" si="323"/>
        <v>223390.29123458118</v>
      </c>
      <c r="M427" s="5">
        <f t="shared" si="281"/>
        <v>1087.3635383910339</v>
      </c>
      <c r="N427" s="5">
        <f t="shared" si="282"/>
        <v>-369.64200038556737</v>
      </c>
      <c r="O427" s="5">
        <f t="shared" si="283"/>
        <v>0</v>
      </c>
      <c r="P427" s="5">
        <f t="shared" si="284"/>
        <v>0</v>
      </c>
      <c r="Q427" s="5">
        <f t="shared" si="319"/>
        <v>0</v>
      </c>
      <c r="R427" s="5">
        <f t="shared" si="311"/>
        <v>0</v>
      </c>
      <c r="S427" s="5">
        <f t="shared" si="285"/>
        <v>0</v>
      </c>
      <c r="T427" s="5">
        <f t="shared" si="286"/>
        <v>0</v>
      </c>
      <c r="U427" s="74">
        <f t="shared" si="287"/>
        <v>0</v>
      </c>
      <c r="V427" s="75">
        <f t="shared" si="288"/>
        <v>0</v>
      </c>
      <c r="W427" s="5">
        <f t="shared" si="289"/>
        <v>0</v>
      </c>
      <c r="X427" s="5">
        <f t="shared" si="290"/>
        <v>224108.01277258666</v>
      </c>
      <c r="Y427" s="5">
        <f t="shared" si="312"/>
        <v>100000</v>
      </c>
      <c r="Z427" s="215">
        <f t="shared" si="291"/>
        <v>1</v>
      </c>
      <c r="AA427" s="216">
        <f t="shared" si="313"/>
        <v>0</v>
      </c>
      <c r="AB427" s="72">
        <f t="shared" si="320"/>
        <v>50215.72519964027</v>
      </c>
      <c r="AC427" s="72">
        <f t="shared" si="292"/>
        <v>0</v>
      </c>
      <c r="AD427" s="72">
        <f t="shared" si="293"/>
        <v>0</v>
      </c>
      <c r="AE427" s="72">
        <f t="shared" si="314"/>
        <v>-46.667904475596281</v>
      </c>
      <c r="AF427" s="70">
        <f t="shared" si="294"/>
        <v>0</v>
      </c>
      <c r="AG427" s="70">
        <f t="shared" si="295"/>
        <v>16027.295229805961</v>
      </c>
      <c r="AH427" s="1">
        <f t="shared" si="327"/>
        <v>0</v>
      </c>
      <c r="AI427" s="1">
        <f t="shared" si="327"/>
        <v>0</v>
      </c>
      <c r="AJ427" s="1">
        <f t="shared" si="327"/>
        <v>0</v>
      </c>
      <c r="AK427" s="1">
        <f t="shared" si="327"/>
        <v>0</v>
      </c>
      <c r="AL427" s="1">
        <f t="shared" si="327"/>
        <v>0</v>
      </c>
      <c r="AM427" s="1">
        <f t="shared" si="327"/>
        <v>0</v>
      </c>
      <c r="AN427" s="1">
        <f t="shared" si="327"/>
        <v>0</v>
      </c>
      <c r="AO427" s="1">
        <f t="shared" si="327"/>
        <v>0</v>
      </c>
      <c r="AP427" s="1">
        <f t="shared" si="327"/>
        <v>0</v>
      </c>
      <c r="AQ427" s="1">
        <f t="shared" si="327"/>
        <v>1</v>
      </c>
      <c r="AR427" s="1">
        <f t="shared" si="327"/>
        <v>1</v>
      </c>
      <c r="AS427" s="1">
        <f t="shared" si="327"/>
        <v>1</v>
      </c>
      <c r="AT427" s="39">
        <f t="shared" si="297"/>
        <v>224108.01277258666</v>
      </c>
      <c r="AU427" s="39">
        <f t="shared" si="315"/>
        <v>224108.01277258666</v>
      </c>
      <c r="AV427" s="39">
        <f t="shared" si="325"/>
        <v>0</v>
      </c>
      <c r="AW427" s="3">
        <f t="shared" si="298"/>
        <v>353</v>
      </c>
      <c r="AX427" s="69">
        <f t="shared" si="316"/>
        <v>0</v>
      </c>
      <c r="AY427" s="75">
        <f t="shared" si="299"/>
        <v>0</v>
      </c>
      <c r="AZ427" s="75">
        <f t="shared" si="300"/>
        <v>0</v>
      </c>
      <c r="BA427" s="75">
        <f t="shared" si="301"/>
        <v>0</v>
      </c>
      <c r="BB427" s="75">
        <f t="shared" si="302"/>
        <v>0</v>
      </c>
      <c r="BD427" s="214">
        <f t="shared" si="317"/>
        <v>306208.3470188065</v>
      </c>
      <c r="BE427" s="214">
        <f t="shared" si="303"/>
        <v>1490.4846126441519</v>
      </c>
      <c r="BF427" s="214">
        <f t="shared" si="304"/>
        <v>-506.68032751670461</v>
      </c>
      <c r="BG427" s="224">
        <f t="shared" si="321"/>
        <v>0</v>
      </c>
      <c r="BH427" s="19">
        <f t="shared" si="318"/>
        <v>546967.88137571968</v>
      </c>
      <c r="BI427" s="214">
        <f t="shared" si="305"/>
        <v>2662.3938202148738</v>
      </c>
      <c r="BJ427" s="214">
        <f t="shared" si="306"/>
        <v>0</v>
      </c>
      <c r="BK427" s="19">
        <f t="shared" si="322"/>
        <v>0</v>
      </c>
    </row>
    <row r="428" spans="1:63">
      <c r="A428" s="165">
        <f t="shared" si="307"/>
        <v>91.472792607802873</v>
      </c>
      <c r="B428" s="69">
        <f t="shared" si="308"/>
        <v>30</v>
      </c>
      <c r="C428" s="70">
        <f t="shared" si="309"/>
        <v>354</v>
      </c>
      <c r="D428" s="13">
        <f t="shared" si="277"/>
        <v>4.8675505653430484E-3</v>
      </c>
      <c r="E428" s="15">
        <f t="shared" si="278"/>
        <v>1</v>
      </c>
      <c r="F428" s="15">
        <f t="shared" si="310"/>
        <v>0</v>
      </c>
      <c r="G428" s="15">
        <f t="shared" si="279"/>
        <v>0</v>
      </c>
      <c r="H428" s="73">
        <f t="shared" si="280"/>
        <v>0</v>
      </c>
      <c r="I428" s="189"/>
      <c r="J428" s="189"/>
      <c r="K428" s="5">
        <f t="shared" si="323"/>
        <v>224108.01277258666</v>
      </c>
      <c r="M428" s="5">
        <f t="shared" si="281"/>
        <v>1090.8570842691113</v>
      </c>
      <c r="N428" s="5">
        <f t="shared" si="282"/>
        <v>-370.82960806342101</v>
      </c>
      <c r="O428" s="5">
        <f t="shared" si="283"/>
        <v>0</v>
      </c>
      <c r="P428" s="5">
        <f t="shared" si="284"/>
        <v>0</v>
      </c>
      <c r="Q428" s="5">
        <f t="shared" si="319"/>
        <v>0</v>
      </c>
      <c r="R428" s="5">
        <f t="shared" si="311"/>
        <v>0</v>
      </c>
      <c r="S428" s="5">
        <f t="shared" si="285"/>
        <v>0</v>
      </c>
      <c r="T428" s="5">
        <f t="shared" si="286"/>
        <v>0</v>
      </c>
      <c r="U428" s="74">
        <f t="shared" si="287"/>
        <v>0</v>
      </c>
      <c r="V428" s="75">
        <f t="shared" si="288"/>
        <v>0</v>
      </c>
      <c r="W428" s="5">
        <f t="shared" si="289"/>
        <v>0</v>
      </c>
      <c r="X428" s="5">
        <f t="shared" si="290"/>
        <v>224828.04024879236</v>
      </c>
      <c r="Y428" s="5">
        <f t="shared" si="312"/>
        <v>100000</v>
      </c>
      <c r="Z428" s="215">
        <f t="shared" si="291"/>
        <v>1</v>
      </c>
      <c r="AA428" s="216">
        <f t="shared" si="313"/>
        <v>0</v>
      </c>
      <c r="AB428" s="72">
        <f t="shared" si="320"/>
        <v>50215.72519964027</v>
      </c>
      <c r="AC428" s="72">
        <f t="shared" si="292"/>
        <v>0</v>
      </c>
      <c r="AD428" s="72">
        <f t="shared" si="293"/>
        <v>0</v>
      </c>
      <c r="AE428" s="72">
        <f t="shared" si="314"/>
        <v>-46.817841878831707</v>
      </c>
      <c r="AF428" s="70">
        <f t="shared" si="294"/>
        <v>0</v>
      </c>
      <c r="AG428" s="70">
        <f t="shared" si="295"/>
        <v>16300.905670764136</v>
      </c>
      <c r="AH428" s="1">
        <f t="shared" si="327"/>
        <v>0</v>
      </c>
      <c r="AI428" s="1">
        <f t="shared" si="327"/>
        <v>0</v>
      </c>
      <c r="AJ428" s="1">
        <f t="shared" si="327"/>
        <v>0</v>
      </c>
      <c r="AK428" s="1">
        <f t="shared" si="327"/>
        <v>0</v>
      </c>
      <c r="AL428" s="1">
        <f t="shared" si="327"/>
        <v>0</v>
      </c>
      <c r="AM428" s="1">
        <f t="shared" si="327"/>
        <v>0</v>
      </c>
      <c r="AN428" s="1">
        <f t="shared" si="327"/>
        <v>0</v>
      </c>
      <c r="AO428" s="1">
        <f t="shared" si="327"/>
        <v>0</v>
      </c>
      <c r="AP428" s="1">
        <f t="shared" si="327"/>
        <v>0</v>
      </c>
      <c r="AQ428" s="1">
        <f t="shared" si="327"/>
        <v>1</v>
      </c>
      <c r="AR428" s="1">
        <f t="shared" si="327"/>
        <v>1</v>
      </c>
      <c r="AS428" s="1">
        <f t="shared" si="327"/>
        <v>1</v>
      </c>
      <c r="AT428" s="39">
        <f t="shared" si="297"/>
        <v>224828.04024879236</v>
      </c>
      <c r="AU428" s="39">
        <f t="shared" si="315"/>
        <v>224828.04024879236</v>
      </c>
      <c r="AV428" s="39">
        <f t="shared" si="325"/>
        <v>0</v>
      </c>
      <c r="AW428" s="3">
        <f t="shared" si="298"/>
        <v>354</v>
      </c>
      <c r="AX428" s="69">
        <f t="shared" si="316"/>
        <v>0</v>
      </c>
      <c r="AY428" s="75">
        <f t="shared" si="299"/>
        <v>0</v>
      </c>
      <c r="AZ428" s="75">
        <f t="shared" si="300"/>
        <v>0</v>
      </c>
      <c r="BA428" s="75">
        <f t="shared" si="301"/>
        <v>0</v>
      </c>
      <c r="BB428" s="75">
        <f t="shared" si="302"/>
        <v>0</v>
      </c>
      <c r="BD428" s="214">
        <f t="shared" si="317"/>
        <v>307192.15130393393</v>
      </c>
      <c r="BE428" s="214">
        <f t="shared" si="303"/>
        <v>1495.2733297484108</v>
      </c>
      <c r="BF428" s="214">
        <f t="shared" si="304"/>
        <v>-508.3082200358138</v>
      </c>
      <c r="BG428" s="224">
        <f t="shared" si="321"/>
        <v>0</v>
      </c>
      <c r="BH428" s="19">
        <f t="shared" si="318"/>
        <v>549630.27519593458</v>
      </c>
      <c r="BI428" s="214">
        <f t="shared" si="305"/>
        <v>2675.3531567596265</v>
      </c>
      <c r="BJ428" s="214">
        <f t="shared" si="306"/>
        <v>0</v>
      </c>
      <c r="BK428" s="19">
        <f t="shared" si="322"/>
        <v>0</v>
      </c>
    </row>
    <row r="429" spans="1:63">
      <c r="A429" s="165">
        <f t="shared" si="307"/>
        <v>91.556125941136202</v>
      </c>
      <c r="B429" s="69">
        <f t="shared" si="308"/>
        <v>30</v>
      </c>
      <c r="C429" s="70">
        <f t="shared" si="309"/>
        <v>355</v>
      </c>
      <c r="D429" s="13">
        <f t="shared" si="277"/>
        <v>4.8675505653430484E-3</v>
      </c>
      <c r="E429" s="15">
        <f t="shared" si="278"/>
        <v>1</v>
      </c>
      <c r="F429" s="15">
        <f t="shared" si="310"/>
        <v>0</v>
      </c>
      <c r="G429" s="15">
        <f t="shared" si="279"/>
        <v>0</v>
      </c>
      <c r="H429" s="73">
        <f t="shared" si="280"/>
        <v>0</v>
      </c>
      <c r="I429" s="189"/>
      <c r="J429" s="189"/>
      <c r="K429" s="5">
        <f t="shared" si="323"/>
        <v>224828.04024879236</v>
      </c>
      <c r="M429" s="5">
        <f t="shared" si="281"/>
        <v>1094.361854417979</v>
      </c>
      <c r="N429" s="5">
        <f t="shared" si="282"/>
        <v>-372.02103135745205</v>
      </c>
      <c r="O429" s="5">
        <f t="shared" si="283"/>
        <v>0</v>
      </c>
      <c r="P429" s="5">
        <f t="shared" si="284"/>
        <v>0</v>
      </c>
      <c r="Q429" s="5">
        <f t="shared" si="319"/>
        <v>0</v>
      </c>
      <c r="R429" s="5">
        <f t="shared" si="311"/>
        <v>0</v>
      </c>
      <c r="S429" s="5">
        <f t="shared" si="285"/>
        <v>0</v>
      </c>
      <c r="T429" s="5">
        <f t="shared" si="286"/>
        <v>0</v>
      </c>
      <c r="U429" s="74">
        <f t="shared" si="287"/>
        <v>0</v>
      </c>
      <c r="V429" s="75">
        <f t="shared" si="288"/>
        <v>0</v>
      </c>
      <c r="W429" s="5">
        <f t="shared" si="289"/>
        <v>0</v>
      </c>
      <c r="X429" s="5">
        <f t="shared" si="290"/>
        <v>225550.38107185287</v>
      </c>
      <c r="Y429" s="5">
        <f t="shared" si="312"/>
        <v>100000</v>
      </c>
      <c r="Z429" s="215">
        <f t="shared" si="291"/>
        <v>1</v>
      </c>
      <c r="AA429" s="216">
        <f t="shared" si="313"/>
        <v>0</v>
      </c>
      <c r="AB429" s="72">
        <f t="shared" si="320"/>
        <v>50215.72519964027</v>
      </c>
      <c r="AC429" s="72">
        <f t="shared" si="292"/>
        <v>0</v>
      </c>
      <c r="AD429" s="72">
        <f t="shared" si="293"/>
        <v>0</v>
      </c>
      <c r="AE429" s="72">
        <f t="shared" si="314"/>
        <v>-46.968261009822889</v>
      </c>
      <c r="AF429" s="70">
        <f t="shared" si="294"/>
        <v>0</v>
      </c>
      <c r="AG429" s="70">
        <f t="shared" si="295"/>
        <v>16575.395183527122</v>
      </c>
      <c r="AH429" s="1">
        <f t="shared" si="327"/>
        <v>0</v>
      </c>
      <c r="AI429" s="1">
        <f t="shared" si="327"/>
        <v>0</v>
      </c>
      <c r="AJ429" s="1">
        <f t="shared" si="327"/>
        <v>0</v>
      </c>
      <c r="AK429" s="1">
        <f t="shared" si="327"/>
        <v>0</v>
      </c>
      <c r="AL429" s="1">
        <f t="shared" si="327"/>
        <v>0</v>
      </c>
      <c r="AM429" s="1">
        <f t="shared" si="327"/>
        <v>0</v>
      </c>
      <c r="AN429" s="1">
        <f t="shared" si="327"/>
        <v>0</v>
      </c>
      <c r="AO429" s="1">
        <f t="shared" si="327"/>
        <v>0</v>
      </c>
      <c r="AP429" s="1">
        <f t="shared" si="327"/>
        <v>0</v>
      </c>
      <c r="AQ429" s="1">
        <f t="shared" si="327"/>
        <v>1</v>
      </c>
      <c r="AR429" s="1">
        <f t="shared" si="327"/>
        <v>1</v>
      </c>
      <c r="AS429" s="1">
        <f t="shared" si="327"/>
        <v>1</v>
      </c>
      <c r="AT429" s="39">
        <f t="shared" si="297"/>
        <v>225550.38107185287</v>
      </c>
      <c r="AU429" s="39">
        <f t="shared" si="315"/>
        <v>225550.38107185287</v>
      </c>
      <c r="AV429" s="39">
        <f t="shared" si="325"/>
        <v>0</v>
      </c>
      <c r="AW429" s="3">
        <f t="shared" si="298"/>
        <v>355</v>
      </c>
      <c r="AX429" s="69">
        <f t="shared" si="316"/>
        <v>0</v>
      </c>
      <c r="AY429" s="75">
        <f t="shared" si="299"/>
        <v>0</v>
      </c>
      <c r="AZ429" s="75">
        <f t="shared" si="300"/>
        <v>0</v>
      </c>
      <c r="BA429" s="75">
        <f t="shared" si="301"/>
        <v>0</v>
      </c>
      <c r="BB429" s="75">
        <f t="shared" si="302"/>
        <v>0</v>
      </c>
      <c r="BD429" s="214">
        <f t="shared" si="317"/>
        <v>308179.11641364655</v>
      </c>
      <c r="BE429" s="214">
        <f t="shared" si="303"/>
        <v>1500.0774323261664</v>
      </c>
      <c r="BF429" s="214">
        <f t="shared" si="304"/>
        <v>-509.94134274427489</v>
      </c>
      <c r="BG429" s="224">
        <f t="shared" si="321"/>
        <v>0</v>
      </c>
      <c r="BH429" s="19">
        <f t="shared" si="318"/>
        <v>552305.62835269421</v>
      </c>
      <c r="BI429" s="214">
        <f t="shared" si="305"/>
        <v>2688.3755735303043</v>
      </c>
      <c r="BJ429" s="214">
        <f t="shared" si="306"/>
        <v>0</v>
      </c>
      <c r="BK429" s="19">
        <f t="shared" si="322"/>
        <v>0</v>
      </c>
    </row>
    <row r="430" spans="1:63">
      <c r="A430" s="165">
        <f t="shared" si="307"/>
        <v>91.639459274469544</v>
      </c>
      <c r="B430" s="69">
        <f t="shared" si="308"/>
        <v>30</v>
      </c>
      <c r="C430" s="70">
        <f t="shared" si="309"/>
        <v>356</v>
      </c>
      <c r="D430" s="13">
        <f t="shared" si="277"/>
        <v>4.8675505653430484E-3</v>
      </c>
      <c r="E430" s="15">
        <f t="shared" si="278"/>
        <v>1</v>
      </c>
      <c r="F430" s="15">
        <f t="shared" si="310"/>
        <v>0</v>
      </c>
      <c r="G430" s="15">
        <f t="shared" si="279"/>
        <v>0</v>
      </c>
      <c r="H430" s="73">
        <f t="shared" si="280"/>
        <v>0</v>
      </c>
      <c r="I430" s="189"/>
      <c r="J430" s="189"/>
      <c r="K430" s="5">
        <f t="shared" si="323"/>
        <v>225550.38107185287</v>
      </c>
      <c r="M430" s="5">
        <f t="shared" si="281"/>
        <v>1097.8778848996374</v>
      </c>
      <c r="N430" s="5">
        <f t="shared" si="282"/>
        <v>-373.21628252669757</v>
      </c>
      <c r="O430" s="5">
        <f t="shared" si="283"/>
        <v>0</v>
      </c>
      <c r="P430" s="5">
        <f t="shared" si="284"/>
        <v>0</v>
      </c>
      <c r="Q430" s="5">
        <f t="shared" si="319"/>
        <v>0</v>
      </c>
      <c r="R430" s="5">
        <f t="shared" si="311"/>
        <v>0</v>
      </c>
      <c r="S430" s="5">
        <f t="shared" si="285"/>
        <v>0</v>
      </c>
      <c r="T430" s="5">
        <f t="shared" si="286"/>
        <v>0</v>
      </c>
      <c r="U430" s="74">
        <f t="shared" si="287"/>
        <v>0</v>
      </c>
      <c r="V430" s="75">
        <f t="shared" si="288"/>
        <v>0</v>
      </c>
      <c r="W430" s="5">
        <f t="shared" si="289"/>
        <v>0</v>
      </c>
      <c r="X430" s="5">
        <f t="shared" si="290"/>
        <v>226275.04267422581</v>
      </c>
      <c r="Y430" s="5">
        <f t="shared" si="312"/>
        <v>100000</v>
      </c>
      <c r="Z430" s="215">
        <f t="shared" si="291"/>
        <v>1</v>
      </c>
      <c r="AA430" s="216">
        <f t="shared" si="313"/>
        <v>0</v>
      </c>
      <c r="AB430" s="72">
        <f t="shared" si="320"/>
        <v>50215.72519964027</v>
      </c>
      <c r="AC430" s="72">
        <f t="shared" si="292"/>
        <v>0</v>
      </c>
      <c r="AD430" s="72">
        <f t="shared" si="293"/>
        <v>0</v>
      </c>
      <c r="AE430" s="72">
        <f t="shared" si="314"/>
        <v>-47.11916341629324</v>
      </c>
      <c r="AF430" s="70">
        <f t="shared" si="294"/>
        <v>0</v>
      </c>
      <c r="AG430" s="70">
        <f t="shared" si="295"/>
        <v>16850.766592428838</v>
      </c>
      <c r="AH430" s="1">
        <f t="shared" si="327"/>
        <v>0</v>
      </c>
      <c r="AI430" s="1">
        <f t="shared" si="327"/>
        <v>0</v>
      </c>
      <c r="AJ430" s="1">
        <f t="shared" si="327"/>
        <v>0</v>
      </c>
      <c r="AK430" s="1">
        <f t="shared" si="327"/>
        <v>0</v>
      </c>
      <c r="AL430" s="1">
        <f t="shared" si="327"/>
        <v>0</v>
      </c>
      <c r="AM430" s="1">
        <f t="shared" si="327"/>
        <v>0</v>
      </c>
      <c r="AN430" s="1">
        <f t="shared" si="327"/>
        <v>0</v>
      </c>
      <c r="AO430" s="1">
        <f t="shared" si="327"/>
        <v>0</v>
      </c>
      <c r="AP430" s="1">
        <f t="shared" si="327"/>
        <v>0</v>
      </c>
      <c r="AQ430" s="1">
        <f t="shared" si="327"/>
        <v>1</v>
      </c>
      <c r="AR430" s="1">
        <f t="shared" si="327"/>
        <v>1</v>
      </c>
      <c r="AS430" s="1">
        <f t="shared" si="327"/>
        <v>1</v>
      </c>
      <c r="AT430" s="39">
        <f t="shared" si="297"/>
        <v>226275.04267422581</v>
      </c>
      <c r="AU430" s="39">
        <f t="shared" si="315"/>
        <v>226275.04267422581</v>
      </c>
      <c r="AV430" s="39">
        <f t="shared" si="325"/>
        <v>0</v>
      </c>
      <c r="AW430" s="3">
        <f t="shared" si="298"/>
        <v>356</v>
      </c>
      <c r="AX430" s="69">
        <f t="shared" si="316"/>
        <v>0</v>
      </c>
      <c r="AY430" s="75">
        <f t="shared" si="299"/>
        <v>0</v>
      </c>
      <c r="AZ430" s="75">
        <f t="shared" si="300"/>
        <v>0</v>
      </c>
      <c r="BA430" s="75">
        <f t="shared" si="301"/>
        <v>0</v>
      </c>
      <c r="BB430" s="75">
        <f t="shared" si="302"/>
        <v>0</v>
      </c>
      <c r="BD430" s="214">
        <f t="shared" si="317"/>
        <v>309169.25250322843</v>
      </c>
      <c r="BE430" s="214">
        <f t="shared" si="303"/>
        <v>1504.8969698087772</v>
      </c>
      <c r="BF430" s="214">
        <f t="shared" si="304"/>
        <v>-511.57971244594938</v>
      </c>
      <c r="BG430" s="224">
        <f t="shared" si="321"/>
        <v>0</v>
      </c>
      <c r="BH430" s="19">
        <f t="shared" si="318"/>
        <v>554994.00392622454</v>
      </c>
      <c r="BI430" s="214">
        <f t="shared" si="305"/>
        <v>2701.4613775730963</v>
      </c>
      <c r="BJ430" s="214">
        <f t="shared" si="306"/>
        <v>0</v>
      </c>
      <c r="BK430" s="19">
        <f t="shared" si="322"/>
        <v>0</v>
      </c>
    </row>
    <row r="431" spans="1:63">
      <c r="A431" s="165">
        <f t="shared" si="307"/>
        <v>91.722792607802873</v>
      </c>
      <c r="B431" s="69">
        <f t="shared" si="308"/>
        <v>30</v>
      </c>
      <c r="C431" s="70">
        <f t="shared" si="309"/>
        <v>357</v>
      </c>
      <c r="D431" s="13">
        <f t="shared" si="277"/>
        <v>4.8675505653430484E-3</v>
      </c>
      <c r="E431" s="15">
        <f t="shared" si="278"/>
        <v>1</v>
      </c>
      <c r="F431" s="15">
        <f t="shared" si="310"/>
        <v>0</v>
      </c>
      <c r="G431" s="15">
        <f t="shared" si="279"/>
        <v>0</v>
      </c>
      <c r="H431" s="73">
        <f t="shared" si="280"/>
        <v>0</v>
      </c>
      <c r="I431" s="189"/>
      <c r="J431" s="189"/>
      <c r="K431" s="5">
        <f t="shared" si="323"/>
        <v>226275.04267422581</v>
      </c>
      <c r="M431" s="5">
        <f t="shared" si="281"/>
        <v>1101.4052118919503</v>
      </c>
      <c r="N431" s="5">
        <f t="shared" si="282"/>
        <v>-374.41537386958174</v>
      </c>
      <c r="O431" s="5">
        <f t="shared" si="283"/>
        <v>0</v>
      </c>
      <c r="P431" s="5">
        <f t="shared" si="284"/>
        <v>0</v>
      </c>
      <c r="Q431" s="5">
        <f t="shared" si="319"/>
        <v>0</v>
      </c>
      <c r="R431" s="5">
        <f t="shared" si="311"/>
        <v>0</v>
      </c>
      <c r="S431" s="5">
        <f t="shared" si="285"/>
        <v>0</v>
      </c>
      <c r="T431" s="5">
        <f t="shared" si="286"/>
        <v>0</v>
      </c>
      <c r="U431" s="74">
        <f t="shared" si="287"/>
        <v>0</v>
      </c>
      <c r="V431" s="75">
        <f t="shared" si="288"/>
        <v>0</v>
      </c>
      <c r="W431" s="5">
        <f t="shared" si="289"/>
        <v>0</v>
      </c>
      <c r="X431" s="5">
        <f t="shared" si="290"/>
        <v>227002.03251224817</v>
      </c>
      <c r="Y431" s="5">
        <f t="shared" si="312"/>
        <v>100000</v>
      </c>
      <c r="Z431" s="215">
        <f t="shared" si="291"/>
        <v>1</v>
      </c>
      <c r="AA431" s="216">
        <f t="shared" si="313"/>
        <v>0</v>
      </c>
      <c r="AB431" s="72">
        <f t="shared" si="320"/>
        <v>50215.72519964027</v>
      </c>
      <c r="AC431" s="72">
        <f t="shared" si="292"/>
        <v>0</v>
      </c>
      <c r="AD431" s="72">
        <f t="shared" si="293"/>
        <v>0</v>
      </c>
      <c r="AE431" s="72">
        <f t="shared" si="314"/>
        <v>-47.270550650938816</v>
      </c>
      <c r="AF431" s="70">
        <f t="shared" si="294"/>
        <v>0</v>
      </c>
      <c r="AG431" s="70">
        <f t="shared" si="295"/>
        <v>17127.022730877354</v>
      </c>
      <c r="AH431" s="1">
        <f t="shared" si="327"/>
        <v>0</v>
      </c>
      <c r="AI431" s="1">
        <f t="shared" si="327"/>
        <v>0</v>
      </c>
      <c r="AJ431" s="1">
        <f t="shared" si="327"/>
        <v>0</v>
      </c>
      <c r="AK431" s="1">
        <f t="shared" si="327"/>
        <v>0</v>
      </c>
      <c r="AL431" s="1">
        <f t="shared" si="327"/>
        <v>0</v>
      </c>
      <c r="AM431" s="1">
        <f t="shared" si="327"/>
        <v>0</v>
      </c>
      <c r="AN431" s="1">
        <f t="shared" si="327"/>
        <v>0</v>
      </c>
      <c r="AO431" s="1">
        <f t="shared" si="327"/>
        <v>0</v>
      </c>
      <c r="AP431" s="1">
        <f t="shared" si="327"/>
        <v>0</v>
      </c>
      <c r="AQ431" s="1">
        <f t="shared" si="327"/>
        <v>1</v>
      </c>
      <c r="AR431" s="1">
        <f t="shared" si="327"/>
        <v>1</v>
      </c>
      <c r="AS431" s="1">
        <f t="shared" si="327"/>
        <v>1</v>
      </c>
      <c r="AT431" s="39">
        <f t="shared" si="297"/>
        <v>227002.03251224817</v>
      </c>
      <c r="AU431" s="39">
        <f t="shared" si="315"/>
        <v>227002.03251224817</v>
      </c>
      <c r="AV431" s="39">
        <f t="shared" si="325"/>
        <v>0</v>
      </c>
      <c r="AW431" s="3">
        <f t="shared" si="298"/>
        <v>357</v>
      </c>
      <c r="AX431" s="69">
        <f t="shared" si="316"/>
        <v>0</v>
      </c>
      <c r="AY431" s="75">
        <f t="shared" si="299"/>
        <v>0</v>
      </c>
      <c r="AZ431" s="75">
        <f t="shared" si="300"/>
        <v>0</v>
      </c>
      <c r="BA431" s="75">
        <f t="shared" si="301"/>
        <v>0</v>
      </c>
      <c r="BB431" s="75">
        <f t="shared" si="302"/>
        <v>0</v>
      </c>
      <c r="BD431" s="214">
        <f t="shared" si="317"/>
        <v>310162.56976059126</v>
      </c>
      <c r="BE431" s="214">
        <f t="shared" si="303"/>
        <v>1509.7319917864186</v>
      </c>
      <c r="BF431" s="214">
        <f t="shared" si="304"/>
        <v>-513.22334599868759</v>
      </c>
      <c r="BG431" s="224">
        <f t="shared" si="321"/>
        <v>0</v>
      </c>
      <c r="BH431" s="19">
        <f t="shared" si="318"/>
        <v>557695.46530379762</v>
      </c>
      <c r="BI431" s="214">
        <f t="shared" si="305"/>
        <v>2714.6108774287545</v>
      </c>
      <c r="BJ431" s="214">
        <f t="shared" si="306"/>
        <v>0</v>
      </c>
      <c r="BK431" s="19">
        <f t="shared" si="322"/>
        <v>0</v>
      </c>
    </row>
    <row r="432" spans="1:63">
      <c r="A432" s="165">
        <f t="shared" si="307"/>
        <v>91.806125941136202</v>
      </c>
      <c r="B432" s="69">
        <f t="shared" si="308"/>
        <v>30</v>
      </c>
      <c r="C432" s="70">
        <f t="shared" si="309"/>
        <v>358</v>
      </c>
      <c r="D432" s="13">
        <f t="shared" si="277"/>
        <v>4.8675505653430484E-3</v>
      </c>
      <c r="E432" s="15">
        <f t="shared" si="278"/>
        <v>1</v>
      </c>
      <c r="F432" s="15">
        <f t="shared" si="310"/>
        <v>0</v>
      </c>
      <c r="G432" s="15">
        <f t="shared" si="279"/>
        <v>0</v>
      </c>
      <c r="H432" s="73">
        <f t="shared" si="280"/>
        <v>0</v>
      </c>
      <c r="I432" s="189"/>
      <c r="J432" s="189"/>
      <c r="K432" s="5">
        <f t="shared" si="323"/>
        <v>227002.03251224817</v>
      </c>
      <c r="M432" s="5">
        <f t="shared" si="281"/>
        <v>1104.9438716890147</v>
      </c>
      <c r="N432" s="5">
        <f t="shared" si="282"/>
        <v>-375.61831772404122</v>
      </c>
      <c r="O432" s="5">
        <f t="shared" si="283"/>
        <v>0</v>
      </c>
      <c r="P432" s="5">
        <f t="shared" si="284"/>
        <v>0</v>
      </c>
      <c r="Q432" s="5">
        <f t="shared" si="319"/>
        <v>0</v>
      </c>
      <c r="R432" s="5">
        <f t="shared" si="311"/>
        <v>0</v>
      </c>
      <c r="S432" s="5">
        <f t="shared" si="285"/>
        <v>0</v>
      </c>
      <c r="T432" s="5">
        <f t="shared" si="286"/>
        <v>0</v>
      </c>
      <c r="U432" s="74">
        <f t="shared" si="287"/>
        <v>0</v>
      </c>
      <c r="V432" s="75">
        <f t="shared" si="288"/>
        <v>0</v>
      </c>
      <c r="W432" s="5">
        <f t="shared" si="289"/>
        <v>0</v>
      </c>
      <c r="X432" s="5">
        <f t="shared" si="290"/>
        <v>227731.35806621317</v>
      </c>
      <c r="Y432" s="5">
        <f t="shared" si="312"/>
        <v>100000</v>
      </c>
      <c r="Z432" s="215">
        <f t="shared" si="291"/>
        <v>1</v>
      </c>
      <c r="AA432" s="216">
        <f t="shared" si="313"/>
        <v>0</v>
      </c>
      <c r="AB432" s="72">
        <f t="shared" si="320"/>
        <v>50215.72519964027</v>
      </c>
      <c r="AC432" s="72">
        <f t="shared" si="292"/>
        <v>0</v>
      </c>
      <c r="AD432" s="72">
        <f t="shared" si="293"/>
        <v>0</v>
      </c>
      <c r="AE432" s="72">
        <f t="shared" si="314"/>
        <v>-47.422424271444243</v>
      </c>
      <c r="AF432" s="70">
        <f t="shared" si="294"/>
        <v>0</v>
      </c>
      <c r="AG432" s="70">
        <f t="shared" si="295"/>
        <v>17404.166441384041</v>
      </c>
      <c r="AH432" s="1">
        <f t="shared" si="327"/>
        <v>0</v>
      </c>
      <c r="AI432" s="1">
        <f t="shared" si="327"/>
        <v>0</v>
      </c>
      <c r="AJ432" s="1">
        <f t="shared" si="327"/>
        <v>0</v>
      </c>
      <c r="AK432" s="1">
        <f t="shared" si="327"/>
        <v>0</v>
      </c>
      <c r="AL432" s="1">
        <f t="shared" si="327"/>
        <v>0</v>
      </c>
      <c r="AM432" s="1">
        <f t="shared" si="327"/>
        <v>0</v>
      </c>
      <c r="AN432" s="1">
        <f t="shared" si="327"/>
        <v>0</v>
      </c>
      <c r="AO432" s="1">
        <f t="shared" si="327"/>
        <v>0</v>
      </c>
      <c r="AP432" s="1">
        <f t="shared" si="327"/>
        <v>0</v>
      </c>
      <c r="AQ432" s="1">
        <f t="shared" si="327"/>
        <v>1</v>
      </c>
      <c r="AR432" s="1">
        <f t="shared" si="327"/>
        <v>1</v>
      </c>
      <c r="AS432" s="1">
        <f t="shared" si="327"/>
        <v>1</v>
      </c>
      <c r="AT432" s="39">
        <f t="shared" si="297"/>
        <v>227731.35806621317</v>
      </c>
      <c r="AU432" s="39">
        <f t="shared" si="315"/>
        <v>227731.35806621317</v>
      </c>
      <c r="AV432" s="39">
        <f t="shared" si="325"/>
        <v>0</v>
      </c>
      <c r="AW432" s="3">
        <f t="shared" si="298"/>
        <v>358</v>
      </c>
      <c r="AX432" s="69">
        <f t="shared" si="316"/>
        <v>0</v>
      </c>
      <c r="AY432" s="75">
        <f t="shared" si="299"/>
        <v>0</v>
      </c>
      <c r="AZ432" s="75">
        <f t="shared" si="300"/>
        <v>0</v>
      </c>
      <c r="BA432" s="75">
        <f t="shared" si="301"/>
        <v>0</v>
      </c>
      <c r="BB432" s="75">
        <f t="shared" si="302"/>
        <v>0</v>
      </c>
      <c r="BD432" s="214">
        <f t="shared" si="317"/>
        <v>311159.07840637898</v>
      </c>
      <c r="BE432" s="214">
        <f t="shared" si="303"/>
        <v>1514.5825480085919</v>
      </c>
      <c r="BF432" s="214">
        <f t="shared" si="304"/>
        <v>-514.87226031450132</v>
      </c>
      <c r="BG432" s="224">
        <f t="shared" si="321"/>
        <v>0</v>
      </c>
      <c r="BH432" s="19">
        <f t="shared" si="318"/>
        <v>560410.07618122641</v>
      </c>
      <c r="BI432" s="214">
        <f t="shared" si="305"/>
        <v>2727.8243831398695</v>
      </c>
      <c r="BJ432" s="214">
        <f t="shared" si="306"/>
        <v>0</v>
      </c>
      <c r="BK432" s="19">
        <f t="shared" si="322"/>
        <v>0</v>
      </c>
    </row>
    <row r="433" spans="1:63">
      <c r="A433" s="165">
        <f t="shared" si="307"/>
        <v>91.889459274469544</v>
      </c>
      <c r="B433" s="69">
        <f t="shared" si="308"/>
        <v>30</v>
      </c>
      <c r="C433" s="70">
        <f t="shared" si="309"/>
        <v>359</v>
      </c>
      <c r="D433" s="13">
        <f t="shared" si="277"/>
        <v>4.8675505653430484E-3</v>
      </c>
      <c r="E433" s="15">
        <f t="shared" si="278"/>
        <v>1</v>
      </c>
      <c r="F433" s="15">
        <f t="shared" si="310"/>
        <v>0</v>
      </c>
      <c r="G433" s="15">
        <f t="shared" si="279"/>
        <v>0</v>
      </c>
      <c r="H433" s="73">
        <f t="shared" si="280"/>
        <v>0</v>
      </c>
      <c r="I433" s="189"/>
      <c r="J433" s="189"/>
      <c r="K433" s="5">
        <f t="shared" si="323"/>
        <v>227731.35806621317</v>
      </c>
      <c r="M433" s="5">
        <f t="shared" si="281"/>
        <v>1108.4939007015362</v>
      </c>
      <c r="N433" s="5">
        <f t="shared" si="282"/>
        <v>-376.82512646765326</v>
      </c>
      <c r="O433" s="5">
        <f t="shared" si="283"/>
        <v>0</v>
      </c>
      <c r="P433" s="5">
        <f t="shared" si="284"/>
        <v>0</v>
      </c>
      <c r="Q433" s="5">
        <f t="shared" si="319"/>
        <v>0</v>
      </c>
      <c r="R433" s="5">
        <f t="shared" si="311"/>
        <v>0</v>
      </c>
      <c r="S433" s="5">
        <f t="shared" si="285"/>
        <v>0</v>
      </c>
      <c r="T433" s="5">
        <f t="shared" si="286"/>
        <v>0</v>
      </c>
      <c r="U433" s="74">
        <f t="shared" si="287"/>
        <v>0</v>
      </c>
      <c r="V433" s="75">
        <f t="shared" si="288"/>
        <v>0</v>
      </c>
      <c r="W433" s="5">
        <f t="shared" si="289"/>
        <v>0</v>
      </c>
      <c r="X433" s="5">
        <f t="shared" si="290"/>
        <v>228463.02684044707</v>
      </c>
      <c r="Y433" s="5">
        <f t="shared" si="312"/>
        <v>100000</v>
      </c>
      <c r="Z433" s="215">
        <f t="shared" si="291"/>
        <v>1</v>
      </c>
      <c r="AA433" s="216">
        <f t="shared" si="313"/>
        <v>0</v>
      </c>
      <c r="AB433" s="72">
        <f t="shared" si="320"/>
        <v>50215.72519964027</v>
      </c>
      <c r="AC433" s="72">
        <f t="shared" si="292"/>
        <v>0</v>
      </c>
      <c r="AD433" s="72">
        <f t="shared" si="293"/>
        <v>0</v>
      </c>
      <c r="AE433" s="72">
        <f t="shared" si="314"/>
        <v>-47.57478584049877</v>
      </c>
      <c r="AF433" s="70">
        <f t="shared" si="294"/>
        <v>0</v>
      </c>
      <c r="AG433" s="70">
        <f t="shared" si="295"/>
        <v>17682.200575592935</v>
      </c>
      <c r="AH433" s="1">
        <f t="shared" si="327"/>
        <v>0</v>
      </c>
      <c r="AI433" s="1">
        <f t="shared" si="327"/>
        <v>0</v>
      </c>
      <c r="AJ433" s="1">
        <f t="shared" si="327"/>
        <v>0</v>
      </c>
      <c r="AK433" s="1">
        <f t="shared" si="327"/>
        <v>0</v>
      </c>
      <c r="AL433" s="1">
        <f t="shared" si="327"/>
        <v>0</v>
      </c>
      <c r="AM433" s="1">
        <f t="shared" si="327"/>
        <v>0</v>
      </c>
      <c r="AN433" s="1">
        <f t="shared" si="327"/>
        <v>0</v>
      </c>
      <c r="AO433" s="1">
        <f t="shared" si="327"/>
        <v>0</v>
      </c>
      <c r="AP433" s="1">
        <f t="shared" si="327"/>
        <v>0</v>
      </c>
      <c r="AQ433" s="1">
        <f t="shared" si="327"/>
        <v>1</v>
      </c>
      <c r="AR433" s="1">
        <f t="shared" si="327"/>
        <v>1</v>
      </c>
      <c r="AS433" s="1">
        <f t="shared" si="327"/>
        <v>1</v>
      </c>
      <c r="AT433" s="39">
        <f t="shared" si="297"/>
        <v>228463.02684044707</v>
      </c>
      <c r="AU433" s="39">
        <f t="shared" si="315"/>
        <v>228463.02684044707</v>
      </c>
      <c r="AV433" s="39">
        <f t="shared" si="325"/>
        <v>0</v>
      </c>
      <c r="AW433" s="3">
        <f t="shared" si="298"/>
        <v>359</v>
      </c>
      <c r="AX433" s="69">
        <f t="shared" si="316"/>
        <v>0</v>
      </c>
      <c r="AY433" s="75">
        <f t="shared" si="299"/>
        <v>0</v>
      </c>
      <c r="AZ433" s="75">
        <f t="shared" si="300"/>
        <v>0</v>
      </c>
      <c r="BA433" s="75">
        <f t="shared" si="301"/>
        <v>0</v>
      </c>
      <c r="BB433" s="75">
        <f t="shared" si="302"/>
        <v>0</v>
      </c>
      <c r="BD433" s="214">
        <f t="shared" si="317"/>
        <v>312158.78869407304</v>
      </c>
      <c r="BE433" s="214">
        <f t="shared" si="303"/>
        <v>1519.4486883846364</v>
      </c>
      <c r="BF433" s="214">
        <f t="shared" si="304"/>
        <v>-516.52647235973825</v>
      </c>
      <c r="BG433" s="224">
        <f t="shared" si="321"/>
        <v>0</v>
      </c>
      <c r="BH433" s="19">
        <f t="shared" si="318"/>
        <v>563137.90056436625</v>
      </c>
      <c r="BI433" s="214">
        <f t="shared" si="305"/>
        <v>2741.1022062581783</v>
      </c>
      <c r="BJ433" s="214">
        <f t="shared" si="306"/>
        <v>0</v>
      </c>
      <c r="BK433" s="19">
        <f t="shared" si="322"/>
        <v>0</v>
      </c>
    </row>
    <row r="434" spans="1:63">
      <c r="A434" s="165">
        <f t="shared" si="307"/>
        <v>91.972792607802873</v>
      </c>
      <c r="B434" s="69">
        <f t="shared" si="308"/>
        <v>30</v>
      </c>
      <c r="C434" s="70">
        <f t="shared" si="309"/>
        <v>360</v>
      </c>
      <c r="D434" s="13">
        <f t="shared" si="277"/>
        <v>4.8675505653430484E-3</v>
      </c>
      <c r="E434" s="15">
        <f t="shared" si="278"/>
        <v>1</v>
      </c>
      <c r="F434" s="15">
        <f t="shared" si="310"/>
        <v>0</v>
      </c>
      <c r="G434" s="15">
        <f t="shared" si="279"/>
        <v>0</v>
      </c>
      <c r="H434" s="73">
        <f t="shared" si="280"/>
        <v>0</v>
      </c>
      <c r="I434" s="189"/>
      <c r="J434" s="189"/>
      <c r="K434" s="5">
        <f t="shared" si="323"/>
        <v>228463.02684044707</v>
      </c>
      <c r="M434" s="5">
        <f t="shared" si="281"/>
        <v>1112.0553354572021</v>
      </c>
      <c r="N434" s="5">
        <f t="shared" si="282"/>
        <v>-378.03581251776217</v>
      </c>
      <c r="O434" s="5">
        <f t="shared" si="283"/>
        <v>0</v>
      </c>
      <c r="P434" s="5">
        <f t="shared" si="284"/>
        <v>0</v>
      </c>
      <c r="Q434" s="5">
        <f t="shared" si="319"/>
        <v>0</v>
      </c>
      <c r="R434" s="5">
        <f t="shared" si="311"/>
        <v>0</v>
      </c>
      <c r="S434" s="5">
        <f t="shared" si="285"/>
        <v>0</v>
      </c>
      <c r="T434" s="5">
        <f t="shared" si="286"/>
        <v>0</v>
      </c>
      <c r="U434" s="74">
        <f t="shared" si="287"/>
        <v>0</v>
      </c>
      <c r="V434" s="75">
        <f t="shared" si="288"/>
        <v>0</v>
      </c>
      <c r="W434" s="5">
        <f t="shared" si="289"/>
        <v>0</v>
      </c>
      <c r="X434" s="5">
        <f t="shared" si="290"/>
        <v>229197.0463633865</v>
      </c>
      <c r="Y434" s="5">
        <f t="shared" si="312"/>
        <v>100000</v>
      </c>
      <c r="Z434" s="215">
        <f t="shared" si="291"/>
        <v>1</v>
      </c>
      <c r="AA434" s="216">
        <f t="shared" si="313"/>
        <v>0</v>
      </c>
      <c r="AB434" s="72">
        <f t="shared" si="320"/>
        <v>50215.72519964027</v>
      </c>
      <c r="AC434" s="72">
        <f t="shared" si="292"/>
        <v>0</v>
      </c>
      <c r="AD434" s="72">
        <f t="shared" si="293"/>
        <v>0</v>
      </c>
      <c r="AE434" s="72">
        <f t="shared" si="314"/>
        <v>-47.727636925812362</v>
      </c>
      <c r="AF434" s="70">
        <f t="shared" si="294"/>
        <v>0</v>
      </c>
      <c r="AG434" s="70">
        <f t="shared" si="295"/>
        <v>17961.1279943099</v>
      </c>
      <c r="AH434" s="1">
        <f t="shared" si="327"/>
        <v>0</v>
      </c>
      <c r="AI434" s="1">
        <f t="shared" si="327"/>
        <v>0</v>
      </c>
      <c r="AJ434" s="1">
        <f t="shared" si="327"/>
        <v>0</v>
      </c>
      <c r="AK434" s="1">
        <f t="shared" si="327"/>
        <v>0</v>
      </c>
      <c r="AL434" s="1">
        <f t="shared" si="327"/>
        <v>0</v>
      </c>
      <c r="AM434" s="1">
        <f t="shared" si="327"/>
        <v>0</v>
      </c>
      <c r="AN434" s="1">
        <f t="shared" si="327"/>
        <v>0</v>
      </c>
      <c r="AO434" s="1">
        <f t="shared" si="327"/>
        <v>0</v>
      </c>
      <c r="AP434" s="1">
        <f t="shared" si="327"/>
        <v>0</v>
      </c>
      <c r="AQ434" s="1">
        <f t="shared" si="327"/>
        <v>1</v>
      </c>
      <c r="AR434" s="1">
        <f t="shared" si="327"/>
        <v>1</v>
      </c>
      <c r="AS434" s="1">
        <f t="shared" si="327"/>
        <v>1</v>
      </c>
      <c r="AT434" s="39">
        <f t="shared" si="297"/>
        <v>229197.0463633865</v>
      </c>
      <c r="AU434" s="39">
        <f t="shared" si="315"/>
        <v>229197.0463633865</v>
      </c>
      <c r="AV434" s="39">
        <f t="shared" si="325"/>
        <v>0</v>
      </c>
      <c r="AW434" s="3">
        <f t="shared" si="298"/>
        <v>360</v>
      </c>
      <c r="AX434" s="69">
        <f t="shared" si="316"/>
        <v>0</v>
      </c>
      <c r="AY434" s="75">
        <f t="shared" si="299"/>
        <v>0</v>
      </c>
      <c r="AZ434" s="75">
        <f t="shared" si="300"/>
        <v>0</v>
      </c>
      <c r="BA434" s="75">
        <f t="shared" si="301"/>
        <v>0</v>
      </c>
      <c r="BB434" s="75">
        <f t="shared" si="302"/>
        <v>0</v>
      </c>
      <c r="BD434" s="214">
        <f t="shared" si="317"/>
        <v>313161.71091009793</v>
      </c>
      <c r="BE434" s="214">
        <f t="shared" si="303"/>
        <v>1524.3304629842435</v>
      </c>
      <c r="BF434" s="214">
        <f t="shared" si="304"/>
        <v>-518.18599915525726</v>
      </c>
      <c r="BG434" s="224">
        <f t="shared" si="321"/>
        <v>0</v>
      </c>
      <c r="BH434" s="19">
        <f t="shared" si="318"/>
        <v>565879.00277062447</v>
      </c>
      <c r="BI434" s="214">
        <f t="shared" si="305"/>
        <v>2754.4446598519135</v>
      </c>
      <c r="BJ434" s="214">
        <f t="shared" si="306"/>
        <v>0</v>
      </c>
      <c r="BK434" s="19">
        <f t="shared" si="322"/>
        <v>0</v>
      </c>
    </row>
    <row r="435" spans="1:63">
      <c r="A435" s="165">
        <f t="shared" si="307"/>
        <v>92.056125941136202</v>
      </c>
      <c r="B435" s="69">
        <f t="shared" si="308"/>
        <v>31</v>
      </c>
      <c r="C435" s="70">
        <f t="shared" si="309"/>
        <v>361</v>
      </c>
      <c r="D435" s="13">
        <f t="shared" si="277"/>
        <v>4.8675505653430484E-3</v>
      </c>
      <c r="E435" s="15">
        <f t="shared" si="278"/>
        <v>1</v>
      </c>
      <c r="F435" s="15">
        <f t="shared" si="310"/>
        <v>0</v>
      </c>
      <c r="G435" s="15">
        <f t="shared" si="279"/>
        <v>0</v>
      </c>
      <c r="H435" s="73">
        <f t="shared" si="280"/>
        <v>0</v>
      </c>
      <c r="I435" s="189"/>
      <c r="J435" s="189"/>
      <c r="K435" s="5">
        <f t="shared" si="323"/>
        <v>229197.0463633865</v>
      </c>
      <c r="M435" s="5">
        <f t="shared" si="281"/>
        <v>1115.6282126010587</v>
      </c>
      <c r="N435" s="5">
        <f t="shared" si="282"/>
        <v>-379.25038833160755</v>
      </c>
      <c r="O435" s="5">
        <f t="shared" si="283"/>
        <v>0</v>
      </c>
      <c r="P435" s="5">
        <f t="shared" si="284"/>
        <v>0</v>
      </c>
      <c r="Q435" s="5">
        <f t="shared" si="319"/>
        <v>0</v>
      </c>
      <c r="R435" s="5">
        <f t="shared" si="311"/>
        <v>0</v>
      </c>
      <c r="S435" s="5">
        <f t="shared" si="285"/>
        <v>0</v>
      </c>
      <c r="T435" s="5">
        <f t="shared" si="286"/>
        <v>0</v>
      </c>
      <c r="U435" s="74">
        <f t="shared" si="287"/>
        <v>0</v>
      </c>
      <c r="V435" s="75">
        <f t="shared" si="288"/>
        <v>0</v>
      </c>
      <c r="W435" s="5">
        <f t="shared" si="289"/>
        <v>0</v>
      </c>
      <c r="X435" s="5">
        <f t="shared" si="290"/>
        <v>229933.42418765597</v>
      </c>
      <c r="Y435" s="5">
        <f t="shared" si="312"/>
        <v>100000</v>
      </c>
      <c r="Z435" s="215">
        <f t="shared" si="291"/>
        <v>1</v>
      </c>
      <c r="AA435" s="216">
        <f t="shared" si="313"/>
        <v>0</v>
      </c>
      <c r="AB435" s="72">
        <f t="shared" si="320"/>
        <v>50215.72519964027</v>
      </c>
      <c r="AC435" s="72">
        <f t="shared" si="292"/>
        <v>0</v>
      </c>
      <c r="AD435" s="72">
        <f t="shared" si="293"/>
        <v>0</v>
      </c>
      <c r="AE435" s="72">
        <f t="shared" si="314"/>
        <v>-47.880979100131789</v>
      </c>
      <c r="AF435" s="70">
        <f t="shared" si="294"/>
        <v>0</v>
      </c>
      <c r="AG435" s="70">
        <f t="shared" si="295"/>
        <v>18240.951567532298</v>
      </c>
      <c r="AH435" s="1">
        <f t="shared" ref="AH435:AS444" si="328">IF($B435&lt;=AH$74,1,0)</f>
        <v>0</v>
      </c>
      <c r="AI435" s="1">
        <f t="shared" si="328"/>
        <v>0</v>
      </c>
      <c r="AJ435" s="1">
        <f t="shared" si="328"/>
        <v>0</v>
      </c>
      <c r="AK435" s="1">
        <f t="shared" si="328"/>
        <v>0</v>
      </c>
      <c r="AL435" s="1">
        <f t="shared" si="328"/>
        <v>0</v>
      </c>
      <c r="AM435" s="1">
        <f t="shared" si="328"/>
        <v>0</v>
      </c>
      <c r="AN435" s="1">
        <f t="shared" si="328"/>
        <v>0</v>
      </c>
      <c r="AO435" s="1">
        <f t="shared" si="328"/>
        <v>0</v>
      </c>
      <c r="AP435" s="1">
        <f t="shared" si="328"/>
        <v>0</v>
      </c>
      <c r="AQ435" s="1">
        <f t="shared" si="328"/>
        <v>0</v>
      </c>
      <c r="AR435" s="1">
        <f t="shared" si="328"/>
        <v>1</v>
      </c>
      <c r="AS435" s="1">
        <f t="shared" si="328"/>
        <v>1</v>
      </c>
      <c r="AT435" s="39">
        <f t="shared" si="297"/>
        <v>229933.42418765597</v>
      </c>
      <c r="AU435" s="39">
        <f t="shared" si="315"/>
        <v>229933.42418765597</v>
      </c>
      <c r="AV435" s="39">
        <f t="shared" si="325"/>
        <v>0</v>
      </c>
      <c r="AW435" s="3">
        <f t="shared" si="298"/>
        <v>361</v>
      </c>
      <c r="AX435" s="69">
        <f t="shared" si="316"/>
        <v>0</v>
      </c>
      <c r="AY435" s="75">
        <f t="shared" si="299"/>
        <v>0</v>
      </c>
      <c r="AZ435" s="75">
        <f t="shared" si="300"/>
        <v>0</v>
      </c>
      <c r="BA435" s="75">
        <f t="shared" si="301"/>
        <v>0</v>
      </c>
      <c r="BB435" s="75">
        <f t="shared" si="302"/>
        <v>0</v>
      </c>
      <c r="BD435" s="214">
        <f t="shared" si="317"/>
        <v>314167.85537392687</v>
      </c>
      <c r="BE435" s="214">
        <f t="shared" si="303"/>
        <v>1529.2279220379708</v>
      </c>
      <c r="BF435" s="214">
        <f t="shared" si="304"/>
        <v>-519.85085777660197</v>
      </c>
      <c r="BG435" s="224">
        <f t="shared" si="321"/>
        <v>0</v>
      </c>
      <c r="BH435" s="19">
        <f t="shared" si="318"/>
        <v>568633.44743047643</v>
      </c>
      <c r="BI435" s="214">
        <f t="shared" si="305"/>
        <v>2767.8520585131823</v>
      </c>
      <c r="BJ435" s="214">
        <f t="shared" si="306"/>
        <v>0</v>
      </c>
      <c r="BK435" s="19">
        <f t="shared" si="322"/>
        <v>0</v>
      </c>
    </row>
    <row r="436" spans="1:63">
      <c r="A436" s="165">
        <f t="shared" si="307"/>
        <v>92.139459274469544</v>
      </c>
      <c r="B436" s="69">
        <f t="shared" si="308"/>
        <v>31</v>
      </c>
      <c r="C436" s="70">
        <f t="shared" si="309"/>
        <v>362</v>
      </c>
      <c r="D436" s="13">
        <f t="shared" si="277"/>
        <v>4.8675505653430484E-3</v>
      </c>
      <c r="E436" s="15">
        <f t="shared" si="278"/>
        <v>1</v>
      </c>
      <c r="F436" s="15">
        <f t="shared" si="310"/>
        <v>0</v>
      </c>
      <c r="G436" s="15">
        <f t="shared" si="279"/>
        <v>0</v>
      </c>
      <c r="H436" s="73">
        <f t="shared" si="280"/>
        <v>0</v>
      </c>
      <c r="I436" s="189"/>
      <c r="J436" s="189"/>
      <c r="K436" s="5">
        <f t="shared" si="323"/>
        <v>229933.42418765597</v>
      </c>
      <c r="M436" s="5">
        <f t="shared" si="281"/>
        <v>1119.2125688958877</v>
      </c>
      <c r="N436" s="5">
        <f t="shared" si="282"/>
        <v>-380.46886640645238</v>
      </c>
      <c r="O436" s="5">
        <f t="shared" si="283"/>
        <v>0</v>
      </c>
      <c r="P436" s="5">
        <f t="shared" si="284"/>
        <v>0</v>
      </c>
      <c r="Q436" s="5">
        <f t="shared" si="319"/>
        <v>0</v>
      </c>
      <c r="R436" s="5">
        <f t="shared" si="311"/>
        <v>0</v>
      </c>
      <c r="S436" s="5">
        <f t="shared" si="285"/>
        <v>0</v>
      </c>
      <c r="T436" s="5">
        <f t="shared" si="286"/>
        <v>0</v>
      </c>
      <c r="U436" s="74">
        <f t="shared" si="287"/>
        <v>0</v>
      </c>
      <c r="V436" s="75">
        <f t="shared" si="288"/>
        <v>0</v>
      </c>
      <c r="W436" s="5">
        <f t="shared" si="289"/>
        <v>0</v>
      </c>
      <c r="X436" s="5">
        <f t="shared" si="290"/>
        <v>230672.16789014541</v>
      </c>
      <c r="Y436" s="5">
        <f t="shared" si="312"/>
        <v>100000</v>
      </c>
      <c r="Z436" s="215">
        <f t="shared" si="291"/>
        <v>1</v>
      </c>
      <c r="AA436" s="216">
        <f t="shared" si="313"/>
        <v>0</v>
      </c>
      <c r="AB436" s="72">
        <f t="shared" si="320"/>
        <v>50215.72519964027</v>
      </c>
      <c r="AC436" s="72">
        <f t="shared" si="292"/>
        <v>0</v>
      </c>
      <c r="AD436" s="72">
        <f t="shared" si="293"/>
        <v>0</v>
      </c>
      <c r="AE436" s="72">
        <f t="shared" si="314"/>
        <v>-48.03481394125685</v>
      </c>
      <c r="AF436" s="70">
        <f t="shared" si="294"/>
        <v>0</v>
      </c>
      <c r="AG436" s="70">
        <f t="shared" si="295"/>
        <v>18521.674174478299</v>
      </c>
      <c r="AH436" s="1">
        <f t="shared" si="328"/>
        <v>0</v>
      </c>
      <c r="AI436" s="1">
        <f t="shared" si="328"/>
        <v>0</v>
      </c>
      <c r="AJ436" s="1">
        <f t="shared" si="328"/>
        <v>0</v>
      </c>
      <c r="AK436" s="1">
        <f t="shared" si="328"/>
        <v>0</v>
      </c>
      <c r="AL436" s="1">
        <f t="shared" si="328"/>
        <v>0</v>
      </c>
      <c r="AM436" s="1">
        <f t="shared" si="328"/>
        <v>0</v>
      </c>
      <c r="AN436" s="1">
        <f t="shared" si="328"/>
        <v>0</v>
      </c>
      <c r="AO436" s="1">
        <f t="shared" si="328"/>
        <v>0</v>
      </c>
      <c r="AP436" s="1">
        <f t="shared" si="328"/>
        <v>0</v>
      </c>
      <c r="AQ436" s="1">
        <f t="shared" si="328"/>
        <v>0</v>
      </c>
      <c r="AR436" s="1">
        <f t="shared" si="328"/>
        <v>1</v>
      </c>
      <c r="AS436" s="1">
        <f t="shared" si="328"/>
        <v>1</v>
      </c>
      <c r="AT436" s="39">
        <f t="shared" si="297"/>
        <v>230672.16789014541</v>
      </c>
      <c r="AU436" s="39">
        <f t="shared" si="315"/>
        <v>230672.16789014541</v>
      </c>
      <c r="AV436" s="39">
        <f t="shared" si="325"/>
        <v>0</v>
      </c>
      <c r="AW436" s="3">
        <f t="shared" si="298"/>
        <v>362</v>
      </c>
      <c r="AX436" s="69">
        <f t="shared" si="316"/>
        <v>0</v>
      </c>
      <c r="AY436" s="75">
        <f t="shared" si="299"/>
        <v>0</v>
      </c>
      <c r="AZ436" s="75">
        <f t="shared" si="300"/>
        <v>0</v>
      </c>
      <c r="BA436" s="75">
        <f t="shared" si="301"/>
        <v>0</v>
      </c>
      <c r="BB436" s="75">
        <f t="shared" si="302"/>
        <v>0</v>
      </c>
      <c r="BD436" s="214">
        <f t="shared" si="317"/>
        <v>315177.23243818822</v>
      </c>
      <c r="BE436" s="214">
        <f t="shared" si="303"/>
        <v>1534.1411159377606</v>
      </c>
      <c r="BF436" s="214">
        <f t="shared" si="304"/>
        <v>-521.52106535417784</v>
      </c>
      <c r="BG436" s="224">
        <f t="shared" si="321"/>
        <v>0</v>
      </c>
      <c r="BH436" s="19">
        <f t="shared" si="318"/>
        <v>571401.29948898964</v>
      </c>
      <c r="BI436" s="214">
        <f t="shared" si="305"/>
        <v>2781.3247183653839</v>
      </c>
      <c r="BJ436" s="214">
        <f t="shared" si="306"/>
        <v>0</v>
      </c>
      <c r="BK436" s="19">
        <f t="shared" si="322"/>
        <v>0</v>
      </c>
    </row>
    <row r="437" spans="1:63">
      <c r="A437" s="165">
        <f t="shared" si="307"/>
        <v>92.222792607802873</v>
      </c>
      <c r="B437" s="69">
        <f t="shared" si="308"/>
        <v>31</v>
      </c>
      <c r="C437" s="70">
        <f t="shared" si="309"/>
        <v>363</v>
      </c>
      <c r="D437" s="13">
        <f t="shared" si="277"/>
        <v>4.8675505653430484E-3</v>
      </c>
      <c r="E437" s="15">
        <f t="shared" si="278"/>
        <v>1</v>
      </c>
      <c r="F437" s="15">
        <f t="shared" si="310"/>
        <v>0</v>
      </c>
      <c r="G437" s="15">
        <f t="shared" si="279"/>
        <v>0</v>
      </c>
      <c r="H437" s="73">
        <f t="shared" si="280"/>
        <v>0</v>
      </c>
      <c r="I437" s="189"/>
      <c r="J437" s="189"/>
      <c r="K437" s="5">
        <f t="shared" si="323"/>
        <v>230672.16789014541</v>
      </c>
      <c r="M437" s="5">
        <f t="shared" si="281"/>
        <v>1122.808441222584</v>
      </c>
      <c r="N437" s="5">
        <f t="shared" si="282"/>
        <v>-381.69125927971152</v>
      </c>
      <c r="O437" s="5">
        <f t="shared" si="283"/>
        <v>0</v>
      </c>
      <c r="P437" s="5">
        <f t="shared" si="284"/>
        <v>0</v>
      </c>
      <c r="Q437" s="5">
        <f t="shared" si="319"/>
        <v>0</v>
      </c>
      <c r="R437" s="5">
        <f t="shared" si="311"/>
        <v>0</v>
      </c>
      <c r="S437" s="5">
        <f t="shared" si="285"/>
        <v>0</v>
      </c>
      <c r="T437" s="5">
        <f t="shared" si="286"/>
        <v>0</v>
      </c>
      <c r="U437" s="74">
        <f t="shared" si="287"/>
        <v>0</v>
      </c>
      <c r="V437" s="75">
        <f t="shared" si="288"/>
        <v>0</v>
      </c>
      <c r="W437" s="5">
        <f t="shared" si="289"/>
        <v>0</v>
      </c>
      <c r="X437" s="5">
        <f t="shared" si="290"/>
        <v>231413.2850720883</v>
      </c>
      <c r="Y437" s="5">
        <f t="shared" si="312"/>
        <v>100000</v>
      </c>
      <c r="Z437" s="215">
        <f t="shared" si="291"/>
        <v>1</v>
      </c>
      <c r="AA437" s="216">
        <f t="shared" si="313"/>
        <v>0</v>
      </c>
      <c r="AB437" s="72">
        <f t="shared" si="320"/>
        <v>50215.72519964027</v>
      </c>
      <c r="AC437" s="72">
        <f t="shared" si="292"/>
        <v>0</v>
      </c>
      <c r="AD437" s="72">
        <f t="shared" si="293"/>
        <v>0</v>
      </c>
      <c r="AE437" s="72">
        <f t="shared" si="314"/>
        <v>-48.189143032056606</v>
      </c>
      <c r="AF437" s="70">
        <f t="shared" si="294"/>
        <v>0</v>
      </c>
      <c r="AG437" s="70">
        <f t="shared" si="295"/>
        <v>18803.29870361658</v>
      </c>
      <c r="AH437" s="1">
        <f t="shared" si="328"/>
        <v>0</v>
      </c>
      <c r="AI437" s="1">
        <f t="shared" si="328"/>
        <v>0</v>
      </c>
      <c r="AJ437" s="1">
        <f t="shared" si="328"/>
        <v>0</v>
      </c>
      <c r="AK437" s="1">
        <f t="shared" si="328"/>
        <v>0</v>
      </c>
      <c r="AL437" s="1">
        <f t="shared" si="328"/>
        <v>0</v>
      </c>
      <c r="AM437" s="1">
        <f t="shared" si="328"/>
        <v>0</v>
      </c>
      <c r="AN437" s="1">
        <f t="shared" si="328"/>
        <v>0</v>
      </c>
      <c r="AO437" s="1">
        <f t="shared" si="328"/>
        <v>0</v>
      </c>
      <c r="AP437" s="1">
        <f t="shared" si="328"/>
        <v>0</v>
      </c>
      <c r="AQ437" s="1">
        <f t="shared" si="328"/>
        <v>0</v>
      </c>
      <c r="AR437" s="1">
        <f t="shared" si="328"/>
        <v>1</v>
      </c>
      <c r="AS437" s="1">
        <f t="shared" si="328"/>
        <v>1</v>
      </c>
      <c r="AT437" s="39">
        <f t="shared" si="297"/>
        <v>231413.2850720883</v>
      </c>
      <c r="AU437" s="39">
        <f t="shared" si="315"/>
        <v>231413.2850720883</v>
      </c>
      <c r="AV437" s="39">
        <f t="shared" si="325"/>
        <v>0</v>
      </c>
      <c r="AW437" s="3">
        <f t="shared" si="298"/>
        <v>363</v>
      </c>
      <c r="AX437" s="69">
        <f t="shared" si="316"/>
        <v>0</v>
      </c>
      <c r="AY437" s="75">
        <f t="shared" si="299"/>
        <v>0</v>
      </c>
      <c r="AZ437" s="75">
        <f t="shared" si="300"/>
        <v>0</v>
      </c>
      <c r="BA437" s="75">
        <f t="shared" si="301"/>
        <v>0</v>
      </c>
      <c r="BB437" s="75">
        <f t="shared" si="302"/>
        <v>0</v>
      </c>
      <c r="BD437" s="214">
        <f t="shared" si="317"/>
        <v>316189.85248877184</v>
      </c>
      <c r="BE437" s="214">
        <f t="shared" si="303"/>
        <v>1539.0700952374564</v>
      </c>
      <c r="BF437" s="214">
        <f t="shared" si="304"/>
        <v>-523.19663907342783</v>
      </c>
      <c r="BG437" s="224">
        <f t="shared" si="321"/>
        <v>0</v>
      </c>
      <c r="BH437" s="19">
        <f t="shared" si="318"/>
        <v>574182.62420735497</v>
      </c>
      <c r="BI437" s="214">
        <f t="shared" si="305"/>
        <v>2794.8629570706657</v>
      </c>
      <c r="BJ437" s="214">
        <f t="shared" si="306"/>
        <v>0</v>
      </c>
      <c r="BK437" s="19">
        <f t="shared" si="322"/>
        <v>0</v>
      </c>
    </row>
    <row r="438" spans="1:63">
      <c r="A438" s="165">
        <f t="shared" si="307"/>
        <v>92.306125941136202</v>
      </c>
      <c r="B438" s="69">
        <f t="shared" si="308"/>
        <v>31</v>
      </c>
      <c r="C438" s="70">
        <f t="shared" si="309"/>
        <v>364</v>
      </c>
      <c r="D438" s="13">
        <f t="shared" si="277"/>
        <v>4.8675505653430484E-3</v>
      </c>
      <c r="E438" s="15">
        <f t="shared" si="278"/>
        <v>1</v>
      </c>
      <c r="F438" s="15">
        <f t="shared" si="310"/>
        <v>0</v>
      </c>
      <c r="G438" s="15">
        <f t="shared" si="279"/>
        <v>0</v>
      </c>
      <c r="H438" s="73">
        <f t="shared" si="280"/>
        <v>0</v>
      </c>
      <c r="I438" s="189"/>
      <c r="J438" s="189"/>
      <c r="K438" s="5">
        <f t="shared" si="323"/>
        <v>231413.2850720883</v>
      </c>
      <c r="M438" s="5">
        <f t="shared" si="281"/>
        <v>1126.4158665805355</v>
      </c>
      <c r="N438" s="5">
        <f t="shared" si="282"/>
        <v>-382.91757952908085</v>
      </c>
      <c r="O438" s="5">
        <f t="shared" si="283"/>
        <v>0</v>
      </c>
      <c r="P438" s="5">
        <f t="shared" si="284"/>
        <v>0</v>
      </c>
      <c r="Q438" s="5">
        <f t="shared" si="319"/>
        <v>0</v>
      </c>
      <c r="R438" s="5">
        <f t="shared" si="311"/>
        <v>0</v>
      </c>
      <c r="S438" s="5">
        <f t="shared" si="285"/>
        <v>0</v>
      </c>
      <c r="T438" s="5">
        <f t="shared" si="286"/>
        <v>0</v>
      </c>
      <c r="U438" s="74">
        <f t="shared" si="287"/>
        <v>0</v>
      </c>
      <c r="V438" s="75">
        <f t="shared" si="288"/>
        <v>0</v>
      </c>
      <c r="W438" s="5">
        <f t="shared" si="289"/>
        <v>0</v>
      </c>
      <c r="X438" s="5">
        <f t="shared" si="290"/>
        <v>232156.78335913975</v>
      </c>
      <c r="Y438" s="5">
        <f t="shared" si="312"/>
        <v>100000</v>
      </c>
      <c r="Z438" s="215">
        <f t="shared" si="291"/>
        <v>1</v>
      </c>
      <c r="AA438" s="216">
        <f t="shared" si="313"/>
        <v>0</v>
      </c>
      <c r="AB438" s="72">
        <f t="shared" si="320"/>
        <v>50215.72519964027</v>
      </c>
      <c r="AC438" s="72">
        <f t="shared" si="292"/>
        <v>0</v>
      </c>
      <c r="AD438" s="72">
        <f t="shared" si="293"/>
        <v>0</v>
      </c>
      <c r="AE438" s="72">
        <f t="shared" si="314"/>
        <v>-48.343967960485635</v>
      </c>
      <c r="AF438" s="70">
        <f t="shared" si="294"/>
        <v>0</v>
      </c>
      <c r="AG438" s="70">
        <f t="shared" si="295"/>
        <v>19085.828052696139</v>
      </c>
      <c r="AH438" s="1">
        <f t="shared" si="328"/>
        <v>0</v>
      </c>
      <c r="AI438" s="1">
        <f t="shared" si="328"/>
        <v>0</v>
      </c>
      <c r="AJ438" s="1">
        <f t="shared" si="328"/>
        <v>0</v>
      </c>
      <c r="AK438" s="1">
        <f t="shared" si="328"/>
        <v>0</v>
      </c>
      <c r="AL438" s="1">
        <f t="shared" si="328"/>
        <v>0</v>
      </c>
      <c r="AM438" s="1">
        <f t="shared" si="328"/>
        <v>0</v>
      </c>
      <c r="AN438" s="1">
        <f t="shared" si="328"/>
        <v>0</v>
      </c>
      <c r="AO438" s="1">
        <f t="shared" si="328"/>
        <v>0</v>
      </c>
      <c r="AP438" s="1">
        <f t="shared" si="328"/>
        <v>0</v>
      </c>
      <c r="AQ438" s="1">
        <f t="shared" si="328"/>
        <v>0</v>
      </c>
      <c r="AR438" s="1">
        <f t="shared" si="328"/>
        <v>1</v>
      </c>
      <c r="AS438" s="1">
        <f t="shared" si="328"/>
        <v>1</v>
      </c>
      <c r="AT438" s="39">
        <f t="shared" si="297"/>
        <v>232156.78335913975</v>
      </c>
      <c r="AU438" s="39">
        <f t="shared" si="315"/>
        <v>232156.78335913975</v>
      </c>
      <c r="AV438" s="39">
        <f t="shared" si="325"/>
        <v>0</v>
      </c>
      <c r="AW438" s="3">
        <f t="shared" si="298"/>
        <v>364</v>
      </c>
      <c r="AX438" s="69">
        <f t="shared" si="316"/>
        <v>0</v>
      </c>
      <c r="AY438" s="75">
        <f t="shared" si="299"/>
        <v>0</v>
      </c>
      <c r="AZ438" s="75">
        <f t="shared" si="300"/>
        <v>0</v>
      </c>
      <c r="BA438" s="75">
        <f t="shared" si="301"/>
        <v>0</v>
      </c>
      <c r="BB438" s="75">
        <f t="shared" si="302"/>
        <v>0</v>
      </c>
      <c r="BD438" s="214">
        <f t="shared" si="317"/>
        <v>317205.72594493587</v>
      </c>
      <c r="BE438" s="214">
        <f t="shared" si="303"/>
        <v>1544.0149106533247</v>
      </c>
      <c r="BF438" s="214">
        <f t="shared" si="304"/>
        <v>-524.8775961750091</v>
      </c>
      <c r="BG438" s="224">
        <f t="shared" si="321"/>
        <v>0</v>
      </c>
      <c r="BH438" s="19">
        <f t="shared" si="318"/>
        <v>576977.48716442566</v>
      </c>
      <c r="BI438" s="214">
        <f t="shared" si="305"/>
        <v>2808.4670938374115</v>
      </c>
      <c r="BJ438" s="214">
        <f t="shared" si="306"/>
        <v>0</v>
      </c>
      <c r="BK438" s="19">
        <f t="shared" si="322"/>
        <v>0</v>
      </c>
    </row>
    <row r="439" spans="1:63">
      <c r="A439" s="165">
        <f t="shared" si="307"/>
        <v>92.389459274469544</v>
      </c>
      <c r="B439" s="69">
        <f t="shared" si="308"/>
        <v>31</v>
      </c>
      <c r="C439" s="70">
        <f t="shared" si="309"/>
        <v>365</v>
      </c>
      <c r="D439" s="13">
        <f t="shared" si="277"/>
        <v>4.8675505653430484E-3</v>
      </c>
      <c r="E439" s="15">
        <f t="shared" si="278"/>
        <v>1</v>
      </c>
      <c r="F439" s="15">
        <f t="shared" si="310"/>
        <v>0</v>
      </c>
      <c r="G439" s="15">
        <f t="shared" si="279"/>
        <v>0</v>
      </c>
      <c r="H439" s="73">
        <f t="shared" si="280"/>
        <v>0</v>
      </c>
      <c r="I439" s="189"/>
      <c r="J439" s="189"/>
      <c r="K439" s="5">
        <f t="shared" si="323"/>
        <v>232156.78335913975</v>
      </c>
      <c r="M439" s="5">
        <f t="shared" si="281"/>
        <v>1130.0348820880042</v>
      </c>
      <c r="N439" s="5">
        <f t="shared" si="282"/>
        <v>-384.1478397726666</v>
      </c>
      <c r="O439" s="5">
        <f t="shared" si="283"/>
        <v>0</v>
      </c>
      <c r="P439" s="5">
        <f t="shared" si="284"/>
        <v>0</v>
      </c>
      <c r="Q439" s="5">
        <f t="shared" si="319"/>
        <v>0</v>
      </c>
      <c r="R439" s="5">
        <f t="shared" si="311"/>
        <v>0</v>
      </c>
      <c r="S439" s="5">
        <f t="shared" si="285"/>
        <v>0</v>
      </c>
      <c r="T439" s="5">
        <f t="shared" si="286"/>
        <v>0</v>
      </c>
      <c r="U439" s="74">
        <f t="shared" si="287"/>
        <v>0</v>
      </c>
      <c r="V439" s="75">
        <f t="shared" si="288"/>
        <v>0</v>
      </c>
      <c r="W439" s="5">
        <f t="shared" si="289"/>
        <v>0</v>
      </c>
      <c r="X439" s="5">
        <f t="shared" si="290"/>
        <v>232902.67040145511</v>
      </c>
      <c r="Y439" s="5">
        <f t="shared" si="312"/>
        <v>100000</v>
      </c>
      <c r="Z439" s="215">
        <f t="shared" si="291"/>
        <v>1</v>
      </c>
      <c r="AA439" s="216">
        <f t="shared" si="313"/>
        <v>0</v>
      </c>
      <c r="AB439" s="72">
        <f t="shared" si="320"/>
        <v>50215.72519964027</v>
      </c>
      <c r="AC439" s="72">
        <f t="shared" si="292"/>
        <v>0</v>
      </c>
      <c r="AD439" s="72">
        <f t="shared" si="293"/>
        <v>0</v>
      </c>
      <c r="AE439" s="72">
        <f t="shared" si="314"/>
        <v>-48.499290319600391</v>
      </c>
      <c r="AF439" s="70">
        <f t="shared" si="294"/>
        <v>0</v>
      </c>
      <c r="AG439" s="70">
        <f t="shared" si="295"/>
        <v>19369.265128775987</v>
      </c>
      <c r="AH439" s="1">
        <f t="shared" si="328"/>
        <v>0</v>
      </c>
      <c r="AI439" s="1">
        <f t="shared" si="328"/>
        <v>0</v>
      </c>
      <c r="AJ439" s="1">
        <f t="shared" si="328"/>
        <v>0</v>
      </c>
      <c r="AK439" s="1">
        <f t="shared" si="328"/>
        <v>0</v>
      </c>
      <c r="AL439" s="1">
        <f t="shared" si="328"/>
        <v>0</v>
      </c>
      <c r="AM439" s="1">
        <f t="shared" si="328"/>
        <v>0</v>
      </c>
      <c r="AN439" s="1">
        <f t="shared" si="328"/>
        <v>0</v>
      </c>
      <c r="AO439" s="1">
        <f t="shared" si="328"/>
        <v>0</v>
      </c>
      <c r="AP439" s="1">
        <f t="shared" si="328"/>
        <v>0</v>
      </c>
      <c r="AQ439" s="1">
        <f t="shared" si="328"/>
        <v>0</v>
      </c>
      <c r="AR439" s="1">
        <f t="shared" si="328"/>
        <v>1</v>
      </c>
      <c r="AS439" s="1">
        <f t="shared" si="328"/>
        <v>1</v>
      </c>
      <c r="AT439" s="39">
        <f t="shared" si="297"/>
        <v>232902.67040145511</v>
      </c>
      <c r="AU439" s="39">
        <f t="shared" si="315"/>
        <v>232902.67040145511</v>
      </c>
      <c r="AV439" s="39">
        <f t="shared" si="325"/>
        <v>0</v>
      </c>
      <c r="AW439" s="3">
        <f t="shared" si="298"/>
        <v>365</v>
      </c>
      <c r="AX439" s="69">
        <f t="shared" si="316"/>
        <v>0</v>
      </c>
      <c r="AY439" s="75">
        <f t="shared" si="299"/>
        <v>0</v>
      </c>
      <c r="AZ439" s="75">
        <f t="shared" si="300"/>
        <v>0</v>
      </c>
      <c r="BA439" s="75">
        <f t="shared" si="301"/>
        <v>0</v>
      </c>
      <c r="BB439" s="75">
        <f t="shared" si="302"/>
        <v>0</v>
      </c>
      <c r="BD439" s="214">
        <f t="shared" si="317"/>
        <v>318224.86325941421</v>
      </c>
      <c r="BE439" s="214">
        <f t="shared" si="303"/>
        <v>1548.975613064576</v>
      </c>
      <c r="BF439" s="214">
        <f t="shared" si="304"/>
        <v>-526.56395395497077</v>
      </c>
      <c r="BG439" s="224">
        <f t="shared" si="321"/>
        <v>0</v>
      </c>
      <c r="BH439" s="19">
        <f t="shared" si="318"/>
        <v>579785.95425826311</v>
      </c>
      <c r="BI439" s="214">
        <f t="shared" si="305"/>
        <v>2822.1374494277675</v>
      </c>
      <c r="BJ439" s="214">
        <f t="shared" si="306"/>
        <v>0</v>
      </c>
      <c r="BK439" s="19">
        <f t="shared" si="322"/>
        <v>0</v>
      </c>
    </row>
    <row r="440" spans="1:63">
      <c r="A440" s="165">
        <f t="shared" si="307"/>
        <v>92.472792607802873</v>
      </c>
      <c r="B440" s="69">
        <f t="shared" si="308"/>
        <v>31</v>
      </c>
      <c r="C440" s="70">
        <f t="shared" si="309"/>
        <v>366</v>
      </c>
      <c r="D440" s="13">
        <f t="shared" si="277"/>
        <v>4.8675505653430484E-3</v>
      </c>
      <c r="E440" s="15">
        <f t="shared" si="278"/>
        <v>1</v>
      </c>
      <c r="F440" s="15">
        <f t="shared" si="310"/>
        <v>0</v>
      </c>
      <c r="G440" s="15">
        <f t="shared" si="279"/>
        <v>0</v>
      </c>
      <c r="H440" s="73">
        <f t="shared" si="280"/>
        <v>0</v>
      </c>
      <c r="I440" s="189"/>
      <c r="J440" s="189"/>
      <c r="K440" s="5">
        <f t="shared" si="323"/>
        <v>232902.67040145511</v>
      </c>
      <c r="M440" s="5">
        <f t="shared" si="281"/>
        <v>1133.6655249825085</v>
      </c>
      <c r="N440" s="5">
        <f t="shared" si="282"/>
        <v>-385.38205266911513</v>
      </c>
      <c r="O440" s="5">
        <f t="shared" si="283"/>
        <v>0</v>
      </c>
      <c r="P440" s="5">
        <f t="shared" si="284"/>
        <v>0</v>
      </c>
      <c r="Q440" s="5">
        <f t="shared" si="319"/>
        <v>0</v>
      </c>
      <c r="R440" s="5">
        <f t="shared" si="311"/>
        <v>0</v>
      </c>
      <c r="S440" s="5">
        <f t="shared" si="285"/>
        <v>0</v>
      </c>
      <c r="T440" s="5">
        <f t="shared" si="286"/>
        <v>0</v>
      </c>
      <c r="U440" s="74">
        <f t="shared" si="287"/>
        <v>0</v>
      </c>
      <c r="V440" s="75">
        <f t="shared" si="288"/>
        <v>0</v>
      </c>
      <c r="W440" s="5">
        <f t="shared" si="289"/>
        <v>0</v>
      </c>
      <c r="X440" s="5">
        <f t="shared" si="290"/>
        <v>233650.95387376848</v>
      </c>
      <c r="Y440" s="5">
        <f t="shared" si="312"/>
        <v>100000</v>
      </c>
      <c r="Z440" s="215">
        <f t="shared" si="291"/>
        <v>1</v>
      </c>
      <c r="AA440" s="216">
        <f t="shared" si="313"/>
        <v>0</v>
      </c>
      <c r="AB440" s="72">
        <f t="shared" si="320"/>
        <v>50215.72519964027</v>
      </c>
      <c r="AC440" s="72">
        <f t="shared" si="292"/>
        <v>0</v>
      </c>
      <c r="AD440" s="72">
        <f t="shared" si="293"/>
        <v>0</v>
      </c>
      <c r="AE440" s="72">
        <f t="shared" si="314"/>
        <v>-48.655111707575593</v>
      </c>
      <c r="AF440" s="70">
        <f t="shared" si="294"/>
        <v>0</v>
      </c>
      <c r="AG440" s="70">
        <f t="shared" si="295"/>
        <v>19653.612848255063</v>
      </c>
      <c r="AH440" s="1">
        <f t="shared" si="328"/>
        <v>0</v>
      </c>
      <c r="AI440" s="1">
        <f t="shared" si="328"/>
        <v>0</v>
      </c>
      <c r="AJ440" s="1">
        <f t="shared" si="328"/>
        <v>0</v>
      </c>
      <c r="AK440" s="1">
        <f t="shared" si="328"/>
        <v>0</v>
      </c>
      <c r="AL440" s="1">
        <f t="shared" si="328"/>
        <v>0</v>
      </c>
      <c r="AM440" s="1">
        <f t="shared" si="328"/>
        <v>0</v>
      </c>
      <c r="AN440" s="1">
        <f t="shared" si="328"/>
        <v>0</v>
      </c>
      <c r="AO440" s="1">
        <f t="shared" si="328"/>
        <v>0</v>
      </c>
      <c r="AP440" s="1">
        <f t="shared" si="328"/>
        <v>0</v>
      </c>
      <c r="AQ440" s="1">
        <f t="shared" si="328"/>
        <v>0</v>
      </c>
      <c r="AR440" s="1">
        <f t="shared" si="328"/>
        <v>1</v>
      </c>
      <c r="AS440" s="1">
        <f t="shared" si="328"/>
        <v>1</v>
      </c>
      <c r="AT440" s="39">
        <f t="shared" si="297"/>
        <v>233650.95387376848</v>
      </c>
      <c r="AU440" s="39">
        <f t="shared" si="315"/>
        <v>233650.95387376848</v>
      </c>
      <c r="AV440" s="39">
        <f t="shared" si="325"/>
        <v>0</v>
      </c>
      <c r="AW440" s="3">
        <f t="shared" si="298"/>
        <v>366</v>
      </c>
      <c r="AX440" s="69">
        <f t="shared" si="316"/>
        <v>0</v>
      </c>
      <c r="AY440" s="75">
        <f t="shared" si="299"/>
        <v>0</v>
      </c>
      <c r="AZ440" s="75">
        <f t="shared" si="300"/>
        <v>0</v>
      </c>
      <c r="BA440" s="75">
        <f t="shared" si="301"/>
        <v>0</v>
      </c>
      <c r="BB440" s="75">
        <f t="shared" si="302"/>
        <v>0</v>
      </c>
      <c r="BD440" s="214">
        <f t="shared" si="317"/>
        <v>319247.27491852385</v>
      </c>
      <c r="BE440" s="214">
        <f t="shared" si="303"/>
        <v>1553.9522535138883</v>
      </c>
      <c r="BF440" s="214">
        <f t="shared" si="304"/>
        <v>-528.25572976493174</v>
      </c>
      <c r="BG440" s="224">
        <f t="shared" si="321"/>
        <v>0</v>
      </c>
      <c r="BH440" s="19">
        <f t="shared" si="318"/>
        <v>582608.09170769085</v>
      </c>
      <c r="BI440" s="214">
        <f t="shared" si="305"/>
        <v>2835.8743461652052</v>
      </c>
      <c r="BJ440" s="214">
        <f t="shared" si="306"/>
        <v>0</v>
      </c>
      <c r="BK440" s="19">
        <f t="shared" si="322"/>
        <v>0</v>
      </c>
    </row>
    <row r="441" spans="1:63">
      <c r="A441" s="165">
        <f t="shared" si="307"/>
        <v>92.556125941136202</v>
      </c>
      <c r="B441" s="69">
        <f t="shared" si="308"/>
        <v>31</v>
      </c>
      <c r="C441" s="70">
        <f t="shared" si="309"/>
        <v>367</v>
      </c>
      <c r="D441" s="13">
        <f t="shared" si="277"/>
        <v>4.8675505653430484E-3</v>
      </c>
      <c r="E441" s="15">
        <f t="shared" si="278"/>
        <v>1</v>
      </c>
      <c r="F441" s="15">
        <f t="shared" si="310"/>
        <v>0</v>
      </c>
      <c r="G441" s="15">
        <f t="shared" si="279"/>
        <v>0</v>
      </c>
      <c r="H441" s="73">
        <f t="shared" si="280"/>
        <v>0</v>
      </c>
      <c r="I441" s="189"/>
      <c r="J441" s="189"/>
      <c r="K441" s="5">
        <f t="shared" si="323"/>
        <v>233650.95387376848</v>
      </c>
      <c r="M441" s="5">
        <f t="shared" si="281"/>
        <v>1137.3078326212042</v>
      </c>
      <c r="N441" s="5">
        <f t="shared" si="282"/>
        <v>-386.62023091774336</v>
      </c>
      <c r="O441" s="5">
        <f t="shared" si="283"/>
        <v>0</v>
      </c>
      <c r="P441" s="5">
        <f t="shared" si="284"/>
        <v>0</v>
      </c>
      <c r="Q441" s="5">
        <f t="shared" si="319"/>
        <v>0</v>
      </c>
      <c r="R441" s="5">
        <f t="shared" si="311"/>
        <v>0</v>
      </c>
      <c r="S441" s="5">
        <f t="shared" si="285"/>
        <v>0</v>
      </c>
      <c r="T441" s="5">
        <f t="shared" si="286"/>
        <v>0</v>
      </c>
      <c r="U441" s="74">
        <f t="shared" si="287"/>
        <v>0</v>
      </c>
      <c r="V441" s="75">
        <f t="shared" si="288"/>
        <v>0</v>
      </c>
      <c r="W441" s="5">
        <f t="shared" si="289"/>
        <v>0</v>
      </c>
      <c r="X441" s="5">
        <f t="shared" si="290"/>
        <v>234401.64147547196</v>
      </c>
      <c r="Y441" s="5">
        <f t="shared" si="312"/>
        <v>100000</v>
      </c>
      <c r="Z441" s="215">
        <f t="shared" si="291"/>
        <v>1</v>
      </c>
      <c r="AA441" s="216">
        <f t="shared" si="313"/>
        <v>0</v>
      </c>
      <c r="AB441" s="72">
        <f t="shared" si="320"/>
        <v>50215.72519964027</v>
      </c>
      <c r="AC441" s="72">
        <f t="shared" si="292"/>
        <v>0</v>
      </c>
      <c r="AD441" s="72">
        <f t="shared" si="293"/>
        <v>0</v>
      </c>
      <c r="AE441" s="72">
        <f t="shared" si="314"/>
        <v>-48.811433727720676</v>
      </c>
      <c r="AF441" s="70">
        <f t="shared" si="294"/>
        <v>0</v>
      </c>
      <c r="AG441" s="70">
        <f t="shared" si="295"/>
        <v>19938.87413690237</v>
      </c>
      <c r="AH441" s="1">
        <f t="shared" si="328"/>
        <v>0</v>
      </c>
      <c r="AI441" s="1">
        <f t="shared" si="328"/>
        <v>0</v>
      </c>
      <c r="AJ441" s="1">
        <f t="shared" si="328"/>
        <v>0</v>
      </c>
      <c r="AK441" s="1">
        <f t="shared" si="328"/>
        <v>0</v>
      </c>
      <c r="AL441" s="1">
        <f t="shared" si="328"/>
        <v>0</v>
      </c>
      <c r="AM441" s="1">
        <f t="shared" si="328"/>
        <v>0</v>
      </c>
      <c r="AN441" s="1">
        <f t="shared" si="328"/>
        <v>0</v>
      </c>
      <c r="AO441" s="1">
        <f t="shared" si="328"/>
        <v>0</v>
      </c>
      <c r="AP441" s="1">
        <f t="shared" si="328"/>
        <v>0</v>
      </c>
      <c r="AQ441" s="1">
        <f t="shared" si="328"/>
        <v>0</v>
      </c>
      <c r="AR441" s="1">
        <f t="shared" si="328"/>
        <v>1</v>
      </c>
      <c r="AS441" s="1">
        <f t="shared" si="328"/>
        <v>1</v>
      </c>
      <c r="AT441" s="39">
        <f t="shared" si="297"/>
        <v>234401.64147547196</v>
      </c>
      <c r="AU441" s="39">
        <f t="shared" si="315"/>
        <v>234401.64147547196</v>
      </c>
      <c r="AV441" s="39">
        <f t="shared" si="325"/>
        <v>0</v>
      </c>
      <c r="AW441" s="3">
        <f t="shared" si="298"/>
        <v>367</v>
      </c>
      <c r="AX441" s="69">
        <f t="shared" si="316"/>
        <v>0</v>
      </c>
      <c r="AY441" s="75">
        <f t="shared" si="299"/>
        <v>0</v>
      </c>
      <c r="AZ441" s="75">
        <f t="shared" si="300"/>
        <v>0</v>
      </c>
      <c r="BA441" s="75">
        <f t="shared" si="301"/>
        <v>0</v>
      </c>
      <c r="BB441" s="75">
        <f t="shared" si="302"/>
        <v>0</v>
      </c>
      <c r="BD441" s="214">
        <f t="shared" si="317"/>
        <v>320272.97144227283</v>
      </c>
      <c r="BE441" s="214">
        <f t="shared" si="303"/>
        <v>1558.9448832079331</v>
      </c>
      <c r="BF441" s="214">
        <f t="shared" si="304"/>
        <v>-529.9529410122592</v>
      </c>
      <c r="BG441" s="224">
        <f t="shared" si="321"/>
        <v>0</v>
      </c>
      <c r="BH441" s="19">
        <f t="shared" si="318"/>
        <v>585443.96605385607</v>
      </c>
      <c r="BI441" s="214">
        <f t="shared" si="305"/>
        <v>2849.6781079421235</v>
      </c>
      <c r="BJ441" s="214">
        <f t="shared" si="306"/>
        <v>0</v>
      </c>
      <c r="BK441" s="19">
        <f t="shared" si="322"/>
        <v>0</v>
      </c>
    </row>
    <row r="442" spans="1:63">
      <c r="A442" s="165">
        <f t="shared" si="307"/>
        <v>92.639459274469544</v>
      </c>
      <c r="B442" s="69">
        <f t="shared" si="308"/>
        <v>31</v>
      </c>
      <c r="C442" s="70">
        <f t="shared" si="309"/>
        <v>368</v>
      </c>
      <c r="D442" s="13">
        <f t="shared" si="277"/>
        <v>4.8675505653430484E-3</v>
      </c>
      <c r="E442" s="15">
        <f t="shared" si="278"/>
        <v>1</v>
      </c>
      <c r="F442" s="15">
        <f t="shared" si="310"/>
        <v>0</v>
      </c>
      <c r="G442" s="15">
        <f t="shared" si="279"/>
        <v>0</v>
      </c>
      <c r="H442" s="73">
        <f t="shared" si="280"/>
        <v>0</v>
      </c>
      <c r="I442" s="189"/>
      <c r="J442" s="189"/>
      <c r="K442" s="5">
        <f t="shared" si="323"/>
        <v>234401.64147547196</v>
      </c>
      <c r="M442" s="5">
        <f t="shared" si="281"/>
        <v>1140.961842481272</v>
      </c>
      <c r="N442" s="5">
        <f t="shared" si="282"/>
        <v>-387.86238725866923</v>
      </c>
      <c r="O442" s="5">
        <f t="shared" si="283"/>
        <v>0</v>
      </c>
      <c r="P442" s="5">
        <f t="shared" si="284"/>
        <v>0</v>
      </c>
      <c r="Q442" s="5">
        <f t="shared" si="319"/>
        <v>0</v>
      </c>
      <c r="R442" s="5">
        <f t="shared" si="311"/>
        <v>0</v>
      </c>
      <c r="S442" s="5">
        <f t="shared" si="285"/>
        <v>0</v>
      </c>
      <c r="T442" s="5">
        <f t="shared" si="286"/>
        <v>0</v>
      </c>
      <c r="U442" s="74">
        <f t="shared" si="287"/>
        <v>0</v>
      </c>
      <c r="V442" s="75">
        <f t="shared" si="288"/>
        <v>0</v>
      </c>
      <c r="W442" s="5">
        <f t="shared" si="289"/>
        <v>0</v>
      </c>
      <c r="X442" s="5">
        <f t="shared" si="290"/>
        <v>235154.74093069456</v>
      </c>
      <c r="Y442" s="5">
        <f t="shared" si="312"/>
        <v>100000</v>
      </c>
      <c r="Z442" s="215">
        <f t="shared" si="291"/>
        <v>1</v>
      </c>
      <c r="AA442" s="216">
        <f t="shared" si="313"/>
        <v>0</v>
      </c>
      <c r="AB442" s="72">
        <f t="shared" si="320"/>
        <v>50215.72519964027</v>
      </c>
      <c r="AC442" s="72">
        <f t="shared" si="292"/>
        <v>0</v>
      </c>
      <c r="AD442" s="72">
        <f t="shared" si="293"/>
        <v>0</v>
      </c>
      <c r="AE442" s="72">
        <f t="shared" si="314"/>
        <v>-48.968257988496291</v>
      </c>
      <c r="AF442" s="70">
        <f t="shared" si="294"/>
        <v>0</v>
      </c>
      <c r="AG442" s="70">
        <f t="shared" si="295"/>
        <v>20225.051929886969</v>
      </c>
      <c r="AH442" s="1">
        <f t="shared" si="328"/>
        <v>0</v>
      </c>
      <c r="AI442" s="1">
        <f t="shared" si="328"/>
        <v>0</v>
      </c>
      <c r="AJ442" s="1">
        <f t="shared" si="328"/>
        <v>0</v>
      </c>
      <c r="AK442" s="1">
        <f t="shared" si="328"/>
        <v>0</v>
      </c>
      <c r="AL442" s="1">
        <f t="shared" si="328"/>
        <v>0</v>
      </c>
      <c r="AM442" s="1">
        <f t="shared" si="328"/>
        <v>0</v>
      </c>
      <c r="AN442" s="1">
        <f t="shared" si="328"/>
        <v>0</v>
      </c>
      <c r="AO442" s="1">
        <f t="shared" si="328"/>
        <v>0</v>
      </c>
      <c r="AP442" s="1">
        <f t="shared" si="328"/>
        <v>0</v>
      </c>
      <c r="AQ442" s="1">
        <f t="shared" si="328"/>
        <v>0</v>
      </c>
      <c r="AR442" s="1">
        <f t="shared" si="328"/>
        <v>1</v>
      </c>
      <c r="AS442" s="1">
        <f t="shared" si="328"/>
        <v>1</v>
      </c>
      <c r="AT442" s="39">
        <f t="shared" si="297"/>
        <v>235154.74093069456</v>
      </c>
      <c r="AU442" s="39">
        <f t="shared" si="315"/>
        <v>235154.74093069456</v>
      </c>
      <c r="AV442" s="39">
        <f t="shared" si="325"/>
        <v>0</v>
      </c>
      <c r="AW442" s="3">
        <f t="shared" si="298"/>
        <v>368</v>
      </c>
      <c r="AX442" s="69">
        <f t="shared" si="316"/>
        <v>0</v>
      </c>
      <c r="AY442" s="75">
        <f t="shared" si="299"/>
        <v>0</v>
      </c>
      <c r="AZ442" s="75">
        <f t="shared" si="300"/>
        <v>0</v>
      </c>
      <c r="BA442" s="75">
        <f t="shared" si="301"/>
        <v>0</v>
      </c>
      <c r="BB442" s="75">
        <f t="shared" si="302"/>
        <v>0</v>
      </c>
      <c r="BD442" s="214">
        <f t="shared" si="317"/>
        <v>321301.96338446846</v>
      </c>
      <c r="BE442" s="214">
        <f t="shared" si="303"/>
        <v>1563.9535535179009</v>
      </c>
      <c r="BF442" s="214">
        <f t="shared" si="304"/>
        <v>-531.65560516024777</v>
      </c>
      <c r="BG442" s="224">
        <f t="shared" si="321"/>
        <v>0</v>
      </c>
      <c r="BH442" s="19">
        <f t="shared" si="318"/>
        <v>588293.64416179818</v>
      </c>
      <c r="BI442" s="214">
        <f t="shared" si="305"/>
        <v>2863.5490602274831</v>
      </c>
      <c r="BJ442" s="214">
        <f t="shared" si="306"/>
        <v>0</v>
      </c>
      <c r="BK442" s="19">
        <f t="shared" si="322"/>
        <v>0</v>
      </c>
    </row>
    <row r="443" spans="1:63">
      <c r="A443" s="165">
        <f t="shared" si="307"/>
        <v>92.722792607802873</v>
      </c>
      <c r="B443" s="69">
        <f t="shared" si="308"/>
        <v>31</v>
      </c>
      <c r="C443" s="70">
        <f t="shared" si="309"/>
        <v>369</v>
      </c>
      <c r="D443" s="13">
        <f t="shared" si="277"/>
        <v>4.8675505653430484E-3</v>
      </c>
      <c r="E443" s="15">
        <f t="shared" si="278"/>
        <v>1</v>
      </c>
      <c r="F443" s="15">
        <f t="shared" si="310"/>
        <v>0</v>
      </c>
      <c r="G443" s="15">
        <f t="shared" si="279"/>
        <v>0</v>
      </c>
      <c r="H443" s="73">
        <f t="shared" si="280"/>
        <v>0</v>
      </c>
      <c r="I443" s="189"/>
      <c r="J443" s="189"/>
      <c r="K443" s="5">
        <f t="shared" si="323"/>
        <v>235154.74093069456</v>
      </c>
      <c r="M443" s="5">
        <f t="shared" si="281"/>
        <v>1144.6275921603003</v>
      </c>
      <c r="N443" s="5">
        <f t="shared" si="282"/>
        <v>-389.10853447294295</v>
      </c>
      <c r="O443" s="5">
        <f t="shared" si="283"/>
        <v>0</v>
      </c>
      <c r="P443" s="5">
        <f t="shared" si="284"/>
        <v>0</v>
      </c>
      <c r="Q443" s="5">
        <f t="shared" si="319"/>
        <v>0</v>
      </c>
      <c r="R443" s="5">
        <f t="shared" si="311"/>
        <v>0</v>
      </c>
      <c r="S443" s="5">
        <f t="shared" si="285"/>
        <v>0</v>
      </c>
      <c r="T443" s="5">
        <f t="shared" si="286"/>
        <v>0</v>
      </c>
      <c r="U443" s="74">
        <f t="shared" si="287"/>
        <v>0</v>
      </c>
      <c r="V443" s="75">
        <f t="shared" si="288"/>
        <v>0</v>
      </c>
      <c r="W443" s="5">
        <f t="shared" si="289"/>
        <v>0</v>
      </c>
      <c r="X443" s="5">
        <f t="shared" si="290"/>
        <v>235910.25998838193</v>
      </c>
      <c r="Y443" s="5">
        <f t="shared" si="312"/>
        <v>100000</v>
      </c>
      <c r="Z443" s="215">
        <f t="shared" si="291"/>
        <v>1</v>
      </c>
      <c r="AA443" s="216">
        <f t="shared" si="313"/>
        <v>0</v>
      </c>
      <c r="AB443" s="72">
        <f t="shared" si="320"/>
        <v>50215.72519964027</v>
      </c>
      <c r="AC443" s="72">
        <f t="shared" si="292"/>
        <v>0</v>
      </c>
      <c r="AD443" s="72">
        <f t="shared" si="293"/>
        <v>0</v>
      </c>
      <c r="AE443" s="72">
        <f t="shared" si="314"/>
        <v>-49.125586103530829</v>
      </c>
      <c r="AF443" s="70">
        <f t="shared" si="294"/>
        <v>0</v>
      </c>
      <c r="AG443" s="70">
        <f t="shared" si="295"/>
        <v>20512.14917180816</v>
      </c>
      <c r="AH443" s="1">
        <f t="shared" si="328"/>
        <v>0</v>
      </c>
      <c r="AI443" s="1">
        <f t="shared" si="328"/>
        <v>0</v>
      </c>
      <c r="AJ443" s="1">
        <f t="shared" si="328"/>
        <v>0</v>
      </c>
      <c r="AK443" s="1">
        <f t="shared" si="328"/>
        <v>0</v>
      </c>
      <c r="AL443" s="1">
        <f t="shared" si="328"/>
        <v>0</v>
      </c>
      <c r="AM443" s="1">
        <f t="shared" si="328"/>
        <v>0</v>
      </c>
      <c r="AN443" s="1">
        <f t="shared" si="328"/>
        <v>0</v>
      </c>
      <c r="AO443" s="1">
        <f t="shared" si="328"/>
        <v>0</v>
      </c>
      <c r="AP443" s="1">
        <f t="shared" si="328"/>
        <v>0</v>
      </c>
      <c r="AQ443" s="1">
        <f t="shared" si="328"/>
        <v>0</v>
      </c>
      <c r="AR443" s="1">
        <f t="shared" si="328"/>
        <v>1</v>
      </c>
      <c r="AS443" s="1">
        <f t="shared" si="328"/>
        <v>1</v>
      </c>
      <c r="AT443" s="39">
        <f t="shared" si="297"/>
        <v>235910.25998838193</v>
      </c>
      <c r="AU443" s="39">
        <f t="shared" si="315"/>
        <v>235910.25998838193</v>
      </c>
      <c r="AV443" s="39">
        <f t="shared" si="325"/>
        <v>0</v>
      </c>
      <c r="AW443" s="3">
        <f t="shared" si="298"/>
        <v>369</v>
      </c>
      <c r="AX443" s="69">
        <f t="shared" si="316"/>
        <v>0</v>
      </c>
      <c r="AY443" s="75">
        <f t="shared" si="299"/>
        <v>0</v>
      </c>
      <c r="AZ443" s="75">
        <f t="shared" si="300"/>
        <v>0</v>
      </c>
      <c r="BA443" s="75">
        <f t="shared" si="301"/>
        <v>0</v>
      </c>
      <c r="BB443" s="75">
        <f t="shared" si="302"/>
        <v>0</v>
      </c>
      <c r="BD443" s="214">
        <f t="shared" si="317"/>
        <v>322334.26133282611</v>
      </c>
      <c r="BE443" s="214">
        <f t="shared" si="303"/>
        <v>1568.9783159800315</v>
      </c>
      <c r="BF443" s="214">
        <f t="shared" si="304"/>
        <v>-533.36373972829904</v>
      </c>
      <c r="BG443" s="224">
        <f t="shared" si="321"/>
        <v>0</v>
      </c>
      <c r="BH443" s="19">
        <f t="shared" si="318"/>
        <v>591157.19322202564</v>
      </c>
      <c r="BI443" s="214">
        <f t="shared" si="305"/>
        <v>2877.4875300744807</v>
      </c>
      <c r="BJ443" s="214">
        <f t="shared" si="306"/>
        <v>0</v>
      </c>
      <c r="BK443" s="19">
        <f t="shared" si="322"/>
        <v>0</v>
      </c>
    </row>
    <row r="444" spans="1:63">
      <c r="A444" s="165">
        <f t="shared" si="307"/>
        <v>92.806125941136202</v>
      </c>
      <c r="B444" s="69">
        <f t="shared" si="308"/>
        <v>31</v>
      </c>
      <c r="C444" s="70">
        <f t="shared" si="309"/>
        <v>370</v>
      </c>
      <c r="D444" s="13">
        <f t="shared" si="277"/>
        <v>4.8675505653430484E-3</v>
      </c>
      <c r="E444" s="15">
        <f t="shared" si="278"/>
        <v>1</v>
      </c>
      <c r="F444" s="15">
        <f t="shared" si="310"/>
        <v>0</v>
      </c>
      <c r="G444" s="15">
        <f t="shared" si="279"/>
        <v>0</v>
      </c>
      <c r="H444" s="73">
        <f t="shared" si="280"/>
        <v>0</v>
      </c>
      <c r="I444" s="189"/>
      <c r="J444" s="189"/>
      <c r="K444" s="5">
        <f t="shared" si="323"/>
        <v>235910.25998838193</v>
      </c>
      <c r="M444" s="5">
        <f t="shared" si="281"/>
        <v>1148.3051193766739</v>
      </c>
      <c r="N444" s="5">
        <f t="shared" si="282"/>
        <v>-390.3586853826784</v>
      </c>
      <c r="O444" s="5">
        <f t="shared" si="283"/>
        <v>0</v>
      </c>
      <c r="P444" s="5">
        <f t="shared" si="284"/>
        <v>0</v>
      </c>
      <c r="Q444" s="5">
        <f t="shared" si="319"/>
        <v>0</v>
      </c>
      <c r="R444" s="5">
        <f t="shared" si="311"/>
        <v>0</v>
      </c>
      <c r="S444" s="5">
        <f t="shared" si="285"/>
        <v>0</v>
      </c>
      <c r="T444" s="5">
        <f t="shared" si="286"/>
        <v>0</v>
      </c>
      <c r="U444" s="74">
        <f t="shared" si="287"/>
        <v>0</v>
      </c>
      <c r="V444" s="75">
        <f t="shared" si="288"/>
        <v>0</v>
      </c>
      <c r="W444" s="5">
        <f t="shared" si="289"/>
        <v>0</v>
      </c>
      <c r="X444" s="5">
        <f t="shared" si="290"/>
        <v>236668.20642237595</v>
      </c>
      <c r="Y444" s="5">
        <f t="shared" si="312"/>
        <v>100000</v>
      </c>
      <c r="Z444" s="215">
        <f t="shared" si="291"/>
        <v>1</v>
      </c>
      <c r="AA444" s="216">
        <f t="shared" si="313"/>
        <v>0</v>
      </c>
      <c r="AB444" s="72">
        <f t="shared" si="320"/>
        <v>50215.72519964027</v>
      </c>
      <c r="AC444" s="72">
        <f t="shared" si="292"/>
        <v>0</v>
      </c>
      <c r="AD444" s="72">
        <f t="shared" si="293"/>
        <v>0</v>
      </c>
      <c r="AE444" s="72">
        <f t="shared" si="314"/>
        <v>-49.283419691637043</v>
      </c>
      <c r="AF444" s="70">
        <f t="shared" si="294"/>
        <v>0</v>
      </c>
      <c r="AG444" s="70">
        <f t="shared" si="295"/>
        <v>20800.168816725905</v>
      </c>
      <c r="AH444" s="1">
        <f t="shared" si="328"/>
        <v>0</v>
      </c>
      <c r="AI444" s="1">
        <f t="shared" si="328"/>
        <v>0</v>
      </c>
      <c r="AJ444" s="1">
        <f t="shared" si="328"/>
        <v>0</v>
      </c>
      <c r="AK444" s="1">
        <f t="shared" si="328"/>
        <v>0</v>
      </c>
      <c r="AL444" s="1">
        <f t="shared" si="328"/>
        <v>0</v>
      </c>
      <c r="AM444" s="1">
        <f t="shared" si="328"/>
        <v>0</v>
      </c>
      <c r="AN444" s="1">
        <f t="shared" si="328"/>
        <v>0</v>
      </c>
      <c r="AO444" s="1">
        <f t="shared" si="328"/>
        <v>0</v>
      </c>
      <c r="AP444" s="1">
        <f t="shared" si="328"/>
        <v>0</v>
      </c>
      <c r="AQ444" s="1">
        <f t="shared" si="328"/>
        <v>0</v>
      </c>
      <c r="AR444" s="1">
        <f t="shared" si="328"/>
        <v>1</v>
      </c>
      <c r="AS444" s="1">
        <f t="shared" si="328"/>
        <v>1</v>
      </c>
      <c r="AT444" s="39">
        <f t="shared" si="297"/>
        <v>236668.20642237595</v>
      </c>
      <c r="AU444" s="39">
        <f t="shared" si="315"/>
        <v>236668.20642237595</v>
      </c>
      <c r="AV444" s="39">
        <f t="shared" si="325"/>
        <v>0</v>
      </c>
      <c r="AW444" s="3">
        <f t="shared" si="298"/>
        <v>370</v>
      </c>
      <c r="AX444" s="69">
        <f t="shared" si="316"/>
        <v>0</v>
      </c>
      <c r="AY444" s="75">
        <f t="shared" si="299"/>
        <v>0</v>
      </c>
      <c r="AZ444" s="75">
        <f t="shared" si="300"/>
        <v>0</v>
      </c>
      <c r="BA444" s="75">
        <f t="shared" si="301"/>
        <v>0</v>
      </c>
      <c r="BB444" s="75">
        <f t="shared" si="302"/>
        <v>0</v>
      </c>
      <c r="BD444" s="214">
        <f t="shared" si="317"/>
        <v>323369.87590907788</v>
      </c>
      <c r="BE444" s="214">
        <f t="shared" si="303"/>
        <v>1574.0192222961434</v>
      </c>
      <c r="BF444" s="214">
        <f t="shared" si="304"/>
        <v>-535.07736229210229</v>
      </c>
      <c r="BG444" s="224">
        <f t="shared" si="321"/>
        <v>0</v>
      </c>
      <c r="BH444" s="19">
        <f t="shared" si="318"/>
        <v>594034.68075210007</v>
      </c>
      <c r="BI444" s="214">
        <f t="shared" si="305"/>
        <v>2891.4938461282618</v>
      </c>
      <c r="BJ444" s="214">
        <f t="shared" si="306"/>
        <v>0</v>
      </c>
      <c r="BK444" s="19">
        <f t="shared" si="322"/>
        <v>0</v>
      </c>
    </row>
    <row r="445" spans="1:63">
      <c r="A445" s="165">
        <f t="shared" si="307"/>
        <v>92.889459274469544</v>
      </c>
      <c r="B445" s="69">
        <f t="shared" si="308"/>
        <v>31</v>
      </c>
      <c r="C445" s="70">
        <f t="shared" si="309"/>
        <v>371</v>
      </c>
      <c r="D445" s="13">
        <f t="shared" si="277"/>
        <v>4.8675505653430484E-3</v>
      </c>
      <c r="E445" s="15">
        <f t="shared" si="278"/>
        <v>1</v>
      </c>
      <c r="F445" s="15">
        <f t="shared" si="310"/>
        <v>0</v>
      </c>
      <c r="G445" s="15">
        <f t="shared" si="279"/>
        <v>0</v>
      </c>
      <c r="H445" s="73">
        <f t="shared" si="280"/>
        <v>0</v>
      </c>
      <c r="I445" s="189"/>
      <c r="J445" s="189"/>
      <c r="K445" s="5">
        <f t="shared" si="323"/>
        <v>236668.20642237595</v>
      </c>
      <c r="M445" s="5">
        <f t="shared" si="281"/>
        <v>1151.9944619699613</v>
      </c>
      <c r="N445" s="5">
        <f t="shared" si="282"/>
        <v>-391.6128528511851</v>
      </c>
      <c r="O445" s="5">
        <f t="shared" si="283"/>
        <v>0</v>
      </c>
      <c r="P445" s="5">
        <f t="shared" si="284"/>
        <v>0</v>
      </c>
      <c r="Q445" s="5">
        <f t="shared" si="319"/>
        <v>0</v>
      </c>
      <c r="R445" s="5">
        <f t="shared" si="311"/>
        <v>0</v>
      </c>
      <c r="S445" s="5">
        <f t="shared" si="285"/>
        <v>0</v>
      </c>
      <c r="T445" s="5">
        <f t="shared" si="286"/>
        <v>0</v>
      </c>
      <c r="U445" s="74">
        <f t="shared" si="287"/>
        <v>0</v>
      </c>
      <c r="V445" s="75">
        <f t="shared" si="288"/>
        <v>0</v>
      </c>
      <c r="W445" s="5">
        <f t="shared" si="289"/>
        <v>0</v>
      </c>
      <c r="X445" s="5">
        <f t="shared" si="290"/>
        <v>237428.58803149473</v>
      </c>
      <c r="Y445" s="5">
        <f t="shared" si="312"/>
        <v>100000</v>
      </c>
      <c r="Z445" s="215">
        <f t="shared" si="291"/>
        <v>1</v>
      </c>
      <c r="AA445" s="216">
        <f t="shared" si="313"/>
        <v>0</v>
      </c>
      <c r="AB445" s="72">
        <f t="shared" si="320"/>
        <v>50215.72519964027</v>
      </c>
      <c r="AC445" s="72">
        <f t="shared" si="292"/>
        <v>0</v>
      </c>
      <c r="AD445" s="72">
        <f t="shared" si="293"/>
        <v>0</v>
      </c>
      <c r="AE445" s="72">
        <f t="shared" si="314"/>
        <v>-49.441760376828718</v>
      </c>
      <c r="AF445" s="70">
        <f t="shared" si="294"/>
        <v>0</v>
      </c>
      <c r="AG445" s="70">
        <f t="shared" si="295"/>
        <v>21089.113828191032</v>
      </c>
      <c r="AH445" s="1">
        <f t="shared" ref="AH445:AS454" si="329">IF($B445&lt;=AH$74,1,0)</f>
        <v>0</v>
      </c>
      <c r="AI445" s="1">
        <f t="shared" si="329"/>
        <v>0</v>
      </c>
      <c r="AJ445" s="1">
        <f t="shared" si="329"/>
        <v>0</v>
      </c>
      <c r="AK445" s="1">
        <f t="shared" si="329"/>
        <v>0</v>
      </c>
      <c r="AL445" s="1">
        <f t="shared" si="329"/>
        <v>0</v>
      </c>
      <c r="AM445" s="1">
        <f t="shared" si="329"/>
        <v>0</v>
      </c>
      <c r="AN445" s="1">
        <f t="shared" si="329"/>
        <v>0</v>
      </c>
      <c r="AO445" s="1">
        <f t="shared" si="329"/>
        <v>0</v>
      </c>
      <c r="AP445" s="1">
        <f t="shared" si="329"/>
        <v>0</v>
      </c>
      <c r="AQ445" s="1">
        <f t="shared" si="329"/>
        <v>0</v>
      </c>
      <c r="AR445" s="1">
        <f t="shared" si="329"/>
        <v>1</v>
      </c>
      <c r="AS445" s="1">
        <f t="shared" si="329"/>
        <v>1</v>
      </c>
      <c r="AT445" s="39">
        <f t="shared" si="297"/>
        <v>237428.58803149473</v>
      </c>
      <c r="AU445" s="39">
        <f t="shared" si="315"/>
        <v>237428.58803149473</v>
      </c>
      <c r="AV445" s="39">
        <f t="shared" si="325"/>
        <v>0</v>
      </c>
      <c r="AW445" s="3">
        <f t="shared" si="298"/>
        <v>371</v>
      </c>
      <c r="AX445" s="69">
        <f t="shared" si="316"/>
        <v>0</v>
      </c>
      <c r="AY445" s="75">
        <f t="shared" si="299"/>
        <v>0</v>
      </c>
      <c r="AZ445" s="75">
        <f t="shared" si="300"/>
        <v>0</v>
      </c>
      <c r="BA445" s="75">
        <f t="shared" si="301"/>
        <v>0</v>
      </c>
      <c r="BB445" s="75">
        <f t="shared" si="302"/>
        <v>0</v>
      </c>
      <c r="BD445" s="214">
        <f t="shared" si="317"/>
        <v>324408.81776908191</v>
      </c>
      <c r="BE445" s="214">
        <f t="shared" si="303"/>
        <v>1579.0763243341646</v>
      </c>
      <c r="BF445" s="214">
        <f t="shared" si="304"/>
        <v>-536.79649048381464</v>
      </c>
      <c r="BG445" s="224">
        <f t="shared" si="321"/>
        <v>0</v>
      </c>
      <c r="BH445" s="19">
        <f t="shared" si="318"/>
        <v>596926.1745982283</v>
      </c>
      <c r="BI445" s="214">
        <f t="shared" si="305"/>
        <v>2905.5683386336696</v>
      </c>
      <c r="BJ445" s="214">
        <f t="shared" si="306"/>
        <v>0</v>
      </c>
      <c r="BK445" s="19">
        <f t="shared" si="322"/>
        <v>0</v>
      </c>
    </row>
    <row r="446" spans="1:63">
      <c r="A446" s="165">
        <f t="shared" si="307"/>
        <v>92.972792607802873</v>
      </c>
      <c r="B446" s="69">
        <f t="shared" si="308"/>
        <v>31</v>
      </c>
      <c r="C446" s="70">
        <f t="shared" si="309"/>
        <v>372</v>
      </c>
      <c r="D446" s="13">
        <f t="shared" si="277"/>
        <v>4.8675505653430484E-3</v>
      </c>
      <c r="E446" s="15">
        <f t="shared" si="278"/>
        <v>1</v>
      </c>
      <c r="F446" s="15">
        <f t="shared" si="310"/>
        <v>0</v>
      </c>
      <c r="G446" s="15">
        <f t="shared" si="279"/>
        <v>0</v>
      </c>
      <c r="H446" s="73">
        <f t="shared" si="280"/>
        <v>0</v>
      </c>
      <c r="I446" s="189"/>
      <c r="J446" s="189"/>
      <c r="K446" s="5">
        <f t="shared" si="323"/>
        <v>237428.58803149473</v>
      </c>
      <c r="M446" s="5">
        <f t="shared" si="281"/>
        <v>1155.695657901304</v>
      </c>
      <c r="N446" s="5">
        <f t="shared" si="282"/>
        <v>-392.8710497831006</v>
      </c>
      <c r="O446" s="5">
        <f t="shared" si="283"/>
        <v>0</v>
      </c>
      <c r="P446" s="5">
        <f t="shared" si="284"/>
        <v>0</v>
      </c>
      <c r="Q446" s="5">
        <f t="shared" si="319"/>
        <v>0</v>
      </c>
      <c r="R446" s="5">
        <f t="shared" si="311"/>
        <v>0</v>
      </c>
      <c r="S446" s="5">
        <f t="shared" si="285"/>
        <v>0</v>
      </c>
      <c r="T446" s="5">
        <f t="shared" si="286"/>
        <v>0</v>
      </c>
      <c r="U446" s="74">
        <f t="shared" si="287"/>
        <v>0</v>
      </c>
      <c r="V446" s="75">
        <f t="shared" si="288"/>
        <v>0</v>
      </c>
      <c r="W446" s="5">
        <f t="shared" si="289"/>
        <v>0</v>
      </c>
      <c r="X446" s="5">
        <f t="shared" si="290"/>
        <v>238191.41263961291</v>
      </c>
      <c r="Y446" s="5">
        <f t="shared" si="312"/>
        <v>100000</v>
      </c>
      <c r="Z446" s="215">
        <f t="shared" si="291"/>
        <v>1</v>
      </c>
      <c r="AA446" s="216">
        <f t="shared" si="313"/>
        <v>0</v>
      </c>
      <c r="AB446" s="72">
        <f t="shared" si="320"/>
        <v>50215.72519964027</v>
      </c>
      <c r="AC446" s="72">
        <f t="shared" si="292"/>
        <v>0</v>
      </c>
      <c r="AD446" s="72">
        <f t="shared" si="293"/>
        <v>0</v>
      </c>
      <c r="AE446" s="72">
        <f t="shared" si="314"/>
        <v>-49.600609788337351</v>
      </c>
      <c r="AF446" s="70">
        <f t="shared" si="294"/>
        <v>0</v>
      </c>
      <c r="AG446" s="70">
        <f t="shared" si="295"/>
        <v>21378.987179275944</v>
      </c>
      <c r="AH446" s="1">
        <f t="shared" si="329"/>
        <v>0</v>
      </c>
      <c r="AI446" s="1">
        <f t="shared" si="329"/>
        <v>0</v>
      </c>
      <c r="AJ446" s="1">
        <f t="shared" si="329"/>
        <v>0</v>
      </c>
      <c r="AK446" s="1">
        <f t="shared" si="329"/>
        <v>0</v>
      </c>
      <c r="AL446" s="1">
        <f t="shared" si="329"/>
        <v>0</v>
      </c>
      <c r="AM446" s="1">
        <f t="shared" si="329"/>
        <v>0</v>
      </c>
      <c r="AN446" s="1">
        <f t="shared" si="329"/>
        <v>0</v>
      </c>
      <c r="AO446" s="1">
        <f t="shared" si="329"/>
        <v>0</v>
      </c>
      <c r="AP446" s="1">
        <f t="shared" si="329"/>
        <v>0</v>
      </c>
      <c r="AQ446" s="1">
        <f t="shared" si="329"/>
        <v>0</v>
      </c>
      <c r="AR446" s="1">
        <f t="shared" si="329"/>
        <v>1</v>
      </c>
      <c r="AS446" s="1">
        <f t="shared" si="329"/>
        <v>1</v>
      </c>
      <c r="AT446" s="39">
        <f t="shared" si="297"/>
        <v>238191.41263961291</v>
      </c>
      <c r="AU446" s="39">
        <f t="shared" si="315"/>
        <v>238191.41263961291</v>
      </c>
      <c r="AV446" s="39">
        <f t="shared" si="325"/>
        <v>0</v>
      </c>
      <c r="AW446" s="3">
        <f t="shared" si="298"/>
        <v>372</v>
      </c>
      <c r="AX446" s="69">
        <f t="shared" si="316"/>
        <v>0</v>
      </c>
      <c r="AY446" s="75">
        <f t="shared" si="299"/>
        <v>0</v>
      </c>
      <c r="AZ446" s="75">
        <f t="shared" si="300"/>
        <v>0</v>
      </c>
      <c r="BA446" s="75">
        <f t="shared" si="301"/>
        <v>0</v>
      </c>
      <c r="BB446" s="75">
        <f t="shared" si="302"/>
        <v>0</v>
      </c>
      <c r="BD446" s="214">
        <f t="shared" si="317"/>
        <v>325451.09760293231</v>
      </c>
      <c r="BE446" s="214">
        <f t="shared" si="303"/>
        <v>1584.1496741286687</v>
      </c>
      <c r="BF446" s="214">
        <f t="shared" si="304"/>
        <v>-538.52114199224309</v>
      </c>
      <c r="BG446" s="224">
        <f t="shared" si="321"/>
        <v>0</v>
      </c>
      <c r="BH446" s="19">
        <f t="shared" si="318"/>
        <v>599831.74293686193</v>
      </c>
      <c r="BI446" s="214">
        <f t="shared" si="305"/>
        <v>2919.7113394430285</v>
      </c>
      <c r="BJ446" s="214">
        <f t="shared" si="306"/>
        <v>0</v>
      </c>
      <c r="BK446" s="19">
        <f t="shared" si="322"/>
        <v>0</v>
      </c>
    </row>
    <row r="447" spans="1:63">
      <c r="A447" s="165">
        <f t="shared" si="307"/>
        <v>93.056125941136202</v>
      </c>
      <c r="B447" s="69">
        <f t="shared" si="308"/>
        <v>32</v>
      </c>
      <c r="C447" s="70">
        <f t="shared" si="309"/>
        <v>373</v>
      </c>
      <c r="D447" s="13">
        <f t="shared" si="277"/>
        <v>4.8675505653430484E-3</v>
      </c>
      <c r="E447" s="15">
        <f t="shared" si="278"/>
        <v>1</v>
      </c>
      <c r="F447" s="15">
        <f t="shared" si="310"/>
        <v>0</v>
      </c>
      <c r="G447" s="15">
        <f t="shared" si="279"/>
        <v>0</v>
      </c>
      <c r="H447" s="73">
        <f t="shared" si="280"/>
        <v>0</v>
      </c>
      <c r="I447" s="189"/>
      <c r="J447" s="189"/>
      <c r="K447" s="5">
        <f t="shared" si="323"/>
        <v>238191.41263961291</v>
      </c>
      <c r="M447" s="5">
        <f t="shared" si="281"/>
        <v>1159.4087452538072</v>
      </c>
      <c r="N447" s="5">
        <f t="shared" si="282"/>
        <v>-394.13328912452323</v>
      </c>
      <c r="O447" s="5">
        <f t="shared" si="283"/>
        <v>0</v>
      </c>
      <c r="P447" s="5">
        <f t="shared" si="284"/>
        <v>0</v>
      </c>
      <c r="Q447" s="5">
        <f t="shared" si="319"/>
        <v>0</v>
      </c>
      <c r="R447" s="5">
        <f t="shared" si="311"/>
        <v>0</v>
      </c>
      <c r="S447" s="5">
        <f t="shared" si="285"/>
        <v>0</v>
      </c>
      <c r="T447" s="5">
        <f t="shared" si="286"/>
        <v>0</v>
      </c>
      <c r="U447" s="74">
        <f t="shared" si="287"/>
        <v>0</v>
      </c>
      <c r="V447" s="75">
        <f t="shared" si="288"/>
        <v>0</v>
      </c>
      <c r="W447" s="5">
        <f t="shared" si="289"/>
        <v>0</v>
      </c>
      <c r="X447" s="5">
        <f t="shared" si="290"/>
        <v>238956.6880957422</v>
      </c>
      <c r="Y447" s="5">
        <f t="shared" si="312"/>
        <v>100000</v>
      </c>
      <c r="Z447" s="215">
        <f t="shared" si="291"/>
        <v>1</v>
      </c>
      <c r="AA447" s="216">
        <f t="shared" si="313"/>
        <v>0</v>
      </c>
      <c r="AB447" s="72">
        <f t="shared" si="320"/>
        <v>50215.72519964027</v>
      </c>
      <c r="AC447" s="72">
        <f t="shared" si="292"/>
        <v>0</v>
      </c>
      <c r="AD447" s="72">
        <f t="shared" si="293"/>
        <v>0</v>
      </c>
      <c r="AE447" s="72">
        <f t="shared" si="314"/>
        <v>-49.759969560628939</v>
      </c>
      <c r="AF447" s="70">
        <f t="shared" si="294"/>
        <v>0</v>
      </c>
      <c r="AG447" s="70">
        <f t="shared" si="295"/>
        <v>21669.791852605071</v>
      </c>
      <c r="AH447" s="1">
        <f t="shared" si="329"/>
        <v>0</v>
      </c>
      <c r="AI447" s="1">
        <f t="shared" si="329"/>
        <v>0</v>
      </c>
      <c r="AJ447" s="1">
        <f t="shared" si="329"/>
        <v>0</v>
      </c>
      <c r="AK447" s="1">
        <f t="shared" si="329"/>
        <v>0</v>
      </c>
      <c r="AL447" s="1">
        <f t="shared" si="329"/>
        <v>0</v>
      </c>
      <c r="AM447" s="1">
        <f t="shared" si="329"/>
        <v>0</v>
      </c>
      <c r="AN447" s="1">
        <f t="shared" si="329"/>
        <v>0</v>
      </c>
      <c r="AO447" s="1">
        <f t="shared" si="329"/>
        <v>0</v>
      </c>
      <c r="AP447" s="1">
        <f t="shared" si="329"/>
        <v>0</v>
      </c>
      <c r="AQ447" s="1">
        <f t="shared" si="329"/>
        <v>0</v>
      </c>
      <c r="AR447" s="1">
        <f t="shared" si="329"/>
        <v>1</v>
      </c>
      <c r="AS447" s="1">
        <f t="shared" si="329"/>
        <v>1</v>
      </c>
      <c r="AT447" s="39">
        <f t="shared" si="297"/>
        <v>238956.6880957422</v>
      </c>
      <c r="AU447" s="39">
        <f t="shared" si="315"/>
        <v>238956.6880957422</v>
      </c>
      <c r="AV447" s="39">
        <f t="shared" si="325"/>
        <v>0</v>
      </c>
      <c r="AW447" s="3">
        <f t="shared" si="298"/>
        <v>373</v>
      </c>
      <c r="AX447" s="69">
        <f t="shared" si="316"/>
        <v>0</v>
      </c>
      <c r="AY447" s="75">
        <f t="shared" si="299"/>
        <v>0</v>
      </c>
      <c r="AZ447" s="75">
        <f t="shared" si="300"/>
        <v>0</v>
      </c>
      <c r="BA447" s="75">
        <f t="shared" si="301"/>
        <v>0</v>
      </c>
      <c r="BB447" s="75">
        <f t="shared" si="302"/>
        <v>0</v>
      </c>
      <c r="BD447" s="214">
        <f t="shared" si="317"/>
        <v>326496.72613506875</v>
      </c>
      <c r="BE447" s="214">
        <f t="shared" si="303"/>
        <v>1589.2393238814084</v>
      </c>
      <c r="BF447" s="214">
        <f t="shared" si="304"/>
        <v>-540.25133456302615</v>
      </c>
      <c r="BG447" s="224">
        <f t="shared" si="321"/>
        <v>0</v>
      </c>
      <c r="BH447" s="19">
        <f t="shared" si="318"/>
        <v>602751.45427630492</v>
      </c>
      <c r="BI447" s="214">
        <f t="shared" si="305"/>
        <v>2933.9231820239725</v>
      </c>
      <c r="BJ447" s="214">
        <f t="shared" si="306"/>
        <v>0</v>
      </c>
      <c r="BK447" s="19">
        <f t="shared" si="322"/>
        <v>0</v>
      </c>
    </row>
    <row r="448" spans="1:63">
      <c r="A448" s="165">
        <f t="shared" si="307"/>
        <v>93.139459274469544</v>
      </c>
      <c r="B448" s="69">
        <f t="shared" si="308"/>
        <v>32</v>
      </c>
      <c r="C448" s="70">
        <f t="shared" si="309"/>
        <v>374</v>
      </c>
      <c r="D448" s="13">
        <f t="shared" si="277"/>
        <v>4.8675505653430484E-3</v>
      </c>
      <c r="E448" s="15">
        <f t="shared" si="278"/>
        <v>1</v>
      </c>
      <c r="F448" s="15">
        <f t="shared" si="310"/>
        <v>0</v>
      </c>
      <c r="G448" s="15">
        <f t="shared" si="279"/>
        <v>0</v>
      </c>
      <c r="H448" s="73">
        <f t="shared" si="280"/>
        <v>0</v>
      </c>
      <c r="I448" s="189"/>
      <c r="J448" s="189"/>
      <c r="K448" s="5">
        <f t="shared" si="323"/>
        <v>238956.6880957422</v>
      </c>
      <c r="M448" s="5">
        <f t="shared" si="281"/>
        <v>1163.1337622329324</v>
      </c>
      <c r="N448" s="5">
        <f t="shared" si="282"/>
        <v>-395.39958386314532</v>
      </c>
      <c r="O448" s="5">
        <f t="shared" si="283"/>
        <v>0</v>
      </c>
      <c r="P448" s="5">
        <f t="shared" si="284"/>
        <v>0</v>
      </c>
      <c r="Q448" s="5">
        <f t="shared" si="319"/>
        <v>0</v>
      </c>
      <c r="R448" s="5">
        <f t="shared" si="311"/>
        <v>0</v>
      </c>
      <c r="S448" s="5">
        <f t="shared" si="285"/>
        <v>0</v>
      </c>
      <c r="T448" s="5">
        <f t="shared" si="286"/>
        <v>0</v>
      </c>
      <c r="U448" s="74">
        <f t="shared" si="287"/>
        <v>0</v>
      </c>
      <c r="V448" s="75">
        <f t="shared" si="288"/>
        <v>0</v>
      </c>
      <c r="W448" s="5">
        <f t="shared" si="289"/>
        <v>0</v>
      </c>
      <c r="X448" s="5">
        <f t="shared" si="290"/>
        <v>239724.42227411197</v>
      </c>
      <c r="Y448" s="5">
        <f t="shared" si="312"/>
        <v>100000</v>
      </c>
      <c r="Z448" s="215">
        <f t="shared" si="291"/>
        <v>1</v>
      </c>
      <c r="AA448" s="216">
        <f t="shared" si="313"/>
        <v>0</v>
      </c>
      <c r="AB448" s="72">
        <f t="shared" si="320"/>
        <v>50215.72519964027</v>
      </c>
      <c r="AC448" s="72">
        <f t="shared" si="292"/>
        <v>0</v>
      </c>
      <c r="AD448" s="72">
        <f t="shared" si="293"/>
        <v>0</v>
      </c>
      <c r="AE448" s="72">
        <f t="shared" si="314"/>
        <v>-49.919841333420784</v>
      </c>
      <c r="AF448" s="70">
        <f t="shared" si="294"/>
        <v>0</v>
      </c>
      <c r="AG448" s="70">
        <f t="shared" si="295"/>
        <v>21961.530840385596</v>
      </c>
      <c r="AH448" s="1">
        <f t="shared" si="329"/>
        <v>0</v>
      </c>
      <c r="AI448" s="1">
        <f t="shared" si="329"/>
        <v>0</v>
      </c>
      <c r="AJ448" s="1">
        <f t="shared" si="329"/>
        <v>0</v>
      </c>
      <c r="AK448" s="1">
        <f t="shared" si="329"/>
        <v>0</v>
      </c>
      <c r="AL448" s="1">
        <f t="shared" si="329"/>
        <v>0</v>
      </c>
      <c r="AM448" s="1">
        <f t="shared" si="329"/>
        <v>0</v>
      </c>
      <c r="AN448" s="1">
        <f t="shared" si="329"/>
        <v>0</v>
      </c>
      <c r="AO448" s="1">
        <f t="shared" si="329"/>
        <v>0</v>
      </c>
      <c r="AP448" s="1">
        <f t="shared" si="329"/>
        <v>0</v>
      </c>
      <c r="AQ448" s="1">
        <f t="shared" si="329"/>
        <v>0</v>
      </c>
      <c r="AR448" s="1">
        <f t="shared" si="329"/>
        <v>1</v>
      </c>
      <c r="AS448" s="1">
        <f t="shared" si="329"/>
        <v>1</v>
      </c>
      <c r="AT448" s="39">
        <f t="shared" si="297"/>
        <v>239724.42227411197</v>
      </c>
      <c r="AU448" s="39">
        <f t="shared" si="315"/>
        <v>239724.42227411197</v>
      </c>
      <c r="AV448" s="39">
        <f t="shared" si="325"/>
        <v>0</v>
      </c>
      <c r="AW448" s="3">
        <f t="shared" si="298"/>
        <v>374</v>
      </c>
      <c r="AX448" s="69">
        <f t="shared" si="316"/>
        <v>0</v>
      </c>
      <c r="AY448" s="75">
        <f t="shared" si="299"/>
        <v>0</v>
      </c>
      <c r="AZ448" s="75">
        <f t="shared" si="300"/>
        <v>0</v>
      </c>
      <c r="BA448" s="75">
        <f t="shared" si="301"/>
        <v>0</v>
      </c>
      <c r="BB448" s="75">
        <f t="shared" si="302"/>
        <v>0</v>
      </c>
      <c r="BD448" s="214">
        <f t="shared" si="317"/>
        <v>327545.71412438713</v>
      </c>
      <c r="BE448" s="214">
        <f t="shared" si="303"/>
        <v>1594.3453259618532</v>
      </c>
      <c r="BF448" s="214">
        <f t="shared" si="304"/>
        <v>-541.98708599881661</v>
      </c>
      <c r="BG448" s="224">
        <f t="shared" si="321"/>
        <v>0</v>
      </c>
      <c r="BH448" s="19">
        <f t="shared" si="318"/>
        <v>605685.37745832885</v>
      </c>
      <c r="BI448" s="214">
        <f t="shared" si="305"/>
        <v>2948.2042014673061</v>
      </c>
      <c r="BJ448" s="214">
        <f t="shared" si="306"/>
        <v>0</v>
      </c>
      <c r="BK448" s="19">
        <f t="shared" si="322"/>
        <v>0</v>
      </c>
    </row>
    <row r="449" spans="1:63">
      <c r="A449" s="165">
        <f t="shared" si="307"/>
        <v>93.222792607802873</v>
      </c>
      <c r="B449" s="69">
        <f t="shared" si="308"/>
        <v>32</v>
      </c>
      <c r="C449" s="70">
        <f t="shared" si="309"/>
        <v>375</v>
      </c>
      <c r="D449" s="13">
        <f t="shared" si="277"/>
        <v>4.8675505653430484E-3</v>
      </c>
      <c r="E449" s="15">
        <f t="shared" si="278"/>
        <v>1</v>
      </c>
      <c r="F449" s="15">
        <f t="shared" si="310"/>
        <v>0</v>
      </c>
      <c r="G449" s="15">
        <f t="shared" si="279"/>
        <v>0</v>
      </c>
      <c r="H449" s="73">
        <f t="shared" si="280"/>
        <v>0</v>
      </c>
      <c r="I449" s="189"/>
      <c r="J449" s="189"/>
      <c r="K449" s="5">
        <f t="shared" si="323"/>
        <v>239724.42227411197</v>
      </c>
      <c r="M449" s="5">
        <f t="shared" si="281"/>
        <v>1166.8707471668895</v>
      </c>
      <c r="N449" s="5">
        <f t="shared" si="282"/>
        <v>-396.66994702838673</v>
      </c>
      <c r="O449" s="5">
        <f t="shared" si="283"/>
        <v>0</v>
      </c>
      <c r="P449" s="5">
        <f t="shared" si="284"/>
        <v>0</v>
      </c>
      <c r="Q449" s="5">
        <f t="shared" si="319"/>
        <v>0</v>
      </c>
      <c r="R449" s="5">
        <f t="shared" si="311"/>
        <v>0</v>
      </c>
      <c r="S449" s="5">
        <f t="shared" si="285"/>
        <v>0</v>
      </c>
      <c r="T449" s="5">
        <f t="shared" si="286"/>
        <v>0</v>
      </c>
      <c r="U449" s="74">
        <f t="shared" si="287"/>
        <v>0</v>
      </c>
      <c r="V449" s="75">
        <f t="shared" si="288"/>
        <v>0</v>
      </c>
      <c r="W449" s="5">
        <f t="shared" si="289"/>
        <v>0</v>
      </c>
      <c r="X449" s="5">
        <f t="shared" si="290"/>
        <v>240494.62307425047</v>
      </c>
      <c r="Y449" s="5">
        <f t="shared" si="312"/>
        <v>100000</v>
      </c>
      <c r="Z449" s="215">
        <f t="shared" si="291"/>
        <v>1</v>
      </c>
      <c r="AA449" s="216">
        <f t="shared" si="313"/>
        <v>0</v>
      </c>
      <c r="AB449" s="72">
        <f t="shared" si="320"/>
        <v>50215.72519964027</v>
      </c>
      <c r="AC449" s="72">
        <f t="shared" si="292"/>
        <v>0</v>
      </c>
      <c r="AD449" s="72">
        <f t="shared" si="293"/>
        <v>0</v>
      </c>
      <c r="AE449" s="72">
        <f t="shared" si="314"/>
        <v>-50.080226751698376</v>
      </c>
      <c r="AF449" s="70">
        <f t="shared" si="294"/>
        <v>0</v>
      </c>
      <c r="AG449" s="70">
        <f t="shared" si="295"/>
        <v>22254.207144438209</v>
      </c>
      <c r="AH449" s="1">
        <f t="shared" si="329"/>
        <v>0</v>
      </c>
      <c r="AI449" s="1">
        <f t="shared" si="329"/>
        <v>0</v>
      </c>
      <c r="AJ449" s="1">
        <f t="shared" si="329"/>
        <v>0</v>
      </c>
      <c r="AK449" s="1">
        <f t="shared" si="329"/>
        <v>0</v>
      </c>
      <c r="AL449" s="1">
        <f t="shared" si="329"/>
        <v>0</v>
      </c>
      <c r="AM449" s="1">
        <f t="shared" si="329"/>
        <v>0</v>
      </c>
      <c r="AN449" s="1">
        <f t="shared" si="329"/>
        <v>0</v>
      </c>
      <c r="AO449" s="1">
        <f t="shared" si="329"/>
        <v>0</v>
      </c>
      <c r="AP449" s="1">
        <f t="shared" si="329"/>
        <v>0</v>
      </c>
      <c r="AQ449" s="1">
        <f t="shared" si="329"/>
        <v>0</v>
      </c>
      <c r="AR449" s="1">
        <f t="shared" si="329"/>
        <v>1</v>
      </c>
      <c r="AS449" s="1">
        <f t="shared" si="329"/>
        <v>1</v>
      </c>
      <c r="AT449" s="39">
        <f t="shared" si="297"/>
        <v>240494.62307425047</v>
      </c>
      <c r="AU449" s="39">
        <f t="shared" si="315"/>
        <v>240494.62307425047</v>
      </c>
      <c r="AV449" s="39">
        <f t="shared" si="325"/>
        <v>0</v>
      </c>
      <c r="AW449" s="3">
        <f t="shared" si="298"/>
        <v>375</v>
      </c>
      <c r="AX449" s="69">
        <f t="shared" si="316"/>
        <v>0</v>
      </c>
      <c r="AY449" s="75">
        <f t="shared" si="299"/>
        <v>0</v>
      </c>
      <c r="AZ449" s="75">
        <f t="shared" si="300"/>
        <v>0</v>
      </c>
      <c r="BA449" s="75">
        <f t="shared" si="301"/>
        <v>0</v>
      </c>
      <c r="BB449" s="75">
        <f t="shared" si="302"/>
        <v>0</v>
      </c>
      <c r="BD449" s="214">
        <f t="shared" si="317"/>
        <v>328598.07236435014</v>
      </c>
      <c r="BE449" s="214">
        <f t="shared" si="303"/>
        <v>1599.4677329077285</v>
      </c>
      <c r="BF449" s="214">
        <f t="shared" si="304"/>
        <v>-543.72841415946482</v>
      </c>
      <c r="BG449" s="224">
        <f t="shared" si="321"/>
        <v>0</v>
      </c>
      <c r="BH449" s="19">
        <f t="shared" si="318"/>
        <v>608633.58165979618</v>
      </c>
      <c r="BI449" s="214">
        <f t="shared" si="305"/>
        <v>2962.5547344949055</v>
      </c>
      <c r="BJ449" s="214">
        <f t="shared" si="306"/>
        <v>0</v>
      </c>
      <c r="BK449" s="19">
        <f t="shared" si="322"/>
        <v>0</v>
      </c>
    </row>
    <row r="450" spans="1:63">
      <c r="A450" s="165">
        <f t="shared" si="307"/>
        <v>93.306125941136202</v>
      </c>
      <c r="B450" s="69">
        <f t="shared" si="308"/>
        <v>32</v>
      </c>
      <c r="C450" s="70">
        <f t="shared" si="309"/>
        <v>376</v>
      </c>
      <c r="D450" s="13">
        <f t="shared" si="277"/>
        <v>4.8675505653430484E-3</v>
      </c>
      <c r="E450" s="15">
        <f t="shared" si="278"/>
        <v>1</v>
      </c>
      <c r="F450" s="15">
        <f t="shared" si="310"/>
        <v>0</v>
      </c>
      <c r="G450" s="15">
        <f t="shared" si="279"/>
        <v>0</v>
      </c>
      <c r="H450" s="73">
        <f t="shared" si="280"/>
        <v>0</v>
      </c>
      <c r="I450" s="189"/>
      <c r="J450" s="189"/>
      <c r="K450" s="5">
        <f t="shared" si="323"/>
        <v>240494.62307425047</v>
      </c>
      <c r="M450" s="5">
        <f t="shared" si="281"/>
        <v>1170.6197385070311</v>
      </c>
      <c r="N450" s="5">
        <f t="shared" si="282"/>
        <v>-397.94439169152929</v>
      </c>
      <c r="O450" s="5">
        <f t="shared" si="283"/>
        <v>0</v>
      </c>
      <c r="P450" s="5">
        <f t="shared" si="284"/>
        <v>0</v>
      </c>
      <c r="Q450" s="5">
        <f t="shared" si="319"/>
        <v>0</v>
      </c>
      <c r="R450" s="5">
        <f t="shared" si="311"/>
        <v>0</v>
      </c>
      <c r="S450" s="5">
        <f t="shared" si="285"/>
        <v>0</v>
      </c>
      <c r="T450" s="5">
        <f t="shared" si="286"/>
        <v>0</v>
      </c>
      <c r="U450" s="74">
        <f t="shared" si="287"/>
        <v>0</v>
      </c>
      <c r="V450" s="75">
        <f t="shared" si="288"/>
        <v>0</v>
      </c>
      <c r="W450" s="5">
        <f t="shared" si="289"/>
        <v>0</v>
      </c>
      <c r="X450" s="5">
        <f t="shared" si="290"/>
        <v>241267.29842106596</v>
      </c>
      <c r="Y450" s="5">
        <f t="shared" si="312"/>
        <v>100000</v>
      </c>
      <c r="Z450" s="215">
        <f t="shared" si="291"/>
        <v>1</v>
      </c>
      <c r="AA450" s="216">
        <f t="shared" si="313"/>
        <v>0</v>
      </c>
      <c r="AB450" s="72">
        <f t="shared" si="320"/>
        <v>50215.72519964027</v>
      </c>
      <c r="AC450" s="72">
        <f t="shared" si="292"/>
        <v>0</v>
      </c>
      <c r="AD450" s="72">
        <f t="shared" si="293"/>
        <v>0</v>
      </c>
      <c r="AE450" s="72">
        <f t="shared" si="314"/>
        <v>-50.241127465732305</v>
      </c>
      <c r="AF450" s="70">
        <f t="shared" si="294"/>
        <v>0</v>
      </c>
      <c r="AG450" s="70">
        <f t="shared" si="295"/>
        <v>22547.823776228099</v>
      </c>
      <c r="AH450" s="1">
        <f t="shared" si="329"/>
        <v>0</v>
      </c>
      <c r="AI450" s="1">
        <f t="shared" si="329"/>
        <v>0</v>
      </c>
      <c r="AJ450" s="1">
        <f t="shared" si="329"/>
        <v>0</v>
      </c>
      <c r="AK450" s="1">
        <f t="shared" si="329"/>
        <v>0</v>
      </c>
      <c r="AL450" s="1">
        <f t="shared" si="329"/>
        <v>0</v>
      </c>
      <c r="AM450" s="1">
        <f t="shared" si="329"/>
        <v>0</v>
      </c>
      <c r="AN450" s="1">
        <f t="shared" si="329"/>
        <v>0</v>
      </c>
      <c r="AO450" s="1">
        <f t="shared" si="329"/>
        <v>0</v>
      </c>
      <c r="AP450" s="1">
        <f t="shared" si="329"/>
        <v>0</v>
      </c>
      <c r="AQ450" s="1">
        <f t="shared" si="329"/>
        <v>0</v>
      </c>
      <c r="AR450" s="1">
        <f t="shared" si="329"/>
        <v>1</v>
      </c>
      <c r="AS450" s="1">
        <f t="shared" si="329"/>
        <v>1</v>
      </c>
      <c r="AT450" s="39">
        <f t="shared" si="297"/>
        <v>241267.29842106596</v>
      </c>
      <c r="AU450" s="39">
        <f t="shared" si="315"/>
        <v>241267.29842106596</v>
      </c>
      <c r="AV450" s="39">
        <f t="shared" si="325"/>
        <v>0</v>
      </c>
      <c r="AW450" s="3">
        <f t="shared" si="298"/>
        <v>376</v>
      </c>
      <c r="AX450" s="69">
        <f t="shared" si="316"/>
        <v>0</v>
      </c>
      <c r="AY450" s="75">
        <f t="shared" si="299"/>
        <v>0</v>
      </c>
      <c r="AZ450" s="75">
        <f t="shared" si="300"/>
        <v>0</v>
      </c>
      <c r="BA450" s="75">
        <f t="shared" si="301"/>
        <v>0</v>
      </c>
      <c r="BB450" s="75">
        <f t="shared" si="302"/>
        <v>0</v>
      </c>
      <c r="BD450" s="214">
        <f t="shared" si="317"/>
        <v>329653.81168309844</v>
      </c>
      <c r="BE450" s="214">
        <f t="shared" si="303"/>
        <v>1604.6065974255566</v>
      </c>
      <c r="BF450" s="214">
        <f t="shared" si="304"/>
        <v>-545.47533696220205</v>
      </c>
      <c r="BG450" s="224">
        <f t="shared" si="321"/>
        <v>0</v>
      </c>
      <c r="BH450" s="19">
        <f t="shared" si="318"/>
        <v>611596.13639429107</v>
      </c>
      <c r="BI450" s="214">
        <f t="shared" si="305"/>
        <v>2976.9751194676555</v>
      </c>
      <c r="BJ450" s="214">
        <f t="shared" si="306"/>
        <v>0</v>
      </c>
      <c r="BK450" s="19">
        <f t="shared" si="322"/>
        <v>0</v>
      </c>
    </row>
    <row r="451" spans="1:63">
      <c r="A451" s="165">
        <f t="shared" si="307"/>
        <v>93.389459274469544</v>
      </c>
      <c r="B451" s="69">
        <f t="shared" si="308"/>
        <v>32</v>
      </c>
      <c r="C451" s="70">
        <f t="shared" si="309"/>
        <v>377</v>
      </c>
      <c r="D451" s="13">
        <f t="shared" si="277"/>
        <v>4.8675505653430484E-3</v>
      </c>
      <c r="E451" s="15">
        <f t="shared" si="278"/>
        <v>1</v>
      </c>
      <c r="F451" s="15">
        <f t="shared" si="310"/>
        <v>0</v>
      </c>
      <c r="G451" s="15">
        <f t="shared" si="279"/>
        <v>0</v>
      </c>
      <c r="H451" s="73">
        <f t="shared" si="280"/>
        <v>0</v>
      </c>
      <c r="I451" s="189"/>
      <c r="J451" s="189"/>
      <c r="K451" s="5">
        <f t="shared" si="323"/>
        <v>241267.29842106596</v>
      </c>
      <c r="M451" s="5">
        <f t="shared" si="281"/>
        <v>1174.3807748282495</v>
      </c>
      <c r="N451" s="5">
        <f t="shared" si="282"/>
        <v>-399.22293096585059</v>
      </c>
      <c r="O451" s="5">
        <f t="shared" si="283"/>
        <v>0</v>
      </c>
      <c r="P451" s="5">
        <f t="shared" si="284"/>
        <v>0</v>
      </c>
      <c r="Q451" s="5">
        <f t="shared" si="319"/>
        <v>0</v>
      </c>
      <c r="R451" s="5">
        <f t="shared" si="311"/>
        <v>0</v>
      </c>
      <c r="S451" s="5">
        <f t="shared" si="285"/>
        <v>0</v>
      </c>
      <c r="T451" s="5">
        <f t="shared" si="286"/>
        <v>0</v>
      </c>
      <c r="U451" s="74">
        <f t="shared" si="287"/>
        <v>0</v>
      </c>
      <c r="V451" s="75">
        <f t="shared" si="288"/>
        <v>0</v>
      </c>
      <c r="W451" s="5">
        <f t="shared" si="289"/>
        <v>0</v>
      </c>
      <c r="X451" s="5">
        <f t="shared" si="290"/>
        <v>242042.45626492836</v>
      </c>
      <c r="Y451" s="5">
        <f t="shared" si="312"/>
        <v>100000</v>
      </c>
      <c r="Z451" s="215">
        <f t="shared" si="291"/>
        <v>1</v>
      </c>
      <c r="AA451" s="216">
        <f t="shared" si="313"/>
        <v>0</v>
      </c>
      <c r="AB451" s="72">
        <f t="shared" si="320"/>
        <v>50215.72519964027</v>
      </c>
      <c r="AC451" s="72">
        <f t="shared" si="292"/>
        <v>0</v>
      </c>
      <c r="AD451" s="72">
        <f t="shared" si="293"/>
        <v>0</v>
      </c>
      <c r="AE451" s="72">
        <f t="shared" si="314"/>
        <v>-50.402545131095252</v>
      </c>
      <c r="AF451" s="70">
        <f t="shared" si="294"/>
        <v>0</v>
      </c>
      <c r="AG451" s="70">
        <f t="shared" si="295"/>
        <v>22842.383756895819</v>
      </c>
      <c r="AH451" s="1">
        <f t="shared" si="329"/>
        <v>0</v>
      </c>
      <c r="AI451" s="1">
        <f t="shared" si="329"/>
        <v>0</v>
      </c>
      <c r="AJ451" s="1">
        <f t="shared" si="329"/>
        <v>0</v>
      </c>
      <c r="AK451" s="1">
        <f t="shared" si="329"/>
        <v>0</v>
      </c>
      <c r="AL451" s="1">
        <f t="shared" si="329"/>
        <v>0</v>
      </c>
      <c r="AM451" s="1">
        <f t="shared" si="329"/>
        <v>0</v>
      </c>
      <c r="AN451" s="1">
        <f t="shared" si="329"/>
        <v>0</v>
      </c>
      <c r="AO451" s="1">
        <f t="shared" si="329"/>
        <v>0</v>
      </c>
      <c r="AP451" s="1">
        <f t="shared" si="329"/>
        <v>0</v>
      </c>
      <c r="AQ451" s="1">
        <f t="shared" si="329"/>
        <v>0</v>
      </c>
      <c r="AR451" s="1">
        <f t="shared" si="329"/>
        <v>1</v>
      </c>
      <c r="AS451" s="1">
        <f t="shared" si="329"/>
        <v>1</v>
      </c>
      <c r="AT451" s="39">
        <f t="shared" si="297"/>
        <v>242042.45626492836</v>
      </c>
      <c r="AU451" s="39">
        <f t="shared" si="315"/>
        <v>242042.45626492836</v>
      </c>
      <c r="AV451" s="39">
        <f t="shared" si="325"/>
        <v>0</v>
      </c>
      <c r="AW451" s="3">
        <f t="shared" si="298"/>
        <v>377</v>
      </c>
      <c r="AX451" s="69">
        <f t="shared" si="316"/>
        <v>0</v>
      </c>
      <c r="AY451" s="75">
        <f t="shared" si="299"/>
        <v>0</v>
      </c>
      <c r="AZ451" s="75">
        <f t="shared" si="300"/>
        <v>0</v>
      </c>
      <c r="BA451" s="75">
        <f t="shared" si="301"/>
        <v>0</v>
      </c>
      <c r="BB451" s="75">
        <f t="shared" si="302"/>
        <v>0</v>
      </c>
      <c r="BD451" s="214">
        <f t="shared" si="317"/>
        <v>330712.94294356176</v>
      </c>
      <c r="BE451" s="214">
        <f t="shared" si="303"/>
        <v>1609.7619723911973</v>
      </c>
      <c r="BF451" s="214">
        <f t="shared" si="304"/>
        <v>-547.22787238182525</v>
      </c>
      <c r="BG451" s="224">
        <f t="shared" si="321"/>
        <v>0</v>
      </c>
      <c r="BH451" s="19">
        <f t="shared" si="318"/>
        <v>614573.11151375878</v>
      </c>
      <c r="BI451" s="214">
        <f t="shared" si="305"/>
        <v>2991.4656963934331</v>
      </c>
      <c r="BJ451" s="214">
        <f t="shared" si="306"/>
        <v>0</v>
      </c>
      <c r="BK451" s="19">
        <f t="shared" si="322"/>
        <v>0</v>
      </c>
    </row>
    <row r="452" spans="1:63">
      <c r="A452" s="165">
        <f t="shared" si="307"/>
        <v>93.472792607802873</v>
      </c>
      <c r="B452" s="69">
        <f t="shared" si="308"/>
        <v>32</v>
      </c>
      <c r="C452" s="70">
        <f t="shared" si="309"/>
        <v>378</v>
      </c>
      <c r="D452" s="13">
        <f t="shared" si="277"/>
        <v>4.8675505653430484E-3</v>
      </c>
      <c r="E452" s="15">
        <f t="shared" si="278"/>
        <v>1</v>
      </c>
      <c r="F452" s="15">
        <f t="shared" si="310"/>
        <v>0</v>
      </c>
      <c r="G452" s="15">
        <f t="shared" si="279"/>
        <v>0</v>
      </c>
      <c r="H452" s="73">
        <f t="shared" si="280"/>
        <v>0</v>
      </c>
      <c r="I452" s="189"/>
      <c r="J452" s="189"/>
      <c r="K452" s="5">
        <f t="shared" si="323"/>
        <v>242042.45626492836</v>
      </c>
      <c r="M452" s="5">
        <f t="shared" si="281"/>
        <v>1178.1538948293721</v>
      </c>
      <c r="N452" s="5">
        <f t="shared" si="282"/>
        <v>-400.50557800675972</v>
      </c>
      <c r="O452" s="5">
        <f t="shared" si="283"/>
        <v>0</v>
      </c>
      <c r="P452" s="5">
        <f t="shared" si="284"/>
        <v>0</v>
      </c>
      <c r="Q452" s="5">
        <f t="shared" si="319"/>
        <v>0</v>
      </c>
      <c r="R452" s="5">
        <f t="shared" si="311"/>
        <v>0</v>
      </c>
      <c r="S452" s="5">
        <f t="shared" si="285"/>
        <v>0</v>
      </c>
      <c r="T452" s="5">
        <f t="shared" si="286"/>
        <v>0</v>
      </c>
      <c r="U452" s="74">
        <f t="shared" si="287"/>
        <v>0</v>
      </c>
      <c r="V452" s="75">
        <f t="shared" si="288"/>
        <v>0</v>
      </c>
      <c r="W452" s="5">
        <f t="shared" si="289"/>
        <v>0</v>
      </c>
      <c r="X452" s="5">
        <f t="shared" si="290"/>
        <v>242820.10458175096</v>
      </c>
      <c r="Y452" s="5">
        <f t="shared" si="312"/>
        <v>100000</v>
      </c>
      <c r="Z452" s="215">
        <f t="shared" si="291"/>
        <v>1</v>
      </c>
      <c r="AA452" s="216">
        <f t="shared" si="313"/>
        <v>0</v>
      </c>
      <c r="AB452" s="72">
        <f t="shared" si="320"/>
        <v>50215.72519964027</v>
      </c>
      <c r="AC452" s="72">
        <f t="shared" si="292"/>
        <v>0</v>
      </c>
      <c r="AD452" s="72">
        <f t="shared" si="293"/>
        <v>0</v>
      </c>
      <c r="AE452" s="72">
        <f t="shared" si="314"/>
        <v>-50.564481408679008</v>
      </c>
      <c r="AF452" s="70">
        <f t="shared" si="294"/>
        <v>0</v>
      </c>
      <c r="AG452" s="70">
        <f t="shared" si="295"/>
        <v>23137.8901172884</v>
      </c>
      <c r="AH452" s="1">
        <f t="shared" si="329"/>
        <v>0</v>
      </c>
      <c r="AI452" s="1">
        <f t="shared" si="329"/>
        <v>0</v>
      </c>
      <c r="AJ452" s="1">
        <f t="shared" si="329"/>
        <v>0</v>
      </c>
      <c r="AK452" s="1">
        <f t="shared" si="329"/>
        <v>0</v>
      </c>
      <c r="AL452" s="1">
        <f t="shared" si="329"/>
        <v>0</v>
      </c>
      <c r="AM452" s="1">
        <f t="shared" si="329"/>
        <v>0</v>
      </c>
      <c r="AN452" s="1">
        <f t="shared" si="329"/>
        <v>0</v>
      </c>
      <c r="AO452" s="1">
        <f t="shared" si="329"/>
        <v>0</v>
      </c>
      <c r="AP452" s="1">
        <f t="shared" si="329"/>
        <v>0</v>
      </c>
      <c r="AQ452" s="1">
        <f t="shared" si="329"/>
        <v>0</v>
      </c>
      <c r="AR452" s="1">
        <f t="shared" si="329"/>
        <v>1</v>
      </c>
      <c r="AS452" s="1">
        <f t="shared" si="329"/>
        <v>1</v>
      </c>
      <c r="AT452" s="39">
        <f t="shared" si="297"/>
        <v>242820.10458175096</v>
      </c>
      <c r="AU452" s="39">
        <f t="shared" si="315"/>
        <v>242820.10458175096</v>
      </c>
      <c r="AV452" s="39">
        <f t="shared" si="325"/>
        <v>0</v>
      </c>
      <c r="AW452" s="3">
        <f t="shared" si="298"/>
        <v>378</v>
      </c>
      <c r="AX452" s="69">
        <f t="shared" si="316"/>
        <v>0</v>
      </c>
      <c r="AY452" s="75">
        <f t="shared" si="299"/>
        <v>0</v>
      </c>
      <c r="AZ452" s="75">
        <f t="shared" si="300"/>
        <v>0</v>
      </c>
      <c r="BA452" s="75">
        <f t="shared" si="301"/>
        <v>0</v>
      </c>
      <c r="BB452" s="75">
        <f t="shared" si="302"/>
        <v>0</v>
      </c>
      <c r="BD452" s="214">
        <f t="shared" si="317"/>
        <v>331775.47704357118</v>
      </c>
      <c r="BE452" s="214">
        <f t="shared" si="303"/>
        <v>1614.9339108503946</v>
      </c>
      <c r="BF452" s="214">
        <f t="shared" si="304"/>
        <v>-548.98603845088212</v>
      </c>
      <c r="BG452" s="224">
        <f t="shared" si="321"/>
        <v>0</v>
      </c>
      <c r="BH452" s="19">
        <f t="shared" si="318"/>
        <v>617564.57721015217</v>
      </c>
      <c r="BI452" s="214">
        <f t="shared" si="305"/>
        <v>3006.0268069351168</v>
      </c>
      <c r="BJ452" s="214">
        <f t="shared" si="306"/>
        <v>0</v>
      </c>
      <c r="BK452" s="19">
        <f t="shared" si="322"/>
        <v>0</v>
      </c>
    </row>
    <row r="453" spans="1:63">
      <c r="A453" s="165">
        <f t="shared" si="307"/>
        <v>93.556125941136202</v>
      </c>
      <c r="B453" s="69">
        <f t="shared" si="308"/>
        <v>32</v>
      </c>
      <c r="C453" s="70">
        <f t="shared" si="309"/>
        <v>379</v>
      </c>
      <c r="D453" s="13">
        <f t="shared" si="277"/>
        <v>4.8675505653430484E-3</v>
      </c>
      <c r="E453" s="15">
        <f t="shared" si="278"/>
        <v>1</v>
      </c>
      <c r="F453" s="15">
        <f t="shared" si="310"/>
        <v>0</v>
      </c>
      <c r="G453" s="15">
        <f t="shared" si="279"/>
        <v>0</v>
      </c>
      <c r="H453" s="73">
        <f t="shared" si="280"/>
        <v>0</v>
      </c>
      <c r="I453" s="189"/>
      <c r="J453" s="189"/>
      <c r="K453" s="5">
        <f t="shared" si="323"/>
        <v>242820.10458175096</v>
      </c>
      <c r="M453" s="5">
        <f t="shared" si="281"/>
        <v>1181.93913733356</v>
      </c>
      <c r="N453" s="5">
        <f t="shared" si="282"/>
        <v>-401.79234601193195</v>
      </c>
      <c r="O453" s="5">
        <f t="shared" si="283"/>
        <v>0</v>
      </c>
      <c r="P453" s="5">
        <f t="shared" si="284"/>
        <v>0</v>
      </c>
      <c r="Q453" s="5">
        <f t="shared" si="319"/>
        <v>0</v>
      </c>
      <c r="R453" s="5">
        <f t="shared" si="311"/>
        <v>0</v>
      </c>
      <c r="S453" s="5">
        <f t="shared" si="285"/>
        <v>0</v>
      </c>
      <c r="T453" s="5">
        <f t="shared" si="286"/>
        <v>0</v>
      </c>
      <c r="U453" s="74">
        <f t="shared" si="287"/>
        <v>0</v>
      </c>
      <c r="V453" s="75">
        <f t="shared" si="288"/>
        <v>0</v>
      </c>
      <c r="W453" s="5">
        <f t="shared" si="289"/>
        <v>0</v>
      </c>
      <c r="X453" s="5">
        <f t="shared" si="290"/>
        <v>243600.25137307259</v>
      </c>
      <c r="Y453" s="5">
        <f t="shared" si="312"/>
        <v>100000</v>
      </c>
      <c r="Z453" s="215">
        <f t="shared" si="291"/>
        <v>1</v>
      </c>
      <c r="AA453" s="216">
        <f t="shared" si="313"/>
        <v>0</v>
      </c>
      <c r="AB453" s="72">
        <f t="shared" si="320"/>
        <v>50215.72519964027</v>
      </c>
      <c r="AC453" s="72">
        <f t="shared" si="292"/>
        <v>0</v>
      </c>
      <c r="AD453" s="72">
        <f t="shared" si="293"/>
        <v>0</v>
      </c>
      <c r="AE453" s="72">
        <f t="shared" si="314"/>
        <v>-50.726937964711581</v>
      </c>
      <c r="AF453" s="70">
        <f t="shared" si="294"/>
        <v>0</v>
      </c>
      <c r="AG453" s="70">
        <f t="shared" si="295"/>
        <v>23434.345897990621</v>
      </c>
      <c r="AH453" s="1">
        <f t="shared" si="329"/>
        <v>0</v>
      </c>
      <c r="AI453" s="1">
        <f t="shared" si="329"/>
        <v>0</v>
      </c>
      <c r="AJ453" s="1">
        <f t="shared" si="329"/>
        <v>0</v>
      </c>
      <c r="AK453" s="1">
        <f t="shared" si="329"/>
        <v>0</v>
      </c>
      <c r="AL453" s="1">
        <f t="shared" si="329"/>
        <v>0</v>
      </c>
      <c r="AM453" s="1">
        <f t="shared" si="329"/>
        <v>0</v>
      </c>
      <c r="AN453" s="1">
        <f t="shared" si="329"/>
        <v>0</v>
      </c>
      <c r="AO453" s="1">
        <f t="shared" si="329"/>
        <v>0</v>
      </c>
      <c r="AP453" s="1">
        <f t="shared" si="329"/>
        <v>0</v>
      </c>
      <c r="AQ453" s="1">
        <f t="shared" si="329"/>
        <v>0</v>
      </c>
      <c r="AR453" s="1">
        <f t="shared" si="329"/>
        <v>1</v>
      </c>
      <c r="AS453" s="1">
        <f t="shared" si="329"/>
        <v>1</v>
      </c>
      <c r="AT453" s="39">
        <f t="shared" si="297"/>
        <v>243600.25137307259</v>
      </c>
      <c r="AU453" s="39">
        <f t="shared" si="315"/>
        <v>243600.25137307259</v>
      </c>
      <c r="AV453" s="39">
        <f t="shared" si="325"/>
        <v>0</v>
      </c>
      <c r="AW453" s="3">
        <f t="shared" si="298"/>
        <v>379</v>
      </c>
      <c r="AX453" s="69">
        <f t="shared" si="316"/>
        <v>0</v>
      </c>
      <c r="AY453" s="75">
        <f t="shared" si="299"/>
        <v>0</v>
      </c>
      <c r="AZ453" s="75">
        <f t="shared" si="300"/>
        <v>0</v>
      </c>
      <c r="BA453" s="75">
        <f t="shared" si="301"/>
        <v>0</v>
      </c>
      <c r="BB453" s="75">
        <f t="shared" si="302"/>
        <v>0</v>
      </c>
      <c r="BD453" s="214">
        <f t="shared" si="317"/>
        <v>332841.42491597065</v>
      </c>
      <c r="BE453" s="214">
        <f t="shared" si="303"/>
        <v>1620.1224660193188</v>
      </c>
      <c r="BF453" s="214">
        <f t="shared" si="304"/>
        <v>-550.74985325985574</v>
      </c>
      <c r="BG453" s="224">
        <f t="shared" si="321"/>
        <v>0</v>
      </c>
      <c r="BH453" s="19">
        <f t="shared" si="318"/>
        <v>620570.60401708726</v>
      </c>
      <c r="BI453" s="214">
        <f t="shared" si="305"/>
        <v>3020.6587944186499</v>
      </c>
      <c r="BJ453" s="214">
        <f t="shared" si="306"/>
        <v>0</v>
      </c>
      <c r="BK453" s="19">
        <f t="shared" si="322"/>
        <v>0</v>
      </c>
    </row>
    <row r="454" spans="1:63">
      <c r="A454" s="165">
        <f t="shared" si="307"/>
        <v>93.639459274469544</v>
      </c>
      <c r="B454" s="69">
        <f t="shared" si="308"/>
        <v>32</v>
      </c>
      <c r="C454" s="70">
        <f t="shared" si="309"/>
        <v>380</v>
      </c>
      <c r="D454" s="13">
        <f t="shared" si="277"/>
        <v>4.8675505653430484E-3</v>
      </c>
      <c r="E454" s="15">
        <f t="shared" si="278"/>
        <v>1</v>
      </c>
      <c r="F454" s="15">
        <f t="shared" si="310"/>
        <v>0</v>
      </c>
      <c r="G454" s="15">
        <f t="shared" si="279"/>
        <v>0</v>
      </c>
      <c r="H454" s="73">
        <f t="shared" si="280"/>
        <v>0</v>
      </c>
      <c r="I454" s="189"/>
      <c r="J454" s="189"/>
      <c r="K454" s="5">
        <f t="shared" si="323"/>
        <v>243600.25137307259</v>
      </c>
      <c r="M454" s="5">
        <f t="shared" si="281"/>
        <v>1185.7365412887082</v>
      </c>
      <c r="N454" s="5">
        <f t="shared" si="282"/>
        <v>-403.08324822144516</v>
      </c>
      <c r="O454" s="5">
        <f t="shared" si="283"/>
        <v>0</v>
      </c>
      <c r="P454" s="5">
        <f t="shared" si="284"/>
        <v>0</v>
      </c>
      <c r="Q454" s="5">
        <f t="shared" si="319"/>
        <v>0</v>
      </c>
      <c r="R454" s="5">
        <f t="shared" si="311"/>
        <v>0</v>
      </c>
      <c r="S454" s="5">
        <f t="shared" si="285"/>
        <v>0</v>
      </c>
      <c r="T454" s="5">
        <f t="shared" si="286"/>
        <v>0</v>
      </c>
      <c r="U454" s="74">
        <f t="shared" si="287"/>
        <v>0</v>
      </c>
      <c r="V454" s="75">
        <f t="shared" si="288"/>
        <v>0</v>
      </c>
      <c r="W454" s="5">
        <f t="shared" si="289"/>
        <v>0</v>
      </c>
      <c r="X454" s="5">
        <f t="shared" si="290"/>
        <v>244382.90466613986</v>
      </c>
      <c r="Y454" s="5">
        <f t="shared" si="312"/>
        <v>100000</v>
      </c>
      <c r="Z454" s="215">
        <f t="shared" si="291"/>
        <v>1</v>
      </c>
      <c r="AA454" s="216">
        <f t="shared" si="313"/>
        <v>0</v>
      </c>
      <c r="AB454" s="72">
        <f t="shared" si="320"/>
        <v>50215.72519964027</v>
      </c>
      <c r="AC454" s="72">
        <f t="shared" si="292"/>
        <v>0</v>
      </c>
      <c r="AD454" s="72">
        <f t="shared" si="293"/>
        <v>0</v>
      </c>
      <c r="AE454" s="72">
        <f t="shared" si="314"/>
        <v>-50.889916470774367</v>
      </c>
      <c r="AF454" s="70">
        <f t="shared" si="294"/>
        <v>0</v>
      </c>
      <c r="AG454" s="70">
        <f t="shared" si="295"/>
        <v>23731.75414935618</v>
      </c>
      <c r="AH454" s="1">
        <f t="shared" si="329"/>
        <v>0</v>
      </c>
      <c r="AI454" s="1">
        <f t="shared" si="329"/>
        <v>0</v>
      </c>
      <c r="AJ454" s="1">
        <f t="shared" si="329"/>
        <v>0</v>
      </c>
      <c r="AK454" s="1">
        <f t="shared" si="329"/>
        <v>0</v>
      </c>
      <c r="AL454" s="1">
        <f t="shared" si="329"/>
        <v>0</v>
      </c>
      <c r="AM454" s="1">
        <f t="shared" si="329"/>
        <v>0</v>
      </c>
      <c r="AN454" s="1">
        <f t="shared" si="329"/>
        <v>0</v>
      </c>
      <c r="AO454" s="1">
        <f t="shared" si="329"/>
        <v>0</v>
      </c>
      <c r="AP454" s="1">
        <f t="shared" si="329"/>
        <v>0</v>
      </c>
      <c r="AQ454" s="1">
        <f t="shared" si="329"/>
        <v>0</v>
      </c>
      <c r="AR454" s="1">
        <f t="shared" si="329"/>
        <v>1</v>
      </c>
      <c r="AS454" s="1">
        <f t="shared" si="329"/>
        <v>1</v>
      </c>
      <c r="AT454" s="39">
        <f t="shared" si="297"/>
        <v>244382.90466613986</v>
      </c>
      <c r="AU454" s="39">
        <f t="shared" si="315"/>
        <v>244382.90466613986</v>
      </c>
      <c r="AV454" s="39">
        <f t="shared" si="325"/>
        <v>0</v>
      </c>
      <c r="AW454" s="3">
        <f t="shared" si="298"/>
        <v>380</v>
      </c>
      <c r="AX454" s="69">
        <f t="shared" si="316"/>
        <v>0</v>
      </c>
      <c r="AY454" s="75">
        <f t="shared" si="299"/>
        <v>0</v>
      </c>
      <c r="AZ454" s="75">
        <f t="shared" si="300"/>
        <v>0</v>
      </c>
      <c r="BA454" s="75">
        <f t="shared" si="301"/>
        <v>0</v>
      </c>
      <c r="BB454" s="75">
        <f t="shared" si="302"/>
        <v>0</v>
      </c>
      <c r="BD454" s="214">
        <f t="shared" si="317"/>
        <v>333910.79752873007</v>
      </c>
      <c r="BE454" s="214">
        <f t="shared" si="303"/>
        <v>1625.3276912851181</v>
      </c>
      <c r="BF454" s="214">
        <f t="shared" si="304"/>
        <v>-552.51933495735193</v>
      </c>
      <c r="BG454" s="224">
        <f t="shared" si="321"/>
        <v>0</v>
      </c>
      <c r="BH454" s="19">
        <f t="shared" si="318"/>
        <v>623591.26281150593</v>
      </c>
      <c r="BI454" s="214">
        <f t="shared" si="305"/>
        <v>3035.3620038411314</v>
      </c>
      <c r="BJ454" s="214">
        <f t="shared" si="306"/>
        <v>0</v>
      </c>
      <c r="BK454" s="19">
        <f t="shared" si="322"/>
        <v>0</v>
      </c>
    </row>
    <row r="455" spans="1:63">
      <c r="A455" s="165">
        <f t="shared" si="307"/>
        <v>93.722792607802873</v>
      </c>
      <c r="B455" s="69">
        <f t="shared" si="308"/>
        <v>32</v>
      </c>
      <c r="C455" s="70">
        <f t="shared" si="309"/>
        <v>381</v>
      </c>
      <c r="D455" s="13">
        <f t="shared" si="277"/>
        <v>4.8675505653430484E-3</v>
      </c>
      <c r="E455" s="15">
        <f t="shared" si="278"/>
        <v>1</v>
      </c>
      <c r="F455" s="15">
        <f t="shared" si="310"/>
        <v>0</v>
      </c>
      <c r="G455" s="15">
        <f t="shared" si="279"/>
        <v>0</v>
      </c>
      <c r="H455" s="73">
        <f t="shared" si="280"/>
        <v>0</v>
      </c>
      <c r="I455" s="189"/>
      <c r="J455" s="189"/>
      <c r="K455" s="5">
        <f t="shared" si="323"/>
        <v>244382.90466613986</v>
      </c>
      <c r="M455" s="5">
        <f t="shared" si="281"/>
        <v>1189.5461457678455</v>
      </c>
      <c r="N455" s="5">
        <f t="shared" si="282"/>
        <v>-404.37829791791535</v>
      </c>
      <c r="O455" s="5">
        <f t="shared" si="283"/>
        <v>0</v>
      </c>
      <c r="P455" s="5">
        <f t="shared" si="284"/>
        <v>0</v>
      </c>
      <c r="Q455" s="5">
        <f t="shared" si="319"/>
        <v>0</v>
      </c>
      <c r="R455" s="5">
        <f t="shared" si="311"/>
        <v>0</v>
      </c>
      <c r="S455" s="5">
        <f t="shared" si="285"/>
        <v>0</v>
      </c>
      <c r="T455" s="5">
        <f t="shared" si="286"/>
        <v>0</v>
      </c>
      <c r="U455" s="74">
        <f t="shared" si="287"/>
        <v>0</v>
      </c>
      <c r="V455" s="75">
        <f t="shared" si="288"/>
        <v>0</v>
      </c>
      <c r="W455" s="5">
        <f t="shared" si="289"/>
        <v>0</v>
      </c>
      <c r="X455" s="5">
        <f t="shared" si="290"/>
        <v>245168.07251398978</v>
      </c>
      <c r="Y455" s="5">
        <f t="shared" si="312"/>
        <v>100000</v>
      </c>
      <c r="Z455" s="215">
        <f t="shared" si="291"/>
        <v>1</v>
      </c>
      <c r="AA455" s="216">
        <f t="shared" si="313"/>
        <v>0</v>
      </c>
      <c r="AB455" s="72">
        <f t="shared" si="320"/>
        <v>50215.72519964027</v>
      </c>
      <c r="AC455" s="72">
        <f t="shared" si="292"/>
        <v>0</v>
      </c>
      <c r="AD455" s="72">
        <f t="shared" si="293"/>
        <v>0</v>
      </c>
      <c r="AE455" s="72">
        <f t="shared" si="314"/>
        <v>-51.05341860381926</v>
      </c>
      <c r="AF455" s="70">
        <f t="shared" si="294"/>
        <v>0</v>
      </c>
      <c r="AG455" s="70">
        <f t="shared" si="295"/>
        <v>24030.117931539156</v>
      </c>
      <c r="AH455" s="1">
        <f t="shared" ref="AH455:AS464" si="330">IF($B455&lt;=AH$74,1,0)</f>
        <v>0</v>
      </c>
      <c r="AI455" s="1">
        <f t="shared" si="330"/>
        <v>0</v>
      </c>
      <c r="AJ455" s="1">
        <f t="shared" si="330"/>
        <v>0</v>
      </c>
      <c r="AK455" s="1">
        <f t="shared" si="330"/>
        <v>0</v>
      </c>
      <c r="AL455" s="1">
        <f t="shared" si="330"/>
        <v>0</v>
      </c>
      <c r="AM455" s="1">
        <f t="shared" si="330"/>
        <v>0</v>
      </c>
      <c r="AN455" s="1">
        <f t="shared" si="330"/>
        <v>0</v>
      </c>
      <c r="AO455" s="1">
        <f t="shared" si="330"/>
        <v>0</v>
      </c>
      <c r="AP455" s="1">
        <f t="shared" si="330"/>
        <v>0</v>
      </c>
      <c r="AQ455" s="1">
        <f t="shared" si="330"/>
        <v>0</v>
      </c>
      <c r="AR455" s="1">
        <f t="shared" si="330"/>
        <v>1</v>
      </c>
      <c r="AS455" s="1">
        <f t="shared" si="330"/>
        <v>1</v>
      </c>
      <c r="AT455" s="39">
        <f t="shared" si="297"/>
        <v>245168.07251398978</v>
      </c>
      <c r="AU455" s="39">
        <f t="shared" si="315"/>
        <v>245168.07251398978</v>
      </c>
      <c r="AV455" s="39">
        <f t="shared" si="325"/>
        <v>0</v>
      </c>
      <c r="AW455" s="3">
        <f t="shared" si="298"/>
        <v>381</v>
      </c>
      <c r="AX455" s="69">
        <f t="shared" si="316"/>
        <v>0</v>
      </c>
      <c r="AY455" s="75">
        <f t="shared" si="299"/>
        <v>0</v>
      </c>
      <c r="AZ455" s="75">
        <f t="shared" si="300"/>
        <v>0</v>
      </c>
      <c r="BA455" s="75">
        <f t="shared" si="301"/>
        <v>0</v>
      </c>
      <c r="BB455" s="75">
        <f t="shared" si="302"/>
        <v>0</v>
      </c>
      <c r="BD455" s="214">
        <f t="shared" si="317"/>
        <v>334983.60588505783</v>
      </c>
      <c r="BE455" s="214">
        <f t="shared" si="303"/>
        <v>1630.5496402064662</v>
      </c>
      <c r="BF455" s="214">
        <f t="shared" si="304"/>
        <v>-554.29450175028524</v>
      </c>
      <c r="BG455" s="224">
        <f t="shared" si="321"/>
        <v>0</v>
      </c>
      <c r="BH455" s="19">
        <f t="shared" si="318"/>
        <v>626626.62481534702</v>
      </c>
      <c r="BI455" s="214">
        <f t="shared" si="305"/>
        <v>3050.1367818789486</v>
      </c>
      <c r="BJ455" s="214">
        <f t="shared" si="306"/>
        <v>0</v>
      </c>
      <c r="BK455" s="19">
        <f t="shared" si="322"/>
        <v>0</v>
      </c>
    </row>
    <row r="456" spans="1:63">
      <c r="A456" s="165">
        <f t="shared" si="307"/>
        <v>93.806125941136202</v>
      </c>
      <c r="B456" s="69">
        <f t="shared" si="308"/>
        <v>32</v>
      </c>
      <c r="C456" s="70">
        <f t="shared" si="309"/>
        <v>382</v>
      </c>
      <c r="D456" s="13">
        <f t="shared" si="277"/>
        <v>4.8675505653430484E-3</v>
      </c>
      <c r="E456" s="15">
        <f t="shared" si="278"/>
        <v>1</v>
      </c>
      <c r="F456" s="15">
        <f t="shared" si="310"/>
        <v>0</v>
      </c>
      <c r="G456" s="15">
        <f t="shared" si="279"/>
        <v>0</v>
      </c>
      <c r="H456" s="73">
        <f t="shared" si="280"/>
        <v>0</v>
      </c>
      <c r="I456" s="189"/>
      <c r="J456" s="189"/>
      <c r="K456" s="5">
        <f t="shared" si="323"/>
        <v>245168.07251398978</v>
      </c>
      <c r="M456" s="5">
        <f t="shared" si="281"/>
        <v>1193.3679899695364</v>
      </c>
      <c r="N456" s="5">
        <f t="shared" si="282"/>
        <v>-405.67750842663395</v>
      </c>
      <c r="O456" s="5">
        <f t="shared" si="283"/>
        <v>0</v>
      </c>
      <c r="P456" s="5">
        <f t="shared" si="284"/>
        <v>0</v>
      </c>
      <c r="Q456" s="5">
        <f t="shared" si="319"/>
        <v>0</v>
      </c>
      <c r="R456" s="5">
        <f t="shared" si="311"/>
        <v>0</v>
      </c>
      <c r="S456" s="5">
        <f t="shared" si="285"/>
        <v>0</v>
      </c>
      <c r="T456" s="5">
        <f t="shared" si="286"/>
        <v>0</v>
      </c>
      <c r="U456" s="74">
        <f t="shared" si="287"/>
        <v>0</v>
      </c>
      <c r="V456" s="75">
        <f t="shared" si="288"/>
        <v>0</v>
      </c>
      <c r="W456" s="5">
        <f t="shared" si="289"/>
        <v>0</v>
      </c>
      <c r="X456" s="5">
        <f t="shared" si="290"/>
        <v>245955.76299553268</v>
      </c>
      <c r="Y456" s="5">
        <f t="shared" si="312"/>
        <v>100000</v>
      </c>
      <c r="Z456" s="215">
        <f t="shared" si="291"/>
        <v>1</v>
      </c>
      <c r="AA456" s="216">
        <f t="shared" si="313"/>
        <v>0</v>
      </c>
      <c r="AB456" s="72">
        <f t="shared" si="320"/>
        <v>50215.72519964027</v>
      </c>
      <c r="AC456" s="72">
        <f t="shared" si="292"/>
        <v>0</v>
      </c>
      <c r="AD456" s="72">
        <f t="shared" si="293"/>
        <v>0</v>
      </c>
      <c r="AE456" s="72">
        <f t="shared" si="314"/>
        <v>-51.217446046185998</v>
      </c>
      <c r="AF456" s="70">
        <f t="shared" si="294"/>
        <v>0</v>
      </c>
      <c r="AG456" s="70">
        <f t="shared" si="295"/>
        <v>24329.440314525469</v>
      </c>
      <c r="AH456" s="1">
        <f t="shared" si="330"/>
        <v>0</v>
      </c>
      <c r="AI456" s="1">
        <f t="shared" si="330"/>
        <v>0</v>
      </c>
      <c r="AJ456" s="1">
        <f t="shared" si="330"/>
        <v>0</v>
      </c>
      <c r="AK456" s="1">
        <f t="shared" si="330"/>
        <v>0</v>
      </c>
      <c r="AL456" s="1">
        <f t="shared" si="330"/>
        <v>0</v>
      </c>
      <c r="AM456" s="1">
        <f t="shared" si="330"/>
        <v>0</v>
      </c>
      <c r="AN456" s="1">
        <f t="shared" si="330"/>
        <v>0</v>
      </c>
      <c r="AO456" s="1">
        <f t="shared" si="330"/>
        <v>0</v>
      </c>
      <c r="AP456" s="1">
        <f t="shared" si="330"/>
        <v>0</v>
      </c>
      <c r="AQ456" s="1">
        <f t="shared" si="330"/>
        <v>0</v>
      </c>
      <c r="AR456" s="1">
        <f t="shared" si="330"/>
        <v>1</v>
      </c>
      <c r="AS456" s="1">
        <f t="shared" si="330"/>
        <v>1</v>
      </c>
      <c r="AT456" s="39">
        <f t="shared" si="297"/>
        <v>245955.76299553268</v>
      </c>
      <c r="AU456" s="39">
        <f t="shared" si="315"/>
        <v>245955.76299553268</v>
      </c>
      <c r="AV456" s="39">
        <f t="shared" si="325"/>
        <v>0</v>
      </c>
      <c r="AW456" s="3">
        <f t="shared" si="298"/>
        <v>382</v>
      </c>
      <c r="AX456" s="69">
        <f t="shared" si="316"/>
        <v>0</v>
      </c>
      <c r="AY456" s="75">
        <f t="shared" si="299"/>
        <v>0</v>
      </c>
      <c r="AZ456" s="75">
        <f t="shared" si="300"/>
        <v>0</v>
      </c>
      <c r="BA456" s="75">
        <f t="shared" si="301"/>
        <v>0</v>
      </c>
      <c r="BB456" s="75">
        <f t="shared" si="302"/>
        <v>0</v>
      </c>
      <c r="BD456" s="214">
        <f t="shared" si="317"/>
        <v>336059.86102351401</v>
      </c>
      <c r="BE456" s="214">
        <f t="shared" si="303"/>
        <v>1635.7883665141119</v>
      </c>
      <c r="BF456" s="214">
        <f t="shared" si="304"/>
        <v>-556.07537190406663</v>
      </c>
      <c r="BG456" s="224">
        <f t="shared" si="321"/>
        <v>0</v>
      </c>
      <c r="BH456" s="19">
        <f t="shared" si="318"/>
        <v>629676.76159722602</v>
      </c>
      <c r="BI456" s="214">
        <f t="shared" si="305"/>
        <v>3064.9834768959577</v>
      </c>
      <c r="BJ456" s="214">
        <f t="shared" si="306"/>
        <v>0</v>
      </c>
      <c r="BK456" s="19">
        <f t="shared" si="322"/>
        <v>0</v>
      </c>
    </row>
    <row r="457" spans="1:63">
      <c r="A457" s="165">
        <f t="shared" si="307"/>
        <v>93.889459274469544</v>
      </c>
      <c r="B457" s="69">
        <f t="shared" si="308"/>
        <v>32</v>
      </c>
      <c r="C457" s="70">
        <f t="shared" si="309"/>
        <v>383</v>
      </c>
      <c r="D457" s="13">
        <f t="shared" si="277"/>
        <v>4.8675505653430484E-3</v>
      </c>
      <c r="E457" s="15">
        <f t="shared" si="278"/>
        <v>1</v>
      </c>
      <c r="F457" s="15">
        <f t="shared" si="310"/>
        <v>0</v>
      </c>
      <c r="G457" s="15">
        <f t="shared" si="279"/>
        <v>0</v>
      </c>
      <c r="H457" s="73">
        <f t="shared" si="280"/>
        <v>0</v>
      </c>
      <c r="I457" s="189"/>
      <c r="J457" s="189"/>
      <c r="K457" s="5">
        <f t="shared" si="323"/>
        <v>245955.76299553268</v>
      </c>
      <c r="M457" s="5">
        <f t="shared" si="281"/>
        <v>1197.2021132182861</v>
      </c>
      <c r="N457" s="5">
        <f t="shared" si="282"/>
        <v>-406.98089311570465</v>
      </c>
      <c r="O457" s="5">
        <f t="shared" si="283"/>
        <v>0</v>
      </c>
      <c r="P457" s="5">
        <f t="shared" si="284"/>
        <v>0</v>
      </c>
      <c r="Q457" s="5">
        <f t="shared" si="319"/>
        <v>0</v>
      </c>
      <c r="R457" s="5">
        <f t="shared" si="311"/>
        <v>0</v>
      </c>
      <c r="S457" s="5">
        <f t="shared" si="285"/>
        <v>0</v>
      </c>
      <c r="T457" s="5">
        <f t="shared" si="286"/>
        <v>0</v>
      </c>
      <c r="U457" s="74">
        <f t="shared" si="287"/>
        <v>0</v>
      </c>
      <c r="V457" s="75">
        <f t="shared" si="288"/>
        <v>0</v>
      </c>
      <c r="W457" s="5">
        <f t="shared" si="289"/>
        <v>0</v>
      </c>
      <c r="X457" s="5">
        <f t="shared" si="290"/>
        <v>246745.98421563525</v>
      </c>
      <c r="Y457" s="5">
        <f t="shared" si="312"/>
        <v>100000</v>
      </c>
      <c r="Z457" s="215">
        <f t="shared" si="291"/>
        <v>1</v>
      </c>
      <c r="AA457" s="216">
        <f t="shared" si="313"/>
        <v>0</v>
      </c>
      <c r="AB457" s="72">
        <f t="shared" si="320"/>
        <v>50215.72519964027</v>
      </c>
      <c r="AC457" s="72">
        <f t="shared" si="292"/>
        <v>0</v>
      </c>
      <c r="AD457" s="72">
        <f t="shared" si="293"/>
        <v>0</v>
      </c>
      <c r="AE457" s="72">
        <f t="shared" si="314"/>
        <v>-51.38200048561945</v>
      </c>
      <c r="AF457" s="70">
        <f t="shared" si="294"/>
        <v>0</v>
      </c>
      <c r="AG457" s="70">
        <f t="shared" si="295"/>
        <v>24629.724378164443</v>
      </c>
      <c r="AH457" s="1">
        <f t="shared" si="330"/>
        <v>0</v>
      </c>
      <c r="AI457" s="1">
        <f t="shared" si="330"/>
        <v>0</v>
      </c>
      <c r="AJ457" s="1">
        <f t="shared" si="330"/>
        <v>0</v>
      </c>
      <c r="AK457" s="1">
        <f t="shared" si="330"/>
        <v>0</v>
      </c>
      <c r="AL457" s="1">
        <f t="shared" si="330"/>
        <v>0</v>
      </c>
      <c r="AM457" s="1">
        <f t="shared" si="330"/>
        <v>0</v>
      </c>
      <c r="AN457" s="1">
        <f t="shared" si="330"/>
        <v>0</v>
      </c>
      <c r="AO457" s="1">
        <f t="shared" si="330"/>
        <v>0</v>
      </c>
      <c r="AP457" s="1">
        <f t="shared" si="330"/>
        <v>0</v>
      </c>
      <c r="AQ457" s="1">
        <f t="shared" si="330"/>
        <v>0</v>
      </c>
      <c r="AR457" s="1">
        <f t="shared" si="330"/>
        <v>1</v>
      </c>
      <c r="AS457" s="1">
        <f t="shared" si="330"/>
        <v>1</v>
      </c>
      <c r="AT457" s="39">
        <f t="shared" si="297"/>
        <v>246745.98421563525</v>
      </c>
      <c r="AU457" s="39">
        <f t="shared" si="315"/>
        <v>246745.98421563525</v>
      </c>
      <c r="AV457" s="39">
        <f t="shared" si="325"/>
        <v>0</v>
      </c>
      <c r="AW457" s="3">
        <f t="shared" si="298"/>
        <v>383</v>
      </c>
      <c r="AX457" s="69">
        <f t="shared" si="316"/>
        <v>0</v>
      </c>
      <c r="AY457" s="75">
        <f t="shared" si="299"/>
        <v>0</v>
      </c>
      <c r="AZ457" s="75">
        <f t="shared" si="300"/>
        <v>0</v>
      </c>
      <c r="BA457" s="75">
        <f t="shared" si="301"/>
        <v>0</v>
      </c>
      <c r="BB457" s="75">
        <f t="shared" si="302"/>
        <v>0</v>
      </c>
      <c r="BD457" s="214">
        <f t="shared" si="317"/>
        <v>337139.57401812403</v>
      </c>
      <c r="BE457" s="214">
        <f t="shared" si="303"/>
        <v>1641.0439241114341</v>
      </c>
      <c r="BF457" s="214">
        <f t="shared" si="304"/>
        <v>-557.86196374279086</v>
      </c>
      <c r="BG457" s="224">
        <f t="shared" si="321"/>
        <v>0</v>
      </c>
      <c r="BH457" s="19">
        <f t="shared" si="318"/>
        <v>632741.74507412198</v>
      </c>
      <c r="BI457" s="214">
        <f t="shared" si="305"/>
        <v>3079.9024389516894</v>
      </c>
      <c r="BJ457" s="214">
        <f t="shared" si="306"/>
        <v>0</v>
      </c>
      <c r="BK457" s="19">
        <f t="shared" si="322"/>
        <v>0</v>
      </c>
    </row>
    <row r="458" spans="1:63">
      <c r="A458" s="165">
        <f t="shared" si="307"/>
        <v>93.972792607802873</v>
      </c>
      <c r="B458" s="69">
        <f t="shared" si="308"/>
        <v>32</v>
      </c>
      <c r="C458" s="70">
        <f t="shared" si="309"/>
        <v>384</v>
      </c>
      <c r="D458" s="13">
        <f t="shared" si="277"/>
        <v>4.8675505653430484E-3</v>
      </c>
      <c r="E458" s="15">
        <f t="shared" si="278"/>
        <v>1</v>
      </c>
      <c r="F458" s="15">
        <f t="shared" si="310"/>
        <v>1</v>
      </c>
      <c r="G458" s="15">
        <f t="shared" si="279"/>
        <v>0</v>
      </c>
      <c r="H458" s="73">
        <f t="shared" si="280"/>
        <v>0</v>
      </c>
      <c r="I458" s="189"/>
      <c r="J458" s="189"/>
      <c r="K458" s="5">
        <f t="shared" si="323"/>
        <v>246745.98421563525</v>
      </c>
      <c r="M458" s="5">
        <f t="shared" si="281"/>
        <v>1201.0485549649422</v>
      </c>
      <c r="N458" s="5">
        <f t="shared" si="282"/>
        <v>-408.28846539618081</v>
      </c>
      <c r="O458" s="5">
        <f t="shared" si="283"/>
        <v>0</v>
      </c>
      <c r="P458" s="5">
        <f t="shared" si="284"/>
        <v>0</v>
      </c>
      <c r="Q458" s="5">
        <f t="shared" si="319"/>
        <v>0</v>
      </c>
      <c r="R458" s="5">
        <f t="shared" si="311"/>
        <v>0</v>
      </c>
      <c r="S458" s="5">
        <f t="shared" si="285"/>
        <v>0</v>
      </c>
      <c r="T458" s="5">
        <f t="shared" si="286"/>
        <v>0</v>
      </c>
      <c r="U458" s="74">
        <f t="shared" si="287"/>
        <v>0</v>
      </c>
      <c r="V458" s="75">
        <f t="shared" si="288"/>
        <v>0</v>
      </c>
      <c r="W458" s="5">
        <f t="shared" si="289"/>
        <v>0</v>
      </c>
      <c r="X458" s="5">
        <f t="shared" si="290"/>
        <v>247538.74430520402</v>
      </c>
      <c r="Y458" s="5">
        <f t="shared" si="312"/>
        <v>100000</v>
      </c>
      <c r="Z458" s="215">
        <f t="shared" si="291"/>
        <v>1</v>
      </c>
      <c r="AA458" s="216">
        <f t="shared" si="313"/>
        <v>0</v>
      </c>
      <c r="AB458" s="72">
        <f t="shared" si="320"/>
        <v>50215.72519964027</v>
      </c>
      <c r="AC458" s="72">
        <f t="shared" si="292"/>
        <v>-24930.973212200559</v>
      </c>
      <c r="AD458" s="72">
        <f t="shared" si="293"/>
        <v>0</v>
      </c>
      <c r="AE458" s="72">
        <f t="shared" si="314"/>
        <v>-51.54708361528693</v>
      </c>
      <c r="AF458" s="70">
        <f t="shared" si="294"/>
        <v>0</v>
      </c>
      <c r="AG458" s="70">
        <f t="shared" si="295"/>
        <v>0</v>
      </c>
      <c r="AH458" s="1">
        <f t="shared" si="330"/>
        <v>0</v>
      </c>
      <c r="AI458" s="1">
        <f t="shared" si="330"/>
        <v>0</v>
      </c>
      <c r="AJ458" s="1">
        <f t="shared" si="330"/>
        <v>0</v>
      </c>
      <c r="AK458" s="1">
        <f t="shared" si="330"/>
        <v>0</v>
      </c>
      <c r="AL458" s="1">
        <f t="shared" si="330"/>
        <v>0</v>
      </c>
      <c r="AM458" s="1">
        <f t="shared" si="330"/>
        <v>0</v>
      </c>
      <c r="AN458" s="1">
        <f t="shared" si="330"/>
        <v>0</v>
      </c>
      <c r="AO458" s="1">
        <f t="shared" si="330"/>
        <v>0</v>
      </c>
      <c r="AP458" s="1">
        <f t="shared" si="330"/>
        <v>0</v>
      </c>
      <c r="AQ458" s="1">
        <f t="shared" si="330"/>
        <v>0</v>
      </c>
      <c r="AR458" s="1">
        <f t="shared" si="330"/>
        <v>1</v>
      </c>
      <c r="AS458" s="1">
        <f t="shared" si="330"/>
        <v>1</v>
      </c>
      <c r="AT458" s="39">
        <f t="shared" si="297"/>
        <v>222607.77109300345</v>
      </c>
      <c r="AU458" s="39">
        <f t="shared" si="315"/>
        <v>247538.74430520402</v>
      </c>
      <c r="AV458" s="39">
        <f t="shared" si="325"/>
        <v>0</v>
      </c>
      <c r="AW458" s="3">
        <f t="shared" si="298"/>
        <v>384</v>
      </c>
      <c r="AX458" s="69">
        <f t="shared" si="316"/>
        <v>0</v>
      </c>
      <c r="AY458" s="75">
        <f t="shared" si="299"/>
        <v>0</v>
      </c>
      <c r="AZ458" s="75">
        <f t="shared" si="300"/>
        <v>0</v>
      </c>
      <c r="BA458" s="75">
        <f t="shared" si="301"/>
        <v>0</v>
      </c>
      <c r="BB458" s="75">
        <f t="shared" si="302"/>
        <v>0</v>
      </c>
      <c r="BD458" s="214">
        <f t="shared" si="317"/>
        <v>338222.75597849267</v>
      </c>
      <c r="BE458" s="214">
        <f t="shared" si="303"/>
        <v>1646.3163670749959</v>
      </c>
      <c r="BF458" s="214">
        <f t="shared" si="304"/>
        <v>-559.65429564942588</v>
      </c>
      <c r="BG458" s="224">
        <f t="shared" si="321"/>
        <v>0</v>
      </c>
      <c r="BH458" s="19">
        <f t="shared" si="318"/>
        <v>635821.64751307364</v>
      </c>
      <c r="BI458" s="214">
        <f t="shared" si="305"/>
        <v>3094.8940198096102</v>
      </c>
      <c r="BJ458" s="214">
        <f t="shared" si="306"/>
        <v>0</v>
      </c>
      <c r="BK458" s="19">
        <f t="shared" si="322"/>
        <v>0</v>
      </c>
    </row>
    <row r="459" spans="1:63">
      <c r="A459" s="165">
        <f t="shared" si="307"/>
        <v>94.056125941136202</v>
      </c>
      <c r="B459" s="69">
        <f t="shared" si="308"/>
        <v>33</v>
      </c>
      <c r="C459" s="70">
        <f t="shared" si="309"/>
        <v>385</v>
      </c>
      <c r="D459" s="13">
        <f t="shared" ref="D459:D522" si="331">Growth_Rate_1_Monthly</f>
        <v>4.8675505653430484E-3</v>
      </c>
      <c r="E459" s="15">
        <f t="shared" ref="E459:E522" si="332">IF(Gtee_Flag="on",1,0)</f>
        <v>1</v>
      </c>
      <c r="F459" s="15">
        <f t="shared" si="310"/>
        <v>0</v>
      </c>
      <c r="G459" s="15">
        <f t="shared" ref="G459:G522" si="333">IF(AND(RP_Flag = "Yes",RP_Allowed="Yes"),IF(RP_PremFreq = "Annual",IF(MOD(C459-1, 12) = 0, 1, 0), IF(RP_PremFreq = "Half-Yearly", IF(MOD(C459-1, 6) = 0, 1, 0), IF(RP_PremFreq = "Quarterly", IF(MOD(C459-1, 3) = 0, 1, 0), IF(RP_PremFreq = "Monthly", IF(MOD(C459-1, 1) = 0, 1, 0), "Error")))),0)</f>
        <v>0</v>
      </c>
      <c r="H459" s="73">
        <f t="shared" ref="H459:H522" si="334">IF(ISERROR(VLOOKUP(Product_Code,Product_Parameters,B459+8,FALSE)),0,VLOOKUP(Product_Code,Product_Parameters,B459+8,FALSE))</f>
        <v>0</v>
      </c>
      <c r="I459" s="189"/>
      <c r="J459" s="189"/>
      <c r="K459" s="5">
        <f t="shared" si="323"/>
        <v>222607.77109300345</v>
      </c>
      <c r="M459" s="5">
        <f t="shared" ref="M459:M522" si="335">(K459+L459)*D459</f>
        <v>1083.5545820335049</v>
      </c>
      <c r="N459" s="5">
        <f t="shared" ref="N459:N522" si="336">-(($K459+(L459)+M459/2)*(External_Fund_Charge_Monthly+Fund_Charge_Monthly+Gtee_Charge_Monthly*$E459))-I459*Government_Levy</f>
        <v>-368.34717101372576</v>
      </c>
      <c r="O459" s="5">
        <f t="shared" ref="O459:O522" si="337">(Reg_Contrib/Contrib_Per_Year)*(1+RP_Escalation_Rate)^(B459-1)*G459</f>
        <v>0</v>
      </c>
      <c r="P459" s="5">
        <f t="shared" ref="P459:P522" si="338">O459*(RP_Allocation_Rate-1)</f>
        <v>0</v>
      </c>
      <c r="Q459" s="5">
        <f t="shared" si="319"/>
        <v>0</v>
      </c>
      <c r="R459" s="5">
        <f t="shared" si="311"/>
        <v>0</v>
      </c>
      <c r="S459" s="5">
        <f t="shared" ref="S459:S522" si="339">(Q459+R459)*D459</f>
        <v>0</v>
      </c>
      <c r="T459" s="5">
        <f t="shared" ref="T459:T522" si="340">-(($Q459+(R459)+S459/2)*(External_Fund_Charge_Monthly+Fund_Charge_Monthly+Gtee_Charge_Monthly*$E459))-O459*Government_Levy</f>
        <v>0</v>
      </c>
      <c r="U459" s="74">
        <f t="shared" ref="U459:U522" si="341">IF(OR(Reg_Income_Flag="No",Income_Type="Fixed Percent"),0,IF(C459&gt;=Regular_Income_Start_Month,
MIN(Regular_Income_Amount/12*(1+Income_Escalation_Rate_Annual)^($B459-1),AU459),0))</f>
        <v>0</v>
      </c>
      <c r="V459" s="75">
        <f t="shared" ref="V459:V522" si="342">IF(Reg_Income_Flag="No",0,MAX(IF(C459&gt;=Regular_Income_Start_Month,
MIN(IF(Income_Type="Fixed Percent",$C$43,0)/12*(K459+L459+M459+N459+Q459+R459+S459+T459),AU459),0),0))</f>
        <v>0</v>
      </c>
      <c r="W459" s="5">
        <f t="shared" ref="W459:W522" si="343">-MAX(U459:V459)</f>
        <v>0</v>
      </c>
      <c r="X459" s="5">
        <f t="shared" ref="X459:X522" si="344">SUM(K459:N459,Q459:T459)</f>
        <v>223322.97850402322</v>
      </c>
      <c r="Y459" s="5">
        <f t="shared" si="312"/>
        <v>100000</v>
      </c>
      <c r="Z459" s="215">
        <f t="shared" ref="Z459:Z522" si="345">IFERROR(SUM(K459:N459)/X459,0)</f>
        <v>1</v>
      </c>
      <c r="AA459" s="216">
        <f t="shared" si="313"/>
        <v>0</v>
      </c>
      <c r="AB459" s="72">
        <f t="shared" si="320"/>
        <v>75146.698411840829</v>
      </c>
      <c r="AC459" s="72">
        <f t="shared" ref="AC459:AC522" si="346">IF(Y459=0,0,-IF(F459=1,1,AA459)*(MAX(X459+AB459-Y459,0)*Exit_Tax_Rate-AB459))</f>
        <v>0</v>
      </c>
      <c r="AD459" s="72">
        <f t="shared" ref="AD459:AD522" si="347">W459-IF(F459=1,AA459,1)*AC459</f>
        <v>0</v>
      </c>
      <c r="AE459" s="72">
        <f t="shared" si="314"/>
        <v>-46.504430158894529</v>
      </c>
      <c r="AF459" s="70">
        <f t="shared" ref="AF459:AF522" si="348">SUM(K459:N459,SUM(AC459:AD459)*Z459)*$H459</f>
        <v>0</v>
      </c>
      <c r="AG459" s="70">
        <f t="shared" ref="AG459:AG522" si="349">IF(F459=1,0,MAX(X459+AB459+AC459+AD459-AF459-Y459,0)*Exit_Tax_Rate-AB459)</f>
        <v>271.77881618750689</v>
      </c>
      <c r="AH459" s="1">
        <f t="shared" si="330"/>
        <v>0</v>
      </c>
      <c r="AI459" s="1">
        <f t="shared" si="330"/>
        <v>0</v>
      </c>
      <c r="AJ459" s="1">
        <f t="shared" si="330"/>
        <v>0</v>
      </c>
      <c r="AK459" s="1">
        <f t="shared" si="330"/>
        <v>0</v>
      </c>
      <c r="AL459" s="1">
        <f t="shared" si="330"/>
        <v>0</v>
      </c>
      <c r="AM459" s="1">
        <f t="shared" si="330"/>
        <v>0</v>
      </c>
      <c r="AN459" s="1">
        <f t="shared" si="330"/>
        <v>0</v>
      </c>
      <c r="AO459" s="1">
        <f t="shared" si="330"/>
        <v>0</v>
      </c>
      <c r="AP459" s="1">
        <f t="shared" si="330"/>
        <v>0</v>
      </c>
      <c r="AQ459" s="1">
        <f t="shared" si="330"/>
        <v>0</v>
      </c>
      <c r="AR459" s="1">
        <f t="shared" si="330"/>
        <v>1</v>
      </c>
      <c r="AS459" s="1">
        <f t="shared" si="330"/>
        <v>1</v>
      </c>
      <c r="AT459" s="39">
        <f t="shared" ref="AT459:AT522" si="350">SUM(K459:N459,Q459:T459,W459,AC459)</f>
        <v>223322.97850402322</v>
      </c>
      <c r="AU459" s="39">
        <f t="shared" si="315"/>
        <v>223322.97850402322</v>
      </c>
      <c r="AV459" s="39">
        <f t="shared" si="325"/>
        <v>0</v>
      </c>
      <c r="AW459" s="3">
        <f t="shared" ref="AW459:AW522" si="351">C459</f>
        <v>385</v>
      </c>
      <c r="AX459" s="69">
        <f t="shared" si="316"/>
        <v>0</v>
      </c>
      <c r="AY459" s="75">
        <f t="shared" ref="AY459:AY522" si="352">IF(OR(AND(B459=Fund_Zero_Year,BD460=0,BD459&gt;0),C459=$C$53*12),-BH459,IF(AND(B459+1=Fund_Zero_Year,BD460=0,BD459&gt;0),-BH459,0))</f>
        <v>0</v>
      </c>
      <c r="AZ459" s="75">
        <f t="shared" ref="AZ459:AZ522" si="353">IF(OR(AND(B459=Fund_Zero_Year,BD460=0,BD459&gt;0),C459=$C$53*12),-BD459,IF(AND(B459+1=Fund_Zero_Year,BD460=0,BD459&gt;0),-BD459,0))</f>
        <v>0</v>
      </c>
      <c r="BA459" s="75">
        <f t="shared" ref="BA459:BA522" si="354">AY459+AX459+IF(OR(B459&gt;Fund_Zero_Year,BD459=0,C459&gt;MAX($C$53,$C$52)*12),0,W459)</f>
        <v>0</v>
      </c>
      <c r="BB459" s="75">
        <f t="shared" ref="BB459:BB522" si="355">AZ459+AX459+IF(OR(B459&gt;Fund_Zero_Year,BD459=0,C459&gt;MAX($C$53,$C$52)*12),0,W459)</f>
        <v>0</v>
      </c>
      <c r="BD459" s="214">
        <f t="shared" si="317"/>
        <v>339309.41804991825</v>
      </c>
      <c r="BE459" s="214">
        <f t="shared" ref="BE459:BE522" si="356">BD459*D459</f>
        <v>1651.6057496551005</v>
      </c>
      <c r="BF459" s="214">
        <f t="shared" ref="BF459:BF522" si="357">-(BD459+BE459/2)*(External_Fund_Charge_Monthly+Fund_Charge_Monthly+Gtee_Charge_Monthly*$E459)-(I459+O459)*Government_Levy</f>
        <v>-561.45238606600117</v>
      </c>
      <c r="BG459" s="224">
        <f t="shared" si="321"/>
        <v>0</v>
      </c>
      <c r="BH459" s="19">
        <f t="shared" si="318"/>
        <v>638916.5415328833</v>
      </c>
      <c r="BI459" s="214">
        <f t="shared" ref="BI459:BI522" si="358">BH459*D459</f>
        <v>3109.9585729454116</v>
      </c>
      <c r="BJ459" s="214">
        <f t="shared" ref="BJ459:BJ522" si="359">-(I459+O459)*Government_Levy</f>
        <v>0</v>
      </c>
      <c r="BK459" s="19">
        <f t="shared" si="322"/>
        <v>0</v>
      </c>
    </row>
    <row r="460" spans="1:63">
      <c r="A460" s="165">
        <f t="shared" ref="A460:A523" si="360">$C$35+C459/12</f>
        <v>94.139459274469544</v>
      </c>
      <c r="B460" s="69">
        <f t="shared" ref="B460:B523" si="361">INT((C460-1)/12)+1</f>
        <v>33</v>
      </c>
      <c r="C460" s="70">
        <f t="shared" ref="C460:C523" si="362">C459+1</f>
        <v>386</v>
      </c>
      <c r="D460" s="13">
        <f t="shared" si="331"/>
        <v>4.8675505653430484E-3</v>
      </c>
      <c r="E460" s="15">
        <f t="shared" si="332"/>
        <v>1</v>
      </c>
      <c r="F460" s="15">
        <f t="shared" ref="F460:F523" si="363">IF(MOD(C460,96)=0,1,0)</f>
        <v>0</v>
      </c>
      <c r="G460" s="15">
        <f t="shared" si="333"/>
        <v>0</v>
      </c>
      <c r="H460" s="73">
        <f t="shared" si="334"/>
        <v>0</v>
      </c>
      <c r="I460" s="189"/>
      <c r="J460" s="189"/>
      <c r="K460" s="5">
        <f t="shared" si="323"/>
        <v>223322.97850402322</v>
      </c>
      <c r="M460" s="5">
        <f t="shared" si="335"/>
        <v>1087.0358902713517</v>
      </c>
      <c r="N460" s="5">
        <f t="shared" si="336"/>
        <v>-369.53061858720298</v>
      </c>
      <c r="O460" s="5">
        <f t="shared" si="337"/>
        <v>0</v>
      </c>
      <c r="P460" s="5">
        <f t="shared" si="338"/>
        <v>0</v>
      </c>
      <c r="Q460" s="5">
        <f t="shared" si="319"/>
        <v>0</v>
      </c>
      <c r="R460" s="5">
        <f t="shared" ref="R460:R523" si="364">O460+P460</f>
        <v>0</v>
      </c>
      <c r="S460" s="5">
        <f t="shared" si="339"/>
        <v>0</v>
      </c>
      <c r="T460" s="5">
        <f t="shared" si="340"/>
        <v>0</v>
      </c>
      <c r="U460" s="74">
        <f t="shared" si="341"/>
        <v>0</v>
      </c>
      <c r="V460" s="75">
        <f t="shared" si="342"/>
        <v>0</v>
      </c>
      <c r="W460" s="5">
        <f t="shared" si="343"/>
        <v>0</v>
      </c>
      <c r="X460" s="5">
        <f t="shared" si="344"/>
        <v>224040.4837757074</v>
      </c>
      <c r="Y460" s="5">
        <f t="shared" ref="Y460:Y523" si="365">I460+O460+Y459*(1-AA459)</f>
        <v>100000</v>
      </c>
      <c r="Z460" s="215">
        <f t="shared" si="345"/>
        <v>1</v>
      </c>
      <c r="AA460" s="216">
        <f t="shared" ref="AA460:AA523" si="366">IFERROR(-W460/X460,0)</f>
        <v>0</v>
      </c>
      <c r="AB460" s="72">
        <f t="shared" si="320"/>
        <v>75146.698411840829</v>
      </c>
      <c r="AC460" s="72">
        <f t="shared" si="346"/>
        <v>0</v>
      </c>
      <c r="AD460" s="72">
        <f t="shared" si="347"/>
        <v>0</v>
      </c>
      <c r="AE460" s="72">
        <f t="shared" ref="AE460:AE523" si="367">-(($K460+I460+M460/2+N460/2+W460/2+$Q460+O460+S460/2+T460/2))*(Ongoing_Commission_Monthly)</f>
        <v>-46.653842342178088</v>
      </c>
      <c r="AF460" s="70">
        <f t="shared" si="348"/>
        <v>0</v>
      </c>
      <c r="AG460" s="70">
        <f t="shared" si="349"/>
        <v>544.43081942750723</v>
      </c>
      <c r="AH460" s="1">
        <f t="shared" si="330"/>
        <v>0</v>
      </c>
      <c r="AI460" s="1">
        <f t="shared" si="330"/>
        <v>0</v>
      </c>
      <c r="AJ460" s="1">
        <f t="shared" si="330"/>
        <v>0</v>
      </c>
      <c r="AK460" s="1">
        <f t="shared" si="330"/>
        <v>0</v>
      </c>
      <c r="AL460" s="1">
        <f t="shared" si="330"/>
        <v>0</v>
      </c>
      <c r="AM460" s="1">
        <f t="shared" si="330"/>
        <v>0</v>
      </c>
      <c r="AN460" s="1">
        <f t="shared" si="330"/>
        <v>0</v>
      </c>
      <c r="AO460" s="1">
        <f t="shared" si="330"/>
        <v>0</v>
      </c>
      <c r="AP460" s="1">
        <f t="shared" si="330"/>
        <v>0</v>
      </c>
      <c r="AQ460" s="1">
        <f t="shared" si="330"/>
        <v>0</v>
      </c>
      <c r="AR460" s="1">
        <f t="shared" si="330"/>
        <v>1</v>
      </c>
      <c r="AS460" s="1">
        <f t="shared" si="330"/>
        <v>1</v>
      </c>
      <c r="AT460" s="39">
        <f t="shared" si="350"/>
        <v>224040.4837757074</v>
      </c>
      <c r="AU460" s="39">
        <f t="shared" ref="AU460:AU523" si="368">MAX(0,SUM(K460:N460)-$C$51)</f>
        <v>224040.4837757074</v>
      </c>
      <c r="AV460" s="39">
        <f t="shared" si="325"/>
        <v>0</v>
      </c>
      <c r="AW460" s="3">
        <f t="shared" si="351"/>
        <v>386</v>
      </c>
      <c r="AX460" s="69">
        <f t="shared" ref="AX460:AX523" si="369">IF(OR(B460&gt;Fund_Zero_Year,SUM(K460,Q460)=0,C460&gt;$C$53*12),0,I460+O460)</f>
        <v>0</v>
      </c>
      <c r="AY460" s="75">
        <f t="shared" si="352"/>
        <v>0</v>
      </c>
      <c r="AZ460" s="75">
        <f t="shared" si="353"/>
        <v>0</v>
      </c>
      <c r="BA460" s="75">
        <f t="shared" si="354"/>
        <v>0</v>
      </c>
      <c r="BB460" s="75">
        <f t="shared" si="355"/>
        <v>0</v>
      </c>
      <c r="BD460" s="214">
        <f t="shared" ref="BD460:BD523" si="370">SUM(BD459:BG459)+L460+R460</f>
        <v>340399.57141350734</v>
      </c>
      <c r="BE460" s="214">
        <f t="shared" si="356"/>
        <v>1656.912126276349</v>
      </c>
      <c r="BF460" s="214">
        <f t="shared" si="357"/>
        <v>-563.25625349379811</v>
      </c>
      <c r="BG460" s="224">
        <f t="shared" si="321"/>
        <v>0</v>
      </c>
      <c r="BH460" s="19">
        <f t="shared" ref="BH460:BH523" si="371">SUM(BH459:BK459)+L460+R460</f>
        <v>642026.50010582875</v>
      </c>
      <c r="BI460" s="214">
        <f t="shared" si="358"/>
        <v>3125.0964535553453</v>
      </c>
      <c r="BJ460" s="214">
        <f t="shared" si="359"/>
        <v>0</v>
      </c>
      <c r="BK460" s="19">
        <f t="shared" si="322"/>
        <v>0</v>
      </c>
    </row>
    <row r="461" spans="1:63">
      <c r="A461" s="165">
        <f t="shared" si="360"/>
        <v>94.222792607802873</v>
      </c>
      <c r="B461" s="69">
        <f t="shared" si="361"/>
        <v>33</v>
      </c>
      <c r="C461" s="70">
        <f t="shared" si="362"/>
        <v>387</v>
      </c>
      <c r="D461" s="13">
        <f t="shared" si="331"/>
        <v>4.8675505653430484E-3</v>
      </c>
      <c r="E461" s="15">
        <f t="shared" si="332"/>
        <v>1</v>
      </c>
      <c r="F461" s="15">
        <f t="shared" si="363"/>
        <v>0</v>
      </c>
      <c r="G461" s="15">
        <f t="shared" si="333"/>
        <v>0</v>
      </c>
      <c r="H461" s="73">
        <f t="shared" si="334"/>
        <v>0</v>
      </c>
      <c r="I461" s="189"/>
      <c r="J461" s="189"/>
      <c r="K461" s="5">
        <f t="shared" si="323"/>
        <v>224040.4837757074</v>
      </c>
      <c r="M461" s="5">
        <f t="shared" si="335"/>
        <v>1090.5283834621746</v>
      </c>
      <c r="N461" s="5">
        <f t="shared" si="336"/>
        <v>-370.71786841102818</v>
      </c>
      <c r="O461" s="5">
        <f t="shared" si="337"/>
        <v>0</v>
      </c>
      <c r="P461" s="5">
        <f t="shared" si="338"/>
        <v>0</v>
      </c>
      <c r="Q461" s="5">
        <f t="shared" ref="Q461:Q524" si="372">SUM(Q460:T460)+SUM(AC460)*(1-Z460)</f>
        <v>0</v>
      </c>
      <c r="R461" s="5">
        <f t="shared" si="364"/>
        <v>0</v>
      </c>
      <c r="S461" s="5">
        <f t="shared" si="339"/>
        <v>0</v>
      </c>
      <c r="T461" s="5">
        <f t="shared" si="340"/>
        <v>0</v>
      </c>
      <c r="U461" s="74">
        <f t="shared" si="341"/>
        <v>0</v>
      </c>
      <c r="V461" s="75">
        <f t="shared" si="342"/>
        <v>0</v>
      </c>
      <c r="W461" s="5">
        <f t="shared" si="343"/>
        <v>0</v>
      </c>
      <c r="X461" s="5">
        <f t="shared" si="344"/>
        <v>224760.29429075852</v>
      </c>
      <c r="Y461" s="5">
        <f t="shared" si="365"/>
        <v>100000</v>
      </c>
      <c r="Z461" s="215">
        <f t="shared" si="345"/>
        <v>1</v>
      </c>
      <c r="AA461" s="216">
        <f t="shared" si="366"/>
        <v>0</v>
      </c>
      <c r="AB461" s="72">
        <f t="shared" ref="AB461:AB524" si="373">-IF(F460=1,AC460*(1-AA460),0)+AB460*(1-AA460)</f>
        <v>75146.698411840829</v>
      </c>
      <c r="AC461" s="72">
        <f t="shared" si="346"/>
        <v>0</v>
      </c>
      <c r="AD461" s="72">
        <f t="shared" si="347"/>
        <v>0</v>
      </c>
      <c r="AE461" s="72">
        <f t="shared" si="367"/>
        <v>-46.80373456575969</v>
      </c>
      <c r="AF461" s="70">
        <f t="shared" si="348"/>
        <v>0</v>
      </c>
      <c r="AG461" s="70">
        <f t="shared" si="349"/>
        <v>817.9588151469361</v>
      </c>
      <c r="AH461" s="1">
        <f t="shared" si="330"/>
        <v>0</v>
      </c>
      <c r="AI461" s="1">
        <f t="shared" si="330"/>
        <v>0</v>
      </c>
      <c r="AJ461" s="1">
        <f t="shared" si="330"/>
        <v>0</v>
      </c>
      <c r="AK461" s="1">
        <f t="shared" si="330"/>
        <v>0</v>
      </c>
      <c r="AL461" s="1">
        <f t="shared" si="330"/>
        <v>0</v>
      </c>
      <c r="AM461" s="1">
        <f t="shared" si="330"/>
        <v>0</v>
      </c>
      <c r="AN461" s="1">
        <f t="shared" si="330"/>
        <v>0</v>
      </c>
      <c r="AO461" s="1">
        <f t="shared" si="330"/>
        <v>0</v>
      </c>
      <c r="AP461" s="1">
        <f t="shared" si="330"/>
        <v>0</v>
      </c>
      <c r="AQ461" s="1">
        <f t="shared" si="330"/>
        <v>0</v>
      </c>
      <c r="AR461" s="1">
        <f t="shared" si="330"/>
        <v>1</v>
      </c>
      <c r="AS461" s="1">
        <f t="shared" si="330"/>
        <v>1</v>
      </c>
      <c r="AT461" s="39">
        <f t="shared" si="350"/>
        <v>224760.29429075852</v>
      </c>
      <c r="AU461" s="39">
        <f t="shared" si="368"/>
        <v>224760.29429075852</v>
      </c>
      <c r="AV461" s="39">
        <f t="shared" si="325"/>
        <v>0</v>
      </c>
      <c r="AW461" s="3">
        <f t="shared" si="351"/>
        <v>387</v>
      </c>
      <c r="AX461" s="69">
        <f t="shared" si="369"/>
        <v>0</v>
      </c>
      <c r="AY461" s="75">
        <f t="shared" si="352"/>
        <v>0</v>
      </c>
      <c r="AZ461" s="75">
        <f t="shared" si="353"/>
        <v>0</v>
      </c>
      <c r="BA461" s="75">
        <f t="shared" si="354"/>
        <v>0</v>
      </c>
      <c r="BB461" s="75">
        <f t="shared" si="355"/>
        <v>0</v>
      </c>
      <c r="BD461" s="214">
        <f t="shared" si="370"/>
        <v>341493.22728628991</v>
      </c>
      <c r="BE461" s="214">
        <f t="shared" si="356"/>
        <v>1662.2355515382026</v>
      </c>
      <c r="BF461" s="214">
        <f t="shared" si="357"/>
        <v>-565.06591649353993</v>
      </c>
      <c r="BG461" s="224">
        <f t="shared" ref="BG461:BG524" si="374">W461</f>
        <v>0</v>
      </c>
      <c r="BH461" s="19">
        <f t="shared" si="371"/>
        <v>645151.59655938414</v>
      </c>
      <c r="BI461" s="214">
        <f t="shared" si="358"/>
        <v>3140.3080185646004</v>
      </c>
      <c r="BJ461" s="214">
        <f t="shared" si="359"/>
        <v>0</v>
      </c>
      <c r="BK461" s="19">
        <f t="shared" ref="BK461:BK524" si="375">W461</f>
        <v>0</v>
      </c>
    </row>
    <row r="462" spans="1:63">
      <c r="A462" s="165">
        <f t="shared" si="360"/>
        <v>94.306125941136202</v>
      </c>
      <c r="B462" s="69">
        <f t="shared" si="361"/>
        <v>33</v>
      </c>
      <c r="C462" s="70">
        <f t="shared" si="362"/>
        <v>388</v>
      </c>
      <c r="D462" s="13">
        <f t="shared" si="331"/>
        <v>4.8675505653430484E-3</v>
      </c>
      <c r="E462" s="15">
        <f t="shared" si="332"/>
        <v>1</v>
      </c>
      <c r="F462" s="15">
        <f t="shared" si="363"/>
        <v>0</v>
      </c>
      <c r="G462" s="15">
        <f t="shared" si="333"/>
        <v>0</v>
      </c>
      <c r="H462" s="73">
        <f t="shared" si="334"/>
        <v>0</v>
      </c>
      <c r="I462" s="189"/>
      <c r="J462" s="189"/>
      <c r="K462" s="5">
        <f t="shared" ref="K462:K525" si="376">SUM(K461:N461)+AD461+AC461*Z461</f>
        <v>224760.29429075852</v>
      </c>
      <c r="M462" s="5">
        <f t="shared" si="335"/>
        <v>1094.0320975416516</v>
      </c>
      <c r="N462" s="5">
        <f t="shared" si="336"/>
        <v>-371.90893270129618</v>
      </c>
      <c r="O462" s="5">
        <f t="shared" si="337"/>
        <v>0</v>
      </c>
      <c r="P462" s="5">
        <f t="shared" si="338"/>
        <v>0</v>
      </c>
      <c r="Q462" s="5">
        <f t="shared" si="372"/>
        <v>0</v>
      </c>
      <c r="R462" s="5">
        <f t="shared" si="364"/>
        <v>0</v>
      </c>
      <c r="S462" s="5">
        <f t="shared" si="339"/>
        <v>0</v>
      </c>
      <c r="T462" s="5">
        <f t="shared" si="340"/>
        <v>0</v>
      </c>
      <c r="U462" s="74">
        <f t="shared" si="341"/>
        <v>0</v>
      </c>
      <c r="V462" s="75">
        <f t="shared" si="342"/>
        <v>0</v>
      </c>
      <c r="W462" s="5">
        <f t="shared" si="343"/>
        <v>0</v>
      </c>
      <c r="X462" s="5">
        <f t="shared" si="344"/>
        <v>225482.41745559886</v>
      </c>
      <c r="Y462" s="5">
        <f t="shared" si="365"/>
        <v>100000</v>
      </c>
      <c r="Z462" s="215">
        <f t="shared" si="345"/>
        <v>1</v>
      </c>
      <c r="AA462" s="216">
        <f t="shared" si="366"/>
        <v>0</v>
      </c>
      <c r="AB462" s="72">
        <f t="shared" si="373"/>
        <v>75146.698411840829</v>
      </c>
      <c r="AC462" s="72">
        <f t="shared" si="346"/>
        <v>0</v>
      </c>
      <c r="AD462" s="72">
        <f t="shared" si="347"/>
        <v>0</v>
      </c>
      <c r="AE462" s="72">
        <f t="shared" si="367"/>
        <v>-46.954108371941189</v>
      </c>
      <c r="AF462" s="70">
        <f t="shared" si="348"/>
        <v>0</v>
      </c>
      <c r="AG462" s="70">
        <f t="shared" si="349"/>
        <v>1092.3656177862431</v>
      </c>
      <c r="AH462" s="1">
        <f t="shared" si="330"/>
        <v>0</v>
      </c>
      <c r="AI462" s="1">
        <f t="shared" si="330"/>
        <v>0</v>
      </c>
      <c r="AJ462" s="1">
        <f t="shared" si="330"/>
        <v>0</v>
      </c>
      <c r="AK462" s="1">
        <f t="shared" si="330"/>
        <v>0</v>
      </c>
      <c r="AL462" s="1">
        <f t="shared" si="330"/>
        <v>0</v>
      </c>
      <c r="AM462" s="1">
        <f t="shared" si="330"/>
        <v>0</v>
      </c>
      <c r="AN462" s="1">
        <f t="shared" si="330"/>
        <v>0</v>
      </c>
      <c r="AO462" s="1">
        <f t="shared" si="330"/>
        <v>0</v>
      </c>
      <c r="AP462" s="1">
        <f t="shared" si="330"/>
        <v>0</v>
      </c>
      <c r="AQ462" s="1">
        <f t="shared" si="330"/>
        <v>0</v>
      </c>
      <c r="AR462" s="1">
        <f t="shared" si="330"/>
        <v>1</v>
      </c>
      <c r="AS462" s="1">
        <f t="shared" si="330"/>
        <v>1</v>
      </c>
      <c r="AT462" s="39">
        <f t="shared" si="350"/>
        <v>225482.41745559886</v>
      </c>
      <c r="AU462" s="39">
        <f t="shared" si="368"/>
        <v>225482.41745559886</v>
      </c>
      <c r="AV462" s="39">
        <f t="shared" si="325"/>
        <v>0</v>
      </c>
      <c r="AW462" s="3">
        <f t="shared" si="351"/>
        <v>388</v>
      </c>
      <c r="AX462" s="69">
        <f t="shared" si="369"/>
        <v>0</v>
      </c>
      <c r="AY462" s="75">
        <f t="shared" si="352"/>
        <v>0</v>
      </c>
      <c r="AZ462" s="75">
        <f t="shared" si="353"/>
        <v>0</v>
      </c>
      <c r="BA462" s="75">
        <f t="shared" si="354"/>
        <v>0</v>
      </c>
      <c r="BB462" s="75">
        <f t="shared" si="355"/>
        <v>0</v>
      </c>
      <c r="BD462" s="214">
        <f t="shared" si="370"/>
        <v>342590.39692133456</v>
      </c>
      <c r="BE462" s="214">
        <f t="shared" si="356"/>
        <v>1667.5760802155414</v>
      </c>
      <c r="BF462" s="214">
        <f t="shared" si="357"/>
        <v>-566.88139368558279</v>
      </c>
      <c r="BG462" s="224">
        <f t="shared" si="374"/>
        <v>0</v>
      </c>
      <c r="BH462" s="19">
        <f t="shared" si="371"/>
        <v>648291.90457794874</v>
      </c>
      <c r="BI462" s="214">
        <f t="shared" si="358"/>
        <v>3155.5936266357162</v>
      </c>
      <c r="BJ462" s="214">
        <f t="shared" si="359"/>
        <v>0</v>
      </c>
      <c r="BK462" s="19">
        <f t="shared" si="375"/>
        <v>0</v>
      </c>
    </row>
    <row r="463" spans="1:63">
      <c r="A463" s="165">
        <f t="shared" si="360"/>
        <v>94.389459274469544</v>
      </c>
      <c r="B463" s="69">
        <f t="shared" si="361"/>
        <v>33</v>
      </c>
      <c r="C463" s="70">
        <f t="shared" si="362"/>
        <v>389</v>
      </c>
      <c r="D463" s="13">
        <f t="shared" si="331"/>
        <v>4.8675505653430484E-3</v>
      </c>
      <c r="E463" s="15">
        <f t="shared" si="332"/>
        <v>1</v>
      </c>
      <c r="F463" s="15">
        <f t="shared" si="363"/>
        <v>0</v>
      </c>
      <c r="G463" s="15">
        <f t="shared" si="333"/>
        <v>0</v>
      </c>
      <c r="H463" s="73">
        <f t="shared" si="334"/>
        <v>0</v>
      </c>
      <c r="I463" s="189"/>
      <c r="J463" s="189"/>
      <c r="K463" s="5">
        <f t="shared" si="376"/>
        <v>225482.41745559886</v>
      </c>
      <c r="M463" s="5">
        <f t="shared" si="335"/>
        <v>1097.5470685609175</v>
      </c>
      <c r="N463" s="5">
        <f t="shared" si="336"/>
        <v>-373.10382371335015</v>
      </c>
      <c r="O463" s="5">
        <f t="shared" si="337"/>
        <v>0</v>
      </c>
      <c r="P463" s="5">
        <f t="shared" si="338"/>
        <v>0</v>
      </c>
      <c r="Q463" s="5">
        <f t="shared" si="372"/>
        <v>0</v>
      </c>
      <c r="R463" s="5">
        <f t="shared" si="364"/>
        <v>0</v>
      </c>
      <c r="S463" s="5">
        <f t="shared" si="339"/>
        <v>0</v>
      </c>
      <c r="T463" s="5">
        <f t="shared" si="340"/>
        <v>0</v>
      </c>
      <c r="U463" s="74">
        <f t="shared" si="341"/>
        <v>0</v>
      </c>
      <c r="V463" s="75">
        <f t="shared" si="342"/>
        <v>0</v>
      </c>
      <c r="W463" s="5">
        <f t="shared" si="343"/>
        <v>0</v>
      </c>
      <c r="X463" s="5">
        <f t="shared" si="344"/>
        <v>226206.86070044641</v>
      </c>
      <c r="Y463" s="5">
        <f t="shared" si="365"/>
        <v>100000</v>
      </c>
      <c r="Z463" s="215">
        <f t="shared" si="345"/>
        <v>1</v>
      </c>
      <c r="AA463" s="216">
        <f t="shared" si="366"/>
        <v>0</v>
      </c>
      <c r="AB463" s="72">
        <f t="shared" si="373"/>
        <v>75146.698411840829</v>
      </c>
      <c r="AC463" s="72">
        <f t="shared" si="346"/>
        <v>0</v>
      </c>
      <c r="AD463" s="72">
        <f t="shared" si="347"/>
        <v>0</v>
      </c>
      <c r="AE463" s="72">
        <f t="shared" si="367"/>
        <v>-47.104965307979619</v>
      </c>
      <c r="AF463" s="70">
        <f t="shared" si="348"/>
        <v>0</v>
      </c>
      <c r="AG463" s="70">
        <f t="shared" si="349"/>
        <v>1367.6540508283215</v>
      </c>
      <c r="AH463" s="1">
        <f t="shared" si="330"/>
        <v>0</v>
      </c>
      <c r="AI463" s="1">
        <f t="shared" si="330"/>
        <v>0</v>
      </c>
      <c r="AJ463" s="1">
        <f t="shared" si="330"/>
        <v>0</v>
      </c>
      <c r="AK463" s="1">
        <f t="shared" si="330"/>
        <v>0</v>
      </c>
      <c r="AL463" s="1">
        <f t="shared" si="330"/>
        <v>0</v>
      </c>
      <c r="AM463" s="1">
        <f t="shared" si="330"/>
        <v>0</v>
      </c>
      <c r="AN463" s="1">
        <f t="shared" si="330"/>
        <v>0</v>
      </c>
      <c r="AO463" s="1">
        <f t="shared" si="330"/>
        <v>0</v>
      </c>
      <c r="AP463" s="1">
        <f t="shared" si="330"/>
        <v>0</v>
      </c>
      <c r="AQ463" s="1">
        <f t="shared" si="330"/>
        <v>0</v>
      </c>
      <c r="AR463" s="1">
        <f t="shared" si="330"/>
        <v>1</v>
      </c>
      <c r="AS463" s="1">
        <f t="shared" si="330"/>
        <v>1</v>
      </c>
      <c r="AT463" s="39">
        <f t="shared" si="350"/>
        <v>226206.86070044641</v>
      </c>
      <c r="AU463" s="39">
        <f t="shared" si="368"/>
        <v>226206.86070044641</v>
      </c>
      <c r="AV463" s="39">
        <f t="shared" si="325"/>
        <v>0</v>
      </c>
      <c r="AW463" s="3">
        <f t="shared" si="351"/>
        <v>389</v>
      </c>
      <c r="AX463" s="69">
        <f t="shared" si="369"/>
        <v>0</v>
      </c>
      <c r="AY463" s="75">
        <f t="shared" si="352"/>
        <v>0</v>
      </c>
      <c r="AZ463" s="75">
        <f t="shared" si="353"/>
        <v>0</v>
      </c>
      <c r="BA463" s="75">
        <f t="shared" si="354"/>
        <v>0</v>
      </c>
      <c r="BB463" s="75">
        <f t="shared" si="355"/>
        <v>0</v>
      </c>
      <c r="BD463" s="214">
        <f t="shared" si="370"/>
        <v>343691.09160786448</v>
      </c>
      <c r="BE463" s="214">
        <f t="shared" si="356"/>
        <v>1672.9337672592303</v>
      </c>
      <c r="BF463" s="214">
        <f t="shared" si="357"/>
        <v>-568.70270375010773</v>
      </c>
      <c r="BG463" s="224">
        <f t="shared" si="374"/>
        <v>0</v>
      </c>
      <c r="BH463" s="19">
        <f t="shared" si="371"/>
        <v>651447.49820458447</v>
      </c>
      <c r="BI463" s="214">
        <f t="shared" si="358"/>
        <v>3170.9536381770395</v>
      </c>
      <c r="BJ463" s="214">
        <f t="shared" si="359"/>
        <v>0</v>
      </c>
      <c r="BK463" s="19">
        <f t="shared" si="375"/>
        <v>0</v>
      </c>
    </row>
    <row r="464" spans="1:63">
      <c r="A464" s="165">
        <f t="shared" si="360"/>
        <v>94.472792607802873</v>
      </c>
      <c r="B464" s="69">
        <f t="shared" si="361"/>
        <v>33</v>
      </c>
      <c r="C464" s="70">
        <f t="shared" si="362"/>
        <v>390</v>
      </c>
      <c r="D464" s="13">
        <f t="shared" si="331"/>
        <v>4.8675505653430484E-3</v>
      </c>
      <c r="E464" s="15">
        <f t="shared" si="332"/>
        <v>1</v>
      </c>
      <c r="F464" s="15">
        <f t="shared" si="363"/>
        <v>0</v>
      </c>
      <c r="G464" s="15">
        <f t="shared" si="333"/>
        <v>0</v>
      </c>
      <c r="H464" s="73">
        <f t="shared" si="334"/>
        <v>0</v>
      </c>
      <c r="I464" s="189"/>
      <c r="J464" s="189"/>
      <c r="K464" s="5">
        <f t="shared" si="376"/>
        <v>226206.86070044641</v>
      </c>
      <c r="M464" s="5">
        <f t="shared" si="335"/>
        <v>1101.0733326869342</v>
      </c>
      <c r="N464" s="5">
        <f t="shared" si="336"/>
        <v>-374.30255374190841</v>
      </c>
      <c r="O464" s="5">
        <f t="shared" si="337"/>
        <v>0</v>
      </c>
      <c r="P464" s="5">
        <f t="shared" si="338"/>
        <v>0</v>
      </c>
      <c r="Q464" s="5">
        <f t="shared" si="372"/>
        <v>0</v>
      </c>
      <c r="R464" s="5">
        <f t="shared" si="364"/>
        <v>0</v>
      </c>
      <c r="S464" s="5">
        <f t="shared" si="339"/>
        <v>0</v>
      </c>
      <c r="T464" s="5">
        <f t="shared" si="340"/>
        <v>0</v>
      </c>
      <c r="U464" s="74">
        <f t="shared" si="341"/>
        <v>0</v>
      </c>
      <c r="V464" s="75">
        <f t="shared" si="342"/>
        <v>0</v>
      </c>
      <c r="W464" s="5">
        <f t="shared" si="343"/>
        <v>0</v>
      </c>
      <c r="X464" s="5">
        <f t="shared" si="344"/>
        <v>226933.63147939145</v>
      </c>
      <c r="Y464" s="5">
        <f t="shared" si="365"/>
        <v>100000</v>
      </c>
      <c r="Z464" s="215">
        <f t="shared" si="345"/>
        <v>1</v>
      </c>
      <c r="AA464" s="216">
        <f t="shared" si="366"/>
        <v>0</v>
      </c>
      <c r="AB464" s="72">
        <f t="shared" si="373"/>
        <v>75146.698411840829</v>
      </c>
      <c r="AC464" s="72">
        <f t="shared" si="346"/>
        <v>0</v>
      </c>
      <c r="AD464" s="72">
        <f t="shared" si="347"/>
        <v>0</v>
      </c>
      <c r="AE464" s="72">
        <f t="shared" si="367"/>
        <v>-47.256306926103193</v>
      </c>
      <c r="AF464" s="70">
        <f t="shared" si="348"/>
        <v>0</v>
      </c>
      <c r="AG464" s="70">
        <f t="shared" si="349"/>
        <v>1643.826946827452</v>
      </c>
      <c r="AH464" s="1">
        <f t="shared" si="330"/>
        <v>0</v>
      </c>
      <c r="AI464" s="1">
        <f t="shared" si="330"/>
        <v>0</v>
      </c>
      <c r="AJ464" s="1">
        <f t="shared" si="330"/>
        <v>0</v>
      </c>
      <c r="AK464" s="1">
        <f t="shared" si="330"/>
        <v>0</v>
      </c>
      <c r="AL464" s="1">
        <f t="shared" si="330"/>
        <v>0</v>
      </c>
      <c r="AM464" s="1">
        <f t="shared" si="330"/>
        <v>0</v>
      </c>
      <c r="AN464" s="1">
        <f t="shared" si="330"/>
        <v>0</v>
      </c>
      <c r="AO464" s="1">
        <f t="shared" si="330"/>
        <v>0</v>
      </c>
      <c r="AP464" s="1">
        <f t="shared" si="330"/>
        <v>0</v>
      </c>
      <c r="AQ464" s="1">
        <f t="shared" si="330"/>
        <v>0</v>
      </c>
      <c r="AR464" s="1">
        <f t="shared" si="330"/>
        <v>1</v>
      </c>
      <c r="AS464" s="1">
        <f t="shared" si="330"/>
        <v>1</v>
      </c>
      <c r="AT464" s="39">
        <f t="shared" si="350"/>
        <v>226933.63147939145</v>
      </c>
      <c r="AU464" s="39">
        <f t="shared" si="368"/>
        <v>226933.63147939145</v>
      </c>
      <c r="AV464" s="39">
        <f t="shared" si="325"/>
        <v>0</v>
      </c>
      <c r="AW464" s="3">
        <f t="shared" si="351"/>
        <v>390</v>
      </c>
      <c r="AX464" s="69">
        <f t="shared" si="369"/>
        <v>0</v>
      </c>
      <c r="AY464" s="75">
        <f t="shared" si="352"/>
        <v>0</v>
      </c>
      <c r="AZ464" s="75">
        <f t="shared" si="353"/>
        <v>0</v>
      </c>
      <c r="BA464" s="75">
        <f t="shared" si="354"/>
        <v>0</v>
      </c>
      <c r="BB464" s="75">
        <f t="shared" si="355"/>
        <v>0</v>
      </c>
      <c r="BD464" s="214">
        <f t="shared" si="370"/>
        <v>344795.32267137361</v>
      </c>
      <c r="BE464" s="214">
        <f t="shared" si="356"/>
        <v>1678.3086677966835</v>
      </c>
      <c r="BF464" s="214">
        <f t="shared" si="357"/>
        <v>-570.5298654273123</v>
      </c>
      <c r="BG464" s="224">
        <f t="shared" si="374"/>
        <v>0</v>
      </c>
      <c r="BH464" s="19">
        <f t="shared" si="371"/>
        <v>654618.45184276148</v>
      </c>
      <c r="BI464" s="214">
        <f t="shared" si="358"/>
        <v>3186.3884153512249</v>
      </c>
      <c r="BJ464" s="214">
        <f t="shared" si="359"/>
        <v>0</v>
      </c>
      <c r="BK464" s="19">
        <f t="shared" si="375"/>
        <v>0</v>
      </c>
    </row>
    <row r="465" spans="1:63">
      <c r="A465" s="165">
        <f t="shared" si="360"/>
        <v>94.556125941136202</v>
      </c>
      <c r="B465" s="69">
        <f t="shared" si="361"/>
        <v>33</v>
      </c>
      <c r="C465" s="70">
        <f t="shared" si="362"/>
        <v>391</v>
      </c>
      <c r="D465" s="13">
        <f t="shared" si="331"/>
        <v>4.8675505653430484E-3</v>
      </c>
      <c r="E465" s="15">
        <f t="shared" si="332"/>
        <v>1</v>
      </c>
      <c r="F465" s="15">
        <f t="shared" si="363"/>
        <v>0</v>
      </c>
      <c r="G465" s="15">
        <f t="shared" si="333"/>
        <v>0</v>
      </c>
      <c r="H465" s="73">
        <f t="shared" si="334"/>
        <v>0</v>
      </c>
      <c r="I465" s="189"/>
      <c r="J465" s="189"/>
      <c r="K465" s="5">
        <f t="shared" si="376"/>
        <v>226933.63147939145</v>
      </c>
      <c r="M465" s="5">
        <f t="shared" si="335"/>
        <v>1104.6109262028629</v>
      </c>
      <c r="N465" s="5">
        <f t="shared" si="336"/>
        <v>-375.50513512119011</v>
      </c>
      <c r="O465" s="5">
        <f t="shared" si="337"/>
        <v>0</v>
      </c>
      <c r="P465" s="5">
        <f t="shared" si="338"/>
        <v>0</v>
      </c>
      <c r="Q465" s="5">
        <f t="shared" si="372"/>
        <v>0</v>
      </c>
      <c r="R465" s="5">
        <f t="shared" si="364"/>
        <v>0</v>
      </c>
      <c r="S465" s="5">
        <f t="shared" si="339"/>
        <v>0</v>
      </c>
      <c r="T465" s="5">
        <f t="shared" si="340"/>
        <v>0</v>
      </c>
      <c r="U465" s="74">
        <f t="shared" si="341"/>
        <v>0</v>
      </c>
      <c r="V465" s="75">
        <f t="shared" si="342"/>
        <v>0</v>
      </c>
      <c r="W465" s="5">
        <f t="shared" si="343"/>
        <v>0</v>
      </c>
      <c r="X465" s="5">
        <f t="shared" si="344"/>
        <v>227662.73727047312</v>
      </c>
      <c r="Y465" s="5">
        <f t="shared" si="365"/>
        <v>100000</v>
      </c>
      <c r="Z465" s="215">
        <f t="shared" si="345"/>
        <v>1</v>
      </c>
      <c r="AA465" s="216">
        <f t="shared" si="366"/>
        <v>0</v>
      </c>
      <c r="AB465" s="72">
        <f t="shared" si="373"/>
        <v>75146.698411840829</v>
      </c>
      <c r="AC465" s="72">
        <f t="shared" si="346"/>
        <v>0</v>
      </c>
      <c r="AD465" s="72">
        <f t="shared" si="347"/>
        <v>0</v>
      </c>
      <c r="AE465" s="72">
        <f t="shared" si="367"/>
        <v>-47.40813478352716</v>
      </c>
      <c r="AF465" s="70">
        <f t="shared" si="348"/>
        <v>0</v>
      </c>
      <c r="AG465" s="70">
        <f t="shared" si="349"/>
        <v>1920.8871474384796</v>
      </c>
      <c r="AH465" s="1">
        <f t="shared" ref="AH465:AS474" si="377">IF($B465&lt;=AH$74,1,0)</f>
        <v>0</v>
      </c>
      <c r="AI465" s="1">
        <f t="shared" si="377"/>
        <v>0</v>
      </c>
      <c r="AJ465" s="1">
        <f t="shared" si="377"/>
        <v>0</v>
      </c>
      <c r="AK465" s="1">
        <f t="shared" si="377"/>
        <v>0</v>
      </c>
      <c r="AL465" s="1">
        <f t="shared" si="377"/>
        <v>0</v>
      </c>
      <c r="AM465" s="1">
        <f t="shared" si="377"/>
        <v>0</v>
      </c>
      <c r="AN465" s="1">
        <f t="shared" si="377"/>
        <v>0</v>
      </c>
      <c r="AO465" s="1">
        <f t="shared" si="377"/>
        <v>0</v>
      </c>
      <c r="AP465" s="1">
        <f t="shared" si="377"/>
        <v>0</v>
      </c>
      <c r="AQ465" s="1">
        <f t="shared" si="377"/>
        <v>0</v>
      </c>
      <c r="AR465" s="1">
        <f t="shared" si="377"/>
        <v>1</v>
      </c>
      <c r="AS465" s="1">
        <f t="shared" si="377"/>
        <v>1</v>
      </c>
      <c r="AT465" s="39">
        <f t="shared" si="350"/>
        <v>227662.73727047312</v>
      </c>
      <c r="AU465" s="39">
        <f t="shared" si="368"/>
        <v>227662.73727047312</v>
      </c>
      <c r="AV465" s="39">
        <f t="shared" si="325"/>
        <v>0</v>
      </c>
      <c r="AW465" s="3">
        <f t="shared" si="351"/>
        <v>391</v>
      </c>
      <c r="AX465" s="69">
        <f t="shared" si="369"/>
        <v>0</v>
      </c>
      <c r="AY465" s="75">
        <f t="shared" si="352"/>
        <v>0</v>
      </c>
      <c r="AZ465" s="75">
        <f t="shared" si="353"/>
        <v>0</v>
      </c>
      <c r="BA465" s="75">
        <f t="shared" si="354"/>
        <v>0</v>
      </c>
      <c r="BB465" s="75">
        <f t="shared" si="355"/>
        <v>0</v>
      </c>
      <c r="BD465" s="214">
        <f t="shared" si="370"/>
        <v>345903.10147374298</v>
      </c>
      <c r="BE465" s="214">
        <f t="shared" si="356"/>
        <v>1683.7008371324314</v>
      </c>
      <c r="BF465" s="214">
        <f t="shared" si="357"/>
        <v>-572.36289751760376</v>
      </c>
      <c r="BG465" s="224">
        <f t="shared" si="374"/>
        <v>0</v>
      </c>
      <c r="BH465" s="19">
        <f t="shared" si="371"/>
        <v>657804.84025811276</v>
      </c>
      <c r="BI465" s="214">
        <f t="shared" si="358"/>
        <v>3201.8983220837704</v>
      </c>
      <c r="BJ465" s="214">
        <f t="shared" si="359"/>
        <v>0</v>
      </c>
      <c r="BK465" s="19">
        <f t="shared" si="375"/>
        <v>0</v>
      </c>
    </row>
    <row r="466" spans="1:63">
      <c r="A466" s="165">
        <f t="shared" si="360"/>
        <v>94.639459274469544</v>
      </c>
      <c r="B466" s="69">
        <f t="shared" si="361"/>
        <v>33</v>
      </c>
      <c r="C466" s="70">
        <f t="shared" si="362"/>
        <v>392</v>
      </c>
      <c r="D466" s="13">
        <f t="shared" si="331"/>
        <v>4.8675505653430484E-3</v>
      </c>
      <c r="E466" s="15">
        <f t="shared" si="332"/>
        <v>1</v>
      </c>
      <c r="F466" s="15">
        <f t="shared" si="363"/>
        <v>0</v>
      </c>
      <c r="G466" s="15">
        <f t="shared" si="333"/>
        <v>0</v>
      </c>
      <c r="H466" s="73">
        <f t="shared" si="334"/>
        <v>0</v>
      </c>
      <c r="I466" s="189"/>
      <c r="J466" s="189"/>
      <c r="K466" s="5">
        <f t="shared" si="376"/>
        <v>227662.73727047312</v>
      </c>
      <c r="M466" s="5">
        <f t="shared" si="335"/>
        <v>1108.1598855084374</v>
      </c>
      <c r="N466" s="5">
        <f t="shared" si="336"/>
        <v>-376.71158022504255</v>
      </c>
      <c r="O466" s="5">
        <f t="shared" si="337"/>
        <v>0</v>
      </c>
      <c r="P466" s="5">
        <f t="shared" si="338"/>
        <v>0</v>
      </c>
      <c r="Q466" s="5">
        <f t="shared" si="372"/>
        <v>0</v>
      </c>
      <c r="R466" s="5">
        <f t="shared" si="364"/>
        <v>0</v>
      </c>
      <c r="S466" s="5">
        <f t="shared" si="339"/>
        <v>0</v>
      </c>
      <c r="T466" s="5">
        <f t="shared" si="340"/>
        <v>0</v>
      </c>
      <c r="U466" s="74">
        <f t="shared" si="341"/>
        <v>0</v>
      </c>
      <c r="V466" s="75">
        <f t="shared" si="342"/>
        <v>0</v>
      </c>
      <c r="W466" s="5">
        <f t="shared" si="343"/>
        <v>0</v>
      </c>
      <c r="X466" s="5">
        <f t="shared" si="344"/>
        <v>228394.18557575654</v>
      </c>
      <c r="Y466" s="5">
        <f t="shared" si="365"/>
        <v>100000</v>
      </c>
      <c r="Z466" s="215">
        <f t="shared" si="345"/>
        <v>1</v>
      </c>
      <c r="AA466" s="216">
        <f t="shared" si="366"/>
        <v>0</v>
      </c>
      <c r="AB466" s="72">
        <f t="shared" si="373"/>
        <v>75146.698411840829</v>
      </c>
      <c r="AC466" s="72">
        <f t="shared" si="346"/>
        <v>0</v>
      </c>
      <c r="AD466" s="72">
        <f t="shared" si="347"/>
        <v>0</v>
      </c>
      <c r="AE466" s="72">
        <f t="shared" si="367"/>
        <v>-47.560450442469886</v>
      </c>
      <c r="AF466" s="70">
        <f t="shared" si="348"/>
        <v>0</v>
      </c>
      <c r="AG466" s="70">
        <f t="shared" si="349"/>
        <v>2198.8375034461642</v>
      </c>
      <c r="AH466" s="1">
        <f t="shared" si="377"/>
        <v>0</v>
      </c>
      <c r="AI466" s="1">
        <f t="shared" si="377"/>
        <v>0</v>
      </c>
      <c r="AJ466" s="1">
        <f t="shared" si="377"/>
        <v>0</v>
      </c>
      <c r="AK466" s="1">
        <f t="shared" si="377"/>
        <v>0</v>
      </c>
      <c r="AL466" s="1">
        <f t="shared" si="377"/>
        <v>0</v>
      </c>
      <c r="AM466" s="1">
        <f t="shared" si="377"/>
        <v>0</v>
      </c>
      <c r="AN466" s="1">
        <f t="shared" si="377"/>
        <v>0</v>
      </c>
      <c r="AO466" s="1">
        <f t="shared" si="377"/>
        <v>0</v>
      </c>
      <c r="AP466" s="1">
        <f t="shared" si="377"/>
        <v>0</v>
      </c>
      <c r="AQ466" s="1">
        <f t="shared" si="377"/>
        <v>0</v>
      </c>
      <c r="AR466" s="1">
        <f t="shared" si="377"/>
        <v>1</v>
      </c>
      <c r="AS466" s="1">
        <f t="shared" si="377"/>
        <v>1</v>
      </c>
      <c r="AT466" s="39">
        <f t="shared" si="350"/>
        <v>228394.18557575654</v>
      </c>
      <c r="AU466" s="39">
        <f t="shared" si="368"/>
        <v>228394.18557575654</v>
      </c>
      <c r="AV466" s="39">
        <f t="shared" si="325"/>
        <v>0</v>
      </c>
      <c r="AW466" s="3">
        <f t="shared" si="351"/>
        <v>392</v>
      </c>
      <c r="AX466" s="69">
        <f t="shared" si="369"/>
        <v>0</v>
      </c>
      <c r="AY466" s="75">
        <f t="shared" si="352"/>
        <v>0</v>
      </c>
      <c r="AZ466" s="75">
        <f t="shared" si="353"/>
        <v>0</v>
      </c>
      <c r="BA466" s="75">
        <f t="shared" si="354"/>
        <v>0</v>
      </c>
      <c r="BB466" s="75">
        <f t="shared" si="355"/>
        <v>0</v>
      </c>
      <c r="BD466" s="214">
        <f t="shared" si="370"/>
        <v>347014.43941335776</v>
      </c>
      <c r="BE466" s="214">
        <f t="shared" si="356"/>
        <v>1689.1103307486906</v>
      </c>
      <c r="BF466" s="214">
        <f t="shared" si="357"/>
        <v>-574.20181888179241</v>
      </c>
      <c r="BG466" s="224">
        <f t="shared" si="374"/>
        <v>0</v>
      </c>
      <c r="BH466" s="19">
        <f t="shared" si="371"/>
        <v>661006.73858019651</v>
      </c>
      <c r="BI466" s="214">
        <f t="shared" si="358"/>
        <v>3217.4837240716001</v>
      </c>
      <c r="BJ466" s="214">
        <f t="shared" si="359"/>
        <v>0</v>
      </c>
      <c r="BK466" s="19">
        <f t="shared" si="375"/>
        <v>0</v>
      </c>
    </row>
    <row r="467" spans="1:63">
      <c r="A467" s="165">
        <f t="shared" si="360"/>
        <v>94.722792607802873</v>
      </c>
      <c r="B467" s="69">
        <f t="shared" si="361"/>
        <v>33</v>
      </c>
      <c r="C467" s="70">
        <f t="shared" si="362"/>
        <v>393</v>
      </c>
      <c r="D467" s="13">
        <f t="shared" si="331"/>
        <v>4.8675505653430484E-3</v>
      </c>
      <c r="E467" s="15">
        <f t="shared" si="332"/>
        <v>1</v>
      </c>
      <c r="F467" s="15">
        <f t="shared" si="363"/>
        <v>0</v>
      </c>
      <c r="G467" s="15">
        <f t="shared" si="333"/>
        <v>0</v>
      </c>
      <c r="H467" s="73">
        <f t="shared" si="334"/>
        <v>0</v>
      </c>
      <c r="I467" s="189"/>
      <c r="J467" s="189"/>
      <c r="K467" s="5">
        <f t="shared" si="376"/>
        <v>228394.18557575654</v>
      </c>
      <c r="M467" s="5">
        <f t="shared" si="335"/>
        <v>1111.7202471203389</v>
      </c>
      <c r="N467" s="5">
        <f t="shared" si="336"/>
        <v>-377.92190146706861</v>
      </c>
      <c r="O467" s="5">
        <f t="shared" si="337"/>
        <v>0</v>
      </c>
      <c r="P467" s="5">
        <f t="shared" si="338"/>
        <v>0</v>
      </c>
      <c r="Q467" s="5">
        <f t="shared" si="372"/>
        <v>0</v>
      </c>
      <c r="R467" s="5">
        <f t="shared" si="364"/>
        <v>0</v>
      </c>
      <c r="S467" s="5">
        <f t="shared" si="339"/>
        <v>0</v>
      </c>
      <c r="T467" s="5">
        <f t="shared" si="340"/>
        <v>0</v>
      </c>
      <c r="U467" s="74">
        <f t="shared" si="341"/>
        <v>0</v>
      </c>
      <c r="V467" s="75">
        <f t="shared" si="342"/>
        <v>0</v>
      </c>
      <c r="W467" s="5">
        <f t="shared" si="343"/>
        <v>0</v>
      </c>
      <c r="X467" s="5">
        <f t="shared" si="344"/>
        <v>229127.98392140979</v>
      </c>
      <c r="Y467" s="5">
        <f t="shared" si="365"/>
        <v>100000</v>
      </c>
      <c r="Z467" s="215">
        <f t="shared" si="345"/>
        <v>1</v>
      </c>
      <c r="AA467" s="216">
        <f t="shared" si="366"/>
        <v>0</v>
      </c>
      <c r="AB467" s="72">
        <f t="shared" si="373"/>
        <v>75146.698411840829</v>
      </c>
      <c r="AC467" s="72">
        <f t="shared" si="346"/>
        <v>0</v>
      </c>
      <c r="AD467" s="72">
        <f t="shared" si="347"/>
        <v>0</v>
      </c>
      <c r="AE467" s="72">
        <f t="shared" si="367"/>
        <v>-47.71325547016896</v>
      </c>
      <c r="AF467" s="70">
        <f t="shared" si="348"/>
        <v>0</v>
      </c>
      <c r="AG467" s="70">
        <f t="shared" si="349"/>
        <v>2477.680874794416</v>
      </c>
      <c r="AH467" s="1">
        <f t="shared" si="377"/>
        <v>0</v>
      </c>
      <c r="AI467" s="1">
        <f t="shared" si="377"/>
        <v>0</v>
      </c>
      <c r="AJ467" s="1">
        <f t="shared" si="377"/>
        <v>0</v>
      </c>
      <c r="AK467" s="1">
        <f t="shared" si="377"/>
        <v>0</v>
      </c>
      <c r="AL467" s="1">
        <f t="shared" si="377"/>
        <v>0</v>
      </c>
      <c r="AM467" s="1">
        <f t="shared" si="377"/>
        <v>0</v>
      </c>
      <c r="AN467" s="1">
        <f t="shared" si="377"/>
        <v>0</v>
      </c>
      <c r="AO467" s="1">
        <f t="shared" si="377"/>
        <v>0</v>
      </c>
      <c r="AP467" s="1">
        <f t="shared" si="377"/>
        <v>0</v>
      </c>
      <c r="AQ467" s="1">
        <f t="shared" si="377"/>
        <v>0</v>
      </c>
      <c r="AR467" s="1">
        <f t="shared" si="377"/>
        <v>1</v>
      </c>
      <c r="AS467" s="1">
        <f t="shared" si="377"/>
        <v>1</v>
      </c>
      <c r="AT467" s="39">
        <f t="shared" si="350"/>
        <v>229127.98392140979</v>
      </c>
      <c r="AU467" s="39">
        <f t="shared" si="368"/>
        <v>229127.98392140979</v>
      </c>
      <c r="AV467" s="39">
        <f t="shared" si="325"/>
        <v>0</v>
      </c>
      <c r="AW467" s="3">
        <f t="shared" si="351"/>
        <v>393</v>
      </c>
      <c r="AX467" s="69">
        <f t="shared" si="369"/>
        <v>0</v>
      </c>
      <c r="AY467" s="75">
        <f t="shared" si="352"/>
        <v>0</v>
      </c>
      <c r="AZ467" s="75">
        <f t="shared" si="353"/>
        <v>0</v>
      </c>
      <c r="BA467" s="75">
        <f t="shared" si="354"/>
        <v>0</v>
      </c>
      <c r="BB467" s="75">
        <f t="shared" si="355"/>
        <v>0</v>
      </c>
      <c r="BD467" s="214">
        <f t="shared" si="370"/>
        <v>348129.34792522463</v>
      </c>
      <c r="BE467" s="214">
        <f t="shared" si="356"/>
        <v>1694.537204305934</v>
      </c>
      <c r="BF467" s="214">
        <f t="shared" si="357"/>
        <v>-576.0466484412857</v>
      </c>
      <c r="BG467" s="224">
        <f t="shared" si="374"/>
        <v>0</v>
      </c>
      <c r="BH467" s="19">
        <f t="shared" si="371"/>
        <v>664224.22230426816</v>
      </c>
      <c r="BI467" s="214">
        <f t="shared" si="358"/>
        <v>3233.144988791687</v>
      </c>
      <c r="BJ467" s="214">
        <f t="shared" si="359"/>
        <v>0</v>
      </c>
      <c r="BK467" s="19">
        <f t="shared" si="375"/>
        <v>0</v>
      </c>
    </row>
    <row r="468" spans="1:63">
      <c r="A468" s="165">
        <f t="shared" si="360"/>
        <v>94.806125941136202</v>
      </c>
      <c r="B468" s="69">
        <f t="shared" si="361"/>
        <v>33</v>
      </c>
      <c r="C468" s="70">
        <f t="shared" si="362"/>
        <v>394</v>
      </c>
      <c r="D468" s="13">
        <f t="shared" si="331"/>
        <v>4.8675505653430484E-3</v>
      </c>
      <c r="E468" s="15">
        <f t="shared" si="332"/>
        <v>1</v>
      </c>
      <c r="F468" s="15">
        <f t="shared" si="363"/>
        <v>0</v>
      </c>
      <c r="G468" s="15">
        <f t="shared" si="333"/>
        <v>0</v>
      </c>
      <c r="H468" s="73">
        <f t="shared" si="334"/>
        <v>0</v>
      </c>
      <c r="I468" s="189"/>
      <c r="J468" s="189"/>
      <c r="K468" s="5">
        <f t="shared" si="376"/>
        <v>229127.98392140979</v>
      </c>
      <c r="M468" s="5">
        <f t="shared" si="335"/>
        <v>1115.292047672571</v>
      </c>
      <c r="N468" s="5">
        <f t="shared" si="336"/>
        <v>-379.13611130075401</v>
      </c>
      <c r="O468" s="5">
        <f t="shared" si="337"/>
        <v>0</v>
      </c>
      <c r="P468" s="5">
        <f t="shared" si="338"/>
        <v>0</v>
      </c>
      <c r="Q468" s="5">
        <f t="shared" si="372"/>
        <v>0</v>
      </c>
      <c r="R468" s="5">
        <f t="shared" si="364"/>
        <v>0</v>
      </c>
      <c r="S468" s="5">
        <f t="shared" si="339"/>
        <v>0</v>
      </c>
      <c r="T468" s="5">
        <f t="shared" si="340"/>
        <v>0</v>
      </c>
      <c r="U468" s="74">
        <f t="shared" si="341"/>
        <v>0</v>
      </c>
      <c r="V468" s="75">
        <f t="shared" si="342"/>
        <v>0</v>
      </c>
      <c r="W468" s="5">
        <f t="shared" si="343"/>
        <v>0</v>
      </c>
      <c r="X468" s="5">
        <f t="shared" si="344"/>
        <v>229864.13985778161</v>
      </c>
      <c r="Y468" s="5">
        <f t="shared" si="365"/>
        <v>100000</v>
      </c>
      <c r="Z468" s="215">
        <f t="shared" si="345"/>
        <v>1</v>
      </c>
      <c r="AA468" s="216">
        <f t="shared" si="366"/>
        <v>0</v>
      </c>
      <c r="AB468" s="72">
        <f t="shared" si="373"/>
        <v>75146.698411840829</v>
      </c>
      <c r="AC468" s="72">
        <f t="shared" si="346"/>
        <v>0</v>
      </c>
      <c r="AD468" s="72">
        <f t="shared" si="347"/>
        <v>0</v>
      </c>
      <c r="AE468" s="72">
        <f t="shared" si="367"/>
        <v>-47.866551438897233</v>
      </c>
      <c r="AF468" s="70">
        <f t="shared" si="348"/>
        <v>0</v>
      </c>
      <c r="AG468" s="70">
        <f t="shared" si="349"/>
        <v>2757.4201306156901</v>
      </c>
      <c r="AH468" s="1">
        <f t="shared" si="377"/>
        <v>0</v>
      </c>
      <c r="AI468" s="1">
        <f t="shared" si="377"/>
        <v>0</v>
      </c>
      <c r="AJ468" s="1">
        <f t="shared" si="377"/>
        <v>0</v>
      </c>
      <c r="AK468" s="1">
        <f t="shared" si="377"/>
        <v>0</v>
      </c>
      <c r="AL468" s="1">
        <f t="shared" si="377"/>
        <v>0</v>
      </c>
      <c r="AM468" s="1">
        <f t="shared" si="377"/>
        <v>0</v>
      </c>
      <c r="AN468" s="1">
        <f t="shared" si="377"/>
        <v>0</v>
      </c>
      <c r="AO468" s="1">
        <f t="shared" si="377"/>
        <v>0</v>
      </c>
      <c r="AP468" s="1">
        <f t="shared" si="377"/>
        <v>0</v>
      </c>
      <c r="AQ468" s="1">
        <f t="shared" si="377"/>
        <v>0</v>
      </c>
      <c r="AR468" s="1">
        <f t="shared" si="377"/>
        <v>1</v>
      </c>
      <c r="AS468" s="1">
        <f t="shared" si="377"/>
        <v>1</v>
      </c>
      <c r="AT468" s="39">
        <f t="shared" si="350"/>
        <v>229864.13985778161</v>
      </c>
      <c r="AU468" s="39">
        <f t="shared" si="368"/>
        <v>229864.13985778161</v>
      </c>
      <c r="AV468" s="39">
        <f t="shared" si="325"/>
        <v>0</v>
      </c>
      <c r="AW468" s="3">
        <f t="shared" si="351"/>
        <v>394</v>
      </c>
      <c r="AX468" s="69">
        <f t="shared" si="369"/>
        <v>0</v>
      </c>
      <c r="AY468" s="75">
        <f t="shared" si="352"/>
        <v>0</v>
      </c>
      <c r="AZ468" s="75">
        <f t="shared" si="353"/>
        <v>0</v>
      </c>
      <c r="BA468" s="75">
        <f t="shared" si="354"/>
        <v>0</v>
      </c>
      <c r="BB468" s="75">
        <f t="shared" si="355"/>
        <v>0</v>
      </c>
      <c r="BD468" s="214">
        <f t="shared" si="370"/>
        <v>349247.83848108927</v>
      </c>
      <c r="BE468" s="214">
        <f t="shared" si="356"/>
        <v>1699.9815136434638</v>
      </c>
      <c r="BF468" s="214">
        <f t="shared" si="357"/>
        <v>-577.89740517828295</v>
      </c>
      <c r="BG468" s="224">
        <f t="shared" si="374"/>
        <v>0</v>
      </c>
      <c r="BH468" s="19">
        <f t="shared" si="371"/>
        <v>667457.36729305983</v>
      </c>
      <c r="BI468" s="214">
        <f t="shared" si="358"/>
        <v>3248.8824855097159</v>
      </c>
      <c r="BJ468" s="214">
        <f t="shared" si="359"/>
        <v>0</v>
      </c>
      <c r="BK468" s="19">
        <f t="shared" si="375"/>
        <v>0</v>
      </c>
    </row>
    <row r="469" spans="1:63">
      <c r="A469" s="165">
        <f t="shared" si="360"/>
        <v>94.889459274469544</v>
      </c>
      <c r="B469" s="69">
        <f t="shared" si="361"/>
        <v>33</v>
      </c>
      <c r="C469" s="70">
        <f t="shared" si="362"/>
        <v>395</v>
      </c>
      <c r="D469" s="13">
        <f t="shared" si="331"/>
        <v>4.8675505653430484E-3</v>
      </c>
      <c r="E469" s="15">
        <f t="shared" si="332"/>
        <v>1</v>
      </c>
      <c r="F469" s="15">
        <f t="shared" si="363"/>
        <v>0</v>
      </c>
      <c r="G469" s="15">
        <f t="shared" si="333"/>
        <v>0</v>
      </c>
      <c r="H469" s="73">
        <f t="shared" si="334"/>
        <v>0</v>
      </c>
      <c r="I469" s="189"/>
      <c r="J469" s="189"/>
      <c r="K469" s="5">
        <f t="shared" si="376"/>
        <v>229864.13985778161</v>
      </c>
      <c r="M469" s="5">
        <f t="shared" si="335"/>
        <v>1118.8753239168384</v>
      </c>
      <c r="N469" s="5">
        <f t="shared" si="336"/>
        <v>-380.35422221959629</v>
      </c>
      <c r="O469" s="5">
        <f t="shared" si="337"/>
        <v>0</v>
      </c>
      <c r="P469" s="5">
        <f t="shared" si="338"/>
        <v>0</v>
      </c>
      <c r="Q469" s="5">
        <f t="shared" si="372"/>
        <v>0</v>
      </c>
      <c r="R469" s="5">
        <f t="shared" si="364"/>
        <v>0</v>
      </c>
      <c r="S469" s="5">
        <f t="shared" si="339"/>
        <v>0</v>
      </c>
      <c r="T469" s="5">
        <f t="shared" si="340"/>
        <v>0</v>
      </c>
      <c r="U469" s="74">
        <f t="shared" si="341"/>
        <v>0</v>
      </c>
      <c r="V469" s="75">
        <f t="shared" si="342"/>
        <v>0</v>
      </c>
      <c r="W469" s="5">
        <f t="shared" si="343"/>
        <v>0</v>
      </c>
      <c r="X469" s="5">
        <f t="shared" si="344"/>
        <v>230602.66095947888</v>
      </c>
      <c r="Y469" s="5">
        <f t="shared" si="365"/>
        <v>100000</v>
      </c>
      <c r="Z469" s="215">
        <f t="shared" si="345"/>
        <v>1</v>
      </c>
      <c r="AA469" s="216">
        <f t="shared" si="366"/>
        <v>0</v>
      </c>
      <c r="AB469" s="72">
        <f t="shared" si="373"/>
        <v>75146.698411840829</v>
      </c>
      <c r="AC469" s="72">
        <f t="shared" si="346"/>
        <v>0</v>
      </c>
      <c r="AD469" s="72">
        <f t="shared" si="347"/>
        <v>0</v>
      </c>
      <c r="AE469" s="72">
        <f t="shared" si="367"/>
        <v>-48.020339925979094</v>
      </c>
      <c r="AF469" s="70">
        <f t="shared" si="348"/>
        <v>0</v>
      </c>
      <c r="AG469" s="70">
        <f t="shared" si="349"/>
        <v>3038.058149260658</v>
      </c>
      <c r="AH469" s="1">
        <f t="shared" si="377"/>
        <v>0</v>
      </c>
      <c r="AI469" s="1">
        <f t="shared" si="377"/>
        <v>0</v>
      </c>
      <c r="AJ469" s="1">
        <f t="shared" si="377"/>
        <v>0</v>
      </c>
      <c r="AK469" s="1">
        <f t="shared" si="377"/>
        <v>0</v>
      </c>
      <c r="AL469" s="1">
        <f t="shared" si="377"/>
        <v>0</v>
      </c>
      <c r="AM469" s="1">
        <f t="shared" si="377"/>
        <v>0</v>
      </c>
      <c r="AN469" s="1">
        <f t="shared" si="377"/>
        <v>0</v>
      </c>
      <c r="AO469" s="1">
        <f t="shared" si="377"/>
        <v>0</v>
      </c>
      <c r="AP469" s="1">
        <f t="shared" si="377"/>
        <v>0</v>
      </c>
      <c r="AQ469" s="1">
        <f t="shared" si="377"/>
        <v>0</v>
      </c>
      <c r="AR469" s="1">
        <f t="shared" si="377"/>
        <v>1</v>
      </c>
      <c r="AS469" s="1">
        <f t="shared" si="377"/>
        <v>1</v>
      </c>
      <c r="AT469" s="39">
        <f t="shared" si="350"/>
        <v>230602.66095947888</v>
      </c>
      <c r="AU469" s="39">
        <f t="shared" si="368"/>
        <v>230602.66095947888</v>
      </c>
      <c r="AV469" s="39">
        <f t="shared" si="325"/>
        <v>0</v>
      </c>
      <c r="AW469" s="3">
        <f t="shared" si="351"/>
        <v>395</v>
      </c>
      <c r="AX469" s="69">
        <f t="shared" si="369"/>
        <v>0</v>
      </c>
      <c r="AY469" s="75">
        <f t="shared" si="352"/>
        <v>0</v>
      </c>
      <c r="AZ469" s="75">
        <f t="shared" si="353"/>
        <v>0</v>
      </c>
      <c r="BA469" s="75">
        <f t="shared" si="354"/>
        <v>0</v>
      </c>
      <c r="BB469" s="75">
        <f t="shared" si="355"/>
        <v>0</v>
      </c>
      <c r="BD469" s="214">
        <f t="shared" si="370"/>
        <v>350369.92258955445</v>
      </c>
      <c r="BE469" s="214">
        <f t="shared" si="356"/>
        <v>1705.4433147799859</v>
      </c>
      <c r="BF469" s="214">
        <f t="shared" si="357"/>
        <v>-579.75410813597045</v>
      </c>
      <c r="BG469" s="224">
        <f t="shared" si="374"/>
        <v>0</v>
      </c>
      <c r="BH469" s="19">
        <f t="shared" si="371"/>
        <v>670706.24977856956</v>
      </c>
      <c r="BI469" s="214">
        <f t="shared" si="358"/>
        <v>3264.696585288792</v>
      </c>
      <c r="BJ469" s="214">
        <f t="shared" si="359"/>
        <v>0</v>
      </c>
      <c r="BK469" s="19">
        <f t="shared" si="375"/>
        <v>0</v>
      </c>
    </row>
    <row r="470" spans="1:63">
      <c r="A470" s="165">
        <f t="shared" si="360"/>
        <v>94.972792607802873</v>
      </c>
      <c r="B470" s="69">
        <f t="shared" si="361"/>
        <v>33</v>
      </c>
      <c r="C470" s="70">
        <f t="shared" si="362"/>
        <v>396</v>
      </c>
      <c r="D470" s="13">
        <f t="shared" si="331"/>
        <v>4.8675505653430484E-3</v>
      </c>
      <c r="E470" s="15">
        <f t="shared" si="332"/>
        <v>1</v>
      </c>
      <c r="F470" s="15">
        <f t="shared" si="363"/>
        <v>0</v>
      </c>
      <c r="G470" s="15">
        <f t="shared" si="333"/>
        <v>0</v>
      </c>
      <c r="H470" s="73">
        <f t="shared" si="334"/>
        <v>0</v>
      </c>
      <c r="I470" s="189"/>
      <c r="J470" s="189"/>
      <c r="K470" s="5">
        <f t="shared" si="376"/>
        <v>230602.66095947888</v>
      </c>
      <c r="M470" s="5">
        <f t="shared" si="335"/>
        <v>1122.4701127229227</v>
      </c>
      <c r="N470" s="5">
        <f t="shared" si="336"/>
        <v>-381.57624675723241</v>
      </c>
      <c r="O470" s="5">
        <f t="shared" si="337"/>
        <v>0</v>
      </c>
      <c r="P470" s="5">
        <f t="shared" si="338"/>
        <v>0</v>
      </c>
      <c r="Q470" s="5">
        <f t="shared" si="372"/>
        <v>0</v>
      </c>
      <c r="R470" s="5">
        <f t="shared" si="364"/>
        <v>0</v>
      </c>
      <c r="S470" s="5">
        <f t="shared" si="339"/>
        <v>0</v>
      </c>
      <c r="T470" s="5">
        <f t="shared" si="340"/>
        <v>0</v>
      </c>
      <c r="U470" s="74">
        <f t="shared" si="341"/>
        <v>0</v>
      </c>
      <c r="V470" s="75">
        <f t="shared" si="342"/>
        <v>0</v>
      </c>
      <c r="W470" s="5">
        <f t="shared" si="343"/>
        <v>0</v>
      </c>
      <c r="X470" s="5">
        <f t="shared" si="344"/>
        <v>231343.55482544456</v>
      </c>
      <c r="Y470" s="5">
        <f t="shared" si="365"/>
        <v>100000</v>
      </c>
      <c r="Z470" s="215">
        <f t="shared" si="345"/>
        <v>1</v>
      </c>
      <c r="AA470" s="216">
        <f t="shared" si="366"/>
        <v>0</v>
      </c>
      <c r="AB470" s="72">
        <f t="shared" si="373"/>
        <v>75146.698411840829</v>
      </c>
      <c r="AC470" s="72">
        <f t="shared" si="346"/>
        <v>0</v>
      </c>
      <c r="AD470" s="72">
        <f t="shared" si="347"/>
        <v>0</v>
      </c>
      <c r="AE470" s="72">
        <f t="shared" si="367"/>
        <v>-48.174622513806646</v>
      </c>
      <c r="AF470" s="70">
        <f t="shared" si="348"/>
        <v>0</v>
      </c>
      <c r="AG470" s="70">
        <f t="shared" si="349"/>
        <v>3319.5978183276311</v>
      </c>
      <c r="AH470" s="1">
        <f t="shared" si="377"/>
        <v>0</v>
      </c>
      <c r="AI470" s="1">
        <f t="shared" si="377"/>
        <v>0</v>
      </c>
      <c r="AJ470" s="1">
        <f t="shared" si="377"/>
        <v>0</v>
      </c>
      <c r="AK470" s="1">
        <f t="shared" si="377"/>
        <v>0</v>
      </c>
      <c r="AL470" s="1">
        <f t="shared" si="377"/>
        <v>0</v>
      </c>
      <c r="AM470" s="1">
        <f t="shared" si="377"/>
        <v>0</v>
      </c>
      <c r="AN470" s="1">
        <f t="shared" si="377"/>
        <v>0</v>
      </c>
      <c r="AO470" s="1">
        <f t="shared" si="377"/>
        <v>0</v>
      </c>
      <c r="AP470" s="1">
        <f t="shared" si="377"/>
        <v>0</v>
      </c>
      <c r="AQ470" s="1">
        <f t="shared" si="377"/>
        <v>0</v>
      </c>
      <c r="AR470" s="1">
        <f t="shared" si="377"/>
        <v>1</v>
      </c>
      <c r="AS470" s="1">
        <f t="shared" si="377"/>
        <v>1</v>
      </c>
      <c r="AT470" s="39">
        <f t="shared" si="350"/>
        <v>231343.55482544456</v>
      </c>
      <c r="AU470" s="39">
        <f t="shared" si="368"/>
        <v>231343.55482544456</v>
      </c>
      <c r="AV470" s="39">
        <f t="shared" si="325"/>
        <v>0</v>
      </c>
      <c r="AW470" s="3">
        <f t="shared" si="351"/>
        <v>396</v>
      </c>
      <c r="AX470" s="69">
        <f t="shared" si="369"/>
        <v>0</v>
      </c>
      <c r="AY470" s="75">
        <f t="shared" si="352"/>
        <v>0</v>
      </c>
      <c r="AZ470" s="75">
        <f t="shared" si="353"/>
        <v>0</v>
      </c>
      <c r="BA470" s="75">
        <f t="shared" si="354"/>
        <v>0</v>
      </c>
      <c r="BB470" s="75">
        <f t="shared" si="355"/>
        <v>0</v>
      </c>
      <c r="BD470" s="214">
        <f t="shared" si="370"/>
        <v>351495.61179619841</v>
      </c>
      <c r="BE470" s="214">
        <f t="shared" si="356"/>
        <v>1710.9226639141862</v>
      </c>
      <c r="BF470" s="214">
        <f t="shared" si="357"/>
        <v>-581.61677641871756</v>
      </c>
      <c r="BG470" s="224">
        <f t="shared" si="374"/>
        <v>0</v>
      </c>
      <c r="BH470" s="19">
        <f t="shared" si="371"/>
        <v>673970.9463638583</v>
      </c>
      <c r="BI470" s="214">
        <f t="shared" si="358"/>
        <v>3280.5876609981879</v>
      </c>
      <c r="BJ470" s="214">
        <f t="shared" si="359"/>
        <v>0</v>
      </c>
      <c r="BK470" s="19">
        <f t="shared" si="375"/>
        <v>0</v>
      </c>
    </row>
    <row r="471" spans="1:63">
      <c r="A471" s="165">
        <f t="shared" si="360"/>
        <v>95.056125941136202</v>
      </c>
      <c r="B471" s="69">
        <f t="shared" si="361"/>
        <v>34</v>
      </c>
      <c r="C471" s="70">
        <f t="shared" si="362"/>
        <v>397</v>
      </c>
      <c r="D471" s="13">
        <f t="shared" si="331"/>
        <v>4.8675505653430484E-3</v>
      </c>
      <c r="E471" s="15">
        <f t="shared" si="332"/>
        <v>1</v>
      </c>
      <c r="F471" s="15">
        <f t="shared" si="363"/>
        <v>0</v>
      </c>
      <c r="G471" s="15">
        <f t="shared" si="333"/>
        <v>0</v>
      </c>
      <c r="H471" s="73">
        <f t="shared" si="334"/>
        <v>0</v>
      </c>
      <c r="I471" s="189"/>
      <c r="J471" s="189"/>
      <c r="K471" s="5">
        <f t="shared" si="376"/>
        <v>231343.55482544456</v>
      </c>
      <c r="M471" s="5">
        <f t="shared" si="335"/>
        <v>1126.0764510790632</v>
      </c>
      <c r="N471" s="5">
        <f t="shared" si="336"/>
        <v>-382.80219748756809</v>
      </c>
      <c r="O471" s="5">
        <f t="shared" si="337"/>
        <v>0</v>
      </c>
      <c r="P471" s="5">
        <f t="shared" si="338"/>
        <v>0</v>
      </c>
      <c r="Q471" s="5">
        <f t="shared" si="372"/>
        <v>0</v>
      </c>
      <c r="R471" s="5">
        <f t="shared" si="364"/>
        <v>0</v>
      </c>
      <c r="S471" s="5">
        <f t="shared" si="339"/>
        <v>0</v>
      </c>
      <c r="T471" s="5">
        <f t="shared" si="340"/>
        <v>0</v>
      </c>
      <c r="U471" s="74">
        <f t="shared" si="341"/>
        <v>0</v>
      </c>
      <c r="V471" s="75">
        <f t="shared" si="342"/>
        <v>0</v>
      </c>
      <c r="W471" s="5">
        <f t="shared" si="343"/>
        <v>0</v>
      </c>
      <c r="X471" s="5">
        <f t="shared" si="344"/>
        <v>232086.82907903608</v>
      </c>
      <c r="Y471" s="5">
        <f t="shared" si="365"/>
        <v>100000</v>
      </c>
      <c r="Z471" s="215">
        <f t="shared" si="345"/>
        <v>1</v>
      </c>
      <c r="AA471" s="216">
        <f t="shared" si="366"/>
        <v>0</v>
      </c>
      <c r="AB471" s="72">
        <f t="shared" si="373"/>
        <v>75146.698411840829</v>
      </c>
      <c r="AC471" s="72">
        <f t="shared" si="346"/>
        <v>0</v>
      </c>
      <c r="AD471" s="72">
        <f t="shared" si="347"/>
        <v>0</v>
      </c>
      <c r="AE471" s="72">
        <f t="shared" si="367"/>
        <v>-48.329400789855953</v>
      </c>
      <c r="AF471" s="70">
        <f t="shared" si="348"/>
        <v>0</v>
      </c>
      <c r="AG471" s="70">
        <f t="shared" si="349"/>
        <v>3602.0420346923929</v>
      </c>
      <c r="AH471" s="1">
        <f t="shared" si="377"/>
        <v>0</v>
      </c>
      <c r="AI471" s="1">
        <f t="shared" si="377"/>
        <v>0</v>
      </c>
      <c r="AJ471" s="1">
        <f t="shared" si="377"/>
        <v>0</v>
      </c>
      <c r="AK471" s="1">
        <f t="shared" si="377"/>
        <v>0</v>
      </c>
      <c r="AL471" s="1">
        <f t="shared" si="377"/>
        <v>0</v>
      </c>
      <c r="AM471" s="1">
        <f t="shared" si="377"/>
        <v>0</v>
      </c>
      <c r="AN471" s="1">
        <f t="shared" si="377"/>
        <v>0</v>
      </c>
      <c r="AO471" s="1">
        <f t="shared" si="377"/>
        <v>0</v>
      </c>
      <c r="AP471" s="1">
        <f t="shared" si="377"/>
        <v>0</v>
      </c>
      <c r="AQ471" s="1">
        <f t="shared" si="377"/>
        <v>0</v>
      </c>
      <c r="AR471" s="1">
        <f t="shared" si="377"/>
        <v>1</v>
      </c>
      <c r="AS471" s="1">
        <f t="shared" si="377"/>
        <v>1</v>
      </c>
      <c r="AT471" s="39">
        <f t="shared" si="350"/>
        <v>232086.82907903608</v>
      </c>
      <c r="AU471" s="39">
        <f t="shared" si="368"/>
        <v>232086.82907903608</v>
      </c>
      <c r="AV471" s="39">
        <f t="shared" ref="AV471:AV534" si="378">IF(W471=0,0,IF(W471&gt;W459,"Y","N"))</f>
        <v>0</v>
      </c>
      <c r="AW471" s="3">
        <f t="shared" si="351"/>
        <v>397</v>
      </c>
      <c r="AX471" s="69">
        <f t="shared" si="369"/>
        <v>0</v>
      </c>
      <c r="AY471" s="75">
        <f t="shared" si="352"/>
        <v>0</v>
      </c>
      <c r="AZ471" s="75">
        <f t="shared" si="353"/>
        <v>0</v>
      </c>
      <c r="BA471" s="75">
        <f t="shared" si="354"/>
        <v>0</v>
      </c>
      <c r="BB471" s="75">
        <f t="shared" si="355"/>
        <v>0</v>
      </c>
      <c r="BD471" s="214">
        <f t="shared" si="370"/>
        <v>352624.91768369393</v>
      </c>
      <c r="BE471" s="214">
        <f t="shared" si="356"/>
        <v>1716.4196174253102</v>
      </c>
      <c r="BF471" s="214">
        <f t="shared" si="357"/>
        <v>-583.48542919227384</v>
      </c>
      <c r="BG471" s="224">
        <f t="shared" si="374"/>
        <v>0</v>
      </c>
      <c r="BH471" s="19">
        <f t="shared" si="371"/>
        <v>677251.53402485652</v>
      </c>
      <c r="BI471" s="214">
        <f t="shared" si="358"/>
        <v>3296.556087322137</v>
      </c>
      <c r="BJ471" s="214">
        <f t="shared" si="359"/>
        <v>0</v>
      </c>
      <c r="BK471" s="19">
        <f t="shared" si="375"/>
        <v>0</v>
      </c>
    </row>
    <row r="472" spans="1:63">
      <c r="A472" s="165">
        <f t="shared" si="360"/>
        <v>95.139459274469544</v>
      </c>
      <c r="B472" s="69">
        <f t="shared" si="361"/>
        <v>34</v>
      </c>
      <c r="C472" s="70">
        <f t="shared" si="362"/>
        <v>398</v>
      </c>
      <c r="D472" s="13">
        <f t="shared" si="331"/>
        <v>4.8675505653430484E-3</v>
      </c>
      <c r="E472" s="15">
        <f t="shared" si="332"/>
        <v>1</v>
      </c>
      <c r="F472" s="15">
        <f t="shared" si="363"/>
        <v>0</v>
      </c>
      <c r="G472" s="15">
        <f t="shared" si="333"/>
        <v>0</v>
      </c>
      <c r="H472" s="73">
        <f t="shared" si="334"/>
        <v>0</v>
      </c>
      <c r="I472" s="189"/>
      <c r="J472" s="189"/>
      <c r="K472" s="5">
        <f t="shared" si="376"/>
        <v>232086.82907903608</v>
      </c>
      <c r="M472" s="5">
        <f t="shared" si="335"/>
        <v>1129.6943760923375</v>
      </c>
      <c r="N472" s="5">
        <f t="shared" si="336"/>
        <v>-384.03208702490775</v>
      </c>
      <c r="O472" s="5">
        <f t="shared" si="337"/>
        <v>0</v>
      </c>
      <c r="P472" s="5">
        <f t="shared" si="338"/>
        <v>0</v>
      </c>
      <c r="Q472" s="5">
        <f t="shared" si="372"/>
        <v>0</v>
      </c>
      <c r="R472" s="5">
        <f t="shared" si="364"/>
        <v>0</v>
      </c>
      <c r="S472" s="5">
        <f t="shared" si="339"/>
        <v>0</v>
      </c>
      <c r="T472" s="5">
        <f t="shared" si="340"/>
        <v>0</v>
      </c>
      <c r="U472" s="74">
        <f t="shared" si="341"/>
        <v>0</v>
      </c>
      <c r="V472" s="75">
        <f t="shared" si="342"/>
        <v>0</v>
      </c>
      <c r="W472" s="5">
        <f t="shared" si="343"/>
        <v>0</v>
      </c>
      <c r="X472" s="5">
        <f t="shared" si="344"/>
        <v>232832.49136810351</v>
      </c>
      <c r="Y472" s="5">
        <f t="shared" si="365"/>
        <v>100000</v>
      </c>
      <c r="Z472" s="215">
        <f t="shared" si="345"/>
        <v>1</v>
      </c>
      <c r="AA472" s="216">
        <f t="shared" si="366"/>
        <v>0</v>
      </c>
      <c r="AB472" s="72">
        <f t="shared" si="373"/>
        <v>75146.698411840829</v>
      </c>
      <c r="AC472" s="72">
        <f t="shared" si="346"/>
        <v>0</v>
      </c>
      <c r="AD472" s="72">
        <f t="shared" si="347"/>
        <v>0</v>
      </c>
      <c r="AE472" s="72">
        <f t="shared" si="367"/>
        <v>-48.484676346703473</v>
      </c>
      <c r="AF472" s="70">
        <f t="shared" si="348"/>
        <v>0</v>
      </c>
      <c r="AG472" s="70">
        <f t="shared" si="349"/>
        <v>3885.3937045380299</v>
      </c>
      <c r="AH472" s="1">
        <f t="shared" si="377"/>
        <v>0</v>
      </c>
      <c r="AI472" s="1">
        <f t="shared" si="377"/>
        <v>0</v>
      </c>
      <c r="AJ472" s="1">
        <f t="shared" si="377"/>
        <v>0</v>
      </c>
      <c r="AK472" s="1">
        <f t="shared" si="377"/>
        <v>0</v>
      </c>
      <c r="AL472" s="1">
        <f t="shared" si="377"/>
        <v>0</v>
      </c>
      <c r="AM472" s="1">
        <f t="shared" si="377"/>
        <v>0</v>
      </c>
      <c r="AN472" s="1">
        <f t="shared" si="377"/>
        <v>0</v>
      </c>
      <c r="AO472" s="1">
        <f t="shared" si="377"/>
        <v>0</v>
      </c>
      <c r="AP472" s="1">
        <f t="shared" si="377"/>
        <v>0</v>
      </c>
      <c r="AQ472" s="1">
        <f t="shared" si="377"/>
        <v>0</v>
      </c>
      <c r="AR472" s="1">
        <f t="shared" si="377"/>
        <v>1</v>
      </c>
      <c r="AS472" s="1">
        <f t="shared" si="377"/>
        <v>1</v>
      </c>
      <c r="AT472" s="39">
        <f t="shared" si="350"/>
        <v>232832.49136810351</v>
      </c>
      <c r="AU472" s="39">
        <f t="shared" si="368"/>
        <v>232832.49136810351</v>
      </c>
      <c r="AV472" s="39">
        <f t="shared" si="378"/>
        <v>0</v>
      </c>
      <c r="AW472" s="3">
        <f t="shared" si="351"/>
        <v>398</v>
      </c>
      <c r="AX472" s="69">
        <f t="shared" si="369"/>
        <v>0</v>
      </c>
      <c r="AY472" s="75">
        <f t="shared" si="352"/>
        <v>0</v>
      </c>
      <c r="AZ472" s="75">
        <f t="shared" si="353"/>
        <v>0</v>
      </c>
      <c r="BA472" s="75">
        <f t="shared" si="354"/>
        <v>0</v>
      </c>
      <c r="BB472" s="75">
        <f t="shared" si="355"/>
        <v>0</v>
      </c>
      <c r="BD472" s="214">
        <f t="shared" si="370"/>
        <v>353757.85187192698</v>
      </c>
      <c r="BE472" s="214">
        <f t="shared" si="356"/>
        <v>1721.9342318737406</v>
      </c>
      <c r="BF472" s="214">
        <f t="shared" si="357"/>
        <v>-585.36008568396494</v>
      </c>
      <c r="BG472" s="224">
        <f t="shared" si="374"/>
        <v>0</v>
      </c>
      <c r="BH472" s="19">
        <f t="shared" si="371"/>
        <v>680548.0901121787</v>
      </c>
      <c r="BI472" s="214">
        <f t="shared" si="358"/>
        <v>3312.6022407686673</v>
      </c>
      <c r="BJ472" s="214">
        <f t="shared" si="359"/>
        <v>0</v>
      </c>
      <c r="BK472" s="19">
        <f t="shared" si="375"/>
        <v>0</v>
      </c>
    </row>
    <row r="473" spans="1:63">
      <c r="A473" s="165">
        <f t="shared" si="360"/>
        <v>95.222792607802873</v>
      </c>
      <c r="B473" s="69">
        <f t="shared" si="361"/>
        <v>34</v>
      </c>
      <c r="C473" s="70">
        <f t="shared" si="362"/>
        <v>399</v>
      </c>
      <c r="D473" s="13">
        <f t="shared" si="331"/>
        <v>4.8675505653430484E-3</v>
      </c>
      <c r="E473" s="15">
        <f t="shared" si="332"/>
        <v>1</v>
      </c>
      <c r="F473" s="15">
        <f t="shared" si="363"/>
        <v>0</v>
      </c>
      <c r="G473" s="15">
        <f t="shared" si="333"/>
        <v>0</v>
      </c>
      <c r="H473" s="73">
        <f t="shared" si="334"/>
        <v>0</v>
      </c>
      <c r="I473" s="189"/>
      <c r="J473" s="189"/>
      <c r="K473" s="5">
        <f t="shared" si="376"/>
        <v>232832.49136810351</v>
      </c>
      <c r="M473" s="5">
        <f t="shared" si="335"/>
        <v>1133.3239249890428</v>
      </c>
      <c r="N473" s="5">
        <f t="shared" si="336"/>
        <v>-385.26592802408317</v>
      </c>
      <c r="O473" s="5">
        <f t="shared" si="337"/>
        <v>0</v>
      </c>
      <c r="P473" s="5">
        <f t="shared" si="338"/>
        <v>0</v>
      </c>
      <c r="Q473" s="5">
        <f t="shared" si="372"/>
        <v>0</v>
      </c>
      <c r="R473" s="5">
        <f t="shared" si="364"/>
        <v>0</v>
      </c>
      <c r="S473" s="5">
        <f t="shared" si="339"/>
        <v>0</v>
      </c>
      <c r="T473" s="5">
        <f t="shared" si="340"/>
        <v>0</v>
      </c>
      <c r="U473" s="74">
        <f t="shared" si="341"/>
        <v>0</v>
      </c>
      <c r="V473" s="75">
        <f t="shared" si="342"/>
        <v>0</v>
      </c>
      <c r="W473" s="5">
        <f t="shared" si="343"/>
        <v>0</v>
      </c>
      <c r="X473" s="5">
        <f t="shared" si="344"/>
        <v>233580.54936506847</v>
      </c>
      <c r="Y473" s="5">
        <f t="shared" si="365"/>
        <v>100000</v>
      </c>
      <c r="Z473" s="215">
        <f t="shared" si="345"/>
        <v>1</v>
      </c>
      <c r="AA473" s="216">
        <f t="shared" si="366"/>
        <v>0</v>
      </c>
      <c r="AB473" s="72">
        <f t="shared" si="373"/>
        <v>75146.698411840829</v>
      </c>
      <c r="AC473" s="72">
        <f t="shared" si="346"/>
        <v>0</v>
      </c>
      <c r="AD473" s="72">
        <f t="shared" si="347"/>
        <v>0</v>
      </c>
      <c r="AE473" s="72">
        <f t="shared" si="367"/>
        <v>-48.640450782042343</v>
      </c>
      <c r="AF473" s="70">
        <f t="shared" si="348"/>
        <v>0</v>
      </c>
      <c r="AG473" s="70">
        <f t="shared" si="349"/>
        <v>4169.6557433846901</v>
      </c>
      <c r="AH473" s="1">
        <f t="shared" si="377"/>
        <v>0</v>
      </c>
      <c r="AI473" s="1">
        <f t="shared" si="377"/>
        <v>0</v>
      </c>
      <c r="AJ473" s="1">
        <f t="shared" si="377"/>
        <v>0</v>
      </c>
      <c r="AK473" s="1">
        <f t="shared" si="377"/>
        <v>0</v>
      </c>
      <c r="AL473" s="1">
        <f t="shared" si="377"/>
        <v>0</v>
      </c>
      <c r="AM473" s="1">
        <f t="shared" si="377"/>
        <v>0</v>
      </c>
      <c r="AN473" s="1">
        <f t="shared" si="377"/>
        <v>0</v>
      </c>
      <c r="AO473" s="1">
        <f t="shared" si="377"/>
        <v>0</v>
      </c>
      <c r="AP473" s="1">
        <f t="shared" si="377"/>
        <v>0</v>
      </c>
      <c r="AQ473" s="1">
        <f t="shared" si="377"/>
        <v>0</v>
      </c>
      <c r="AR473" s="1">
        <f t="shared" si="377"/>
        <v>1</v>
      </c>
      <c r="AS473" s="1">
        <f t="shared" si="377"/>
        <v>1</v>
      </c>
      <c r="AT473" s="39">
        <f t="shared" si="350"/>
        <v>233580.54936506847</v>
      </c>
      <c r="AU473" s="39">
        <f t="shared" si="368"/>
        <v>233580.54936506847</v>
      </c>
      <c r="AV473" s="39">
        <f t="shared" si="378"/>
        <v>0</v>
      </c>
      <c r="AW473" s="3">
        <f t="shared" si="351"/>
        <v>399</v>
      </c>
      <c r="AX473" s="69">
        <f t="shared" si="369"/>
        <v>0</v>
      </c>
      <c r="AY473" s="75">
        <f t="shared" si="352"/>
        <v>0</v>
      </c>
      <c r="AZ473" s="75">
        <f t="shared" si="353"/>
        <v>0</v>
      </c>
      <c r="BA473" s="75">
        <f t="shared" si="354"/>
        <v>0</v>
      </c>
      <c r="BB473" s="75">
        <f t="shared" si="355"/>
        <v>0</v>
      </c>
      <c r="BD473" s="214">
        <f t="shared" si="370"/>
        <v>354894.4260181167</v>
      </c>
      <c r="BE473" s="214">
        <f t="shared" si="356"/>
        <v>1727.4665640015805</v>
      </c>
      <c r="BF473" s="214">
        <f t="shared" si="357"/>
        <v>-587.24076518289144</v>
      </c>
      <c r="BG473" s="224">
        <f t="shared" si="374"/>
        <v>0</v>
      </c>
      <c r="BH473" s="19">
        <f t="shared" si="371"/>
        <v>683860.69235294731</v>
      </c>
      <c r="BI473" s="214">
        <f t="shared" si="358"/>
        <v>3328.726499678477</v>
      </c>
      <c r="BJ473" s="214">
        <f t="shared" si="359"/>
        <v>0</v>
      </c>
      <c r="BK473" s="19">
        <f t="shared" si="375"/>
        <v>0</v>
      </c>
    </row>
    <row r="474" spans="1:63">
      <c r="A474" s="165">
        <f t="shared" si="360"/>
        <v>95.306125941136202</v>
      </c>
      <c r="B474" s="69">
        <f t="shared" si="361"/>
        <v>34</v>
      </c>
      <c r="C474" s="70">
        <f t="shared" si="362"/>
        <v>400</v>
      </c>
      <c r="D474" s="13">
        <f t="shared" si="331"/>
        <v>4.8675505653430484E-3</v>
      </c>
      <c r="E474" s="15">
        <f t="shared" si="332"/>
        <v>1</v>
      </c>
      <c r="F474" s="15">
        <f t="shared" si="363"/>
        <v>0</v>
      </c>
      <c r="G474" s="15">
        <f t="shared" si="333"/>
        <v>0</v>
      </c>
      <c r="H474" s="73">
        <f t="shared" si="334"/>
        <v>0</v>
      </c>
      <c r="I474" s="189"/>
      <c r="J474" s="189"/>
      <c r="K474" s="5">
        <f t="shared" si="376"/>
        <v>233580.54936506847</v>
      </c>
      <c r="M474" s="5">
        <f t="shared" si="335"/>
        <v>1136.9651351150787</v>
      </c>
      <c r="N474" s="5">
        <f t="shared" si="336"/>
        <v>-386.50373318058473</v>
      </c>
      <c r="O474" s="5">
        <f t="shared" si="337"/>
        <v>0</v>
      </c>
      <c r="P474" s="5">
        <f t="shared" si="338"/>
        <v>0</v>
      </c>
      <c r="Q474" s="5">
        <f t="shared" si="372"/>
        <v>0</v>
      </c>
      <c r="R474" s="5">
        <f t="shared" si="364"/>
        <v>0</v>
      </c>
      <c r="S474" s="5">
        <f t="shared" si="339"/>
        <v>0</v>
      </c>
      <c r="T474" s="5">
        <f t="shared" si="340"/>
        <v>0</v>
      </c>
      <c r="U474" s="74">
        <f t="shared" si="341"/>
        <v>0</v>
      </c>
      <c r="V474" s="75">
        <f t="shared" si="342"/>
        <v>0</v>
      </c>
      <c r="W474" s="5">
        <f t="shared" si="343"/>
        <v>0</v>
      </c>
      <c r="X474" s="5">
        <f t="shared" si="344"/>
        <v>234331.01076700297</v>
      </c>
      <c r="Y474" s="5">
        <f t="shared" si="365"/>
        <v>100000</v>
      </c>
      <c r="Z474" s="215">
        <f t="shared" si="345"/>
        <v>1</v>
      </c>
      <c r="AA474" s="216">
        <f t="shared" si="366"/>
        <v>0</v>
      </c>
      <c r="AB474" s="72">
        <f t="shared" si="373"/>
        <v>75146.698411840829</v>
      </c>
      <c r="AC474" s="72">
        <f t="shared" si="346"/>
        <v>0</v>
      </c>
      <c r="AD474" s="72">
        <f t="shared" si="347"/>
        <v>0</v>
      </c>
      <c r="AE474" s="72">
        <f t="shared" si="367"/>
        <v>-48.796725698698893</v>
      </c>
      <c r="AF474" s="70">
        <f t="shared" si="348"/>
        <v>0</v>
      </c>
      <c r="AG474" s="70">
        <f t="shared" si="349"/>
        <v>4454.8310761198081</v>
      </c>
      <c r="AH474" s="1">
        <f t="shared" si="377"/>
        <v>0</v>
      </c>
      <c r="AI474" s="1">
        <f t="shared" si="377"/>
        <v>0</v>
      </c>
      <c r="AJ474" s="1">
        <f t="shared" si="377"/>
        <v>0</v>
      </c>
      <c r="AK474" s="1">
        <f t="shared" si="377"/>
        <v>0</v>
      </c>
      <c r="AL474" s="1">
        <f t="shared" si="377"/>
        <v>0</v>
      </c>
      <c r="AM474" s="1">
        <f t="shared" si="377"/>
        <v>0</v>
      </c>
      <c r="AN474" s="1">
        <f t="shared" si="377"/>
        <v>0</v>
      </c>
      <c r="AO474" s="1">
        <f t="shared" si="377"/>
        <v>0</v>
      </c>
      <c r="AP474" s="1">
        <f t="shared" si="377"/>
        <v>0</v>
      </c>
      <c r="AQ474" s="1">
        <f t="shared" si="377"/>
        <v>0</v>
      </c>
      <c r="AR474" s="1">
        <f t="shared" si="377"/>
        <v>1</v>
      </c>
      <c r="AS474" s="1">
        <f t="shared" si="377"/>
        <v>1</v>
      </c>
      <c r="AT474" s="39">
        <f t="shared" si="350"/>
        <v>234331.01076700297</v>
      </c>
      <c r="AU474" s="39">
        <f t="shared" si="368"/>
        <v>234331.01076700297</v>
      </c>
      <c r="AV474" s="39">
        <f t="shared" si="378"/>
        <v>0</v>
      </c>
      <c r="AW474" s="3">
        <f t="shared" si="351"/>
        <v>400</v>
      </c>
      <c r="AX474" s="69">
        <f t="shared" si="369"/>
        <v>0</v>
      </c>
      <c r="AY474" s="75">
        <f t="shared" si="352"/>
        <v>0</v>
      </c>
      <c r="AZ474" s="75">
        <f t="shared" si="353"/>
        <v>0</v>
      </c>
      <c r="BA474" s="75">
        <f t="shared" si="354"/>
        <v>0</v>
      </c>
      <c r="BB474" s="75">
        <f t="shared" si="355"/>
        <v>0</v>
      </c>
      <c r="BD474" s="214">
        <f t="shared" si="370"/>
        <v>356034.65181693539</v>
      </c>
      <c r="BE474" s="214">
        <f t="shared" si="356"/>
        <v>1733.0166707332394</v>
      </c>
      <c r="BF474" s="214">
        <f t="shared" si="357"/>
        <v>-589.12748704012722</v>
      </c>
      <c r="BG474" s="224">
        <f t="shared" si="374"/>
        <v>0</v>
      </c>
      <c r="BH474" s="19">
        <f t="shared" si="371"/>
        <v>687189.41885262576</v>
      </c>
      <c r="BI474" s="214">
        <f t="shared" si="358"/>
        <v>3344.9292442338592</v>
      </c>
      <c r="BJ474" s="214">
        <f t="shared" si="359"/>
        <v>0</v>
      </c>
      <c r="BK474" s="19">
        <f t="shared" si="375"/>
        <v>0</v>
      </c>
    </row>
    <row r="475" spans="1:63">
      <c r="A475" s="165">
        <f t="shared" si="360"/>
        <v>95.389459274469544</v>
      </c>
      <c r="B475" s="69">
        <f t="shared" si="361"/>
        <v>34</v>
      </c>
      <c r="C475" s="70">
        <f t="shared" si="362"/>
        <v>401</v>
      </c>
      <c r="D475" s="13">
        <f t="shared" si="331"/>
        <v>4.8675505653430484E-3</v>
      </c>
      <c r="E475" s="15">
        <f t="shared" si="332"/>
        <v>1</v>
      </c>
      <c r="F475" s="15">
        <f t="shared" si="363"/>
        <v>0</v>
      </c>
      <c r="G475" s="15">
        <f t="shared" si="333"/>
        <v>0</v>
      </c>
      <c r="H475" s="73">
        <f t="shared" si="334"/>
        <v>0</v>
      </c>
      <c r="I475" s="189"/>
      <c r="J475" s="189"/>
      <c r="K475" s="5">
        <f t="shared" si="376"/>
        <v>234331.01076700297</v>
      </c>
      <c r="M475" s="5">
        <f t="shared" si="335"/>
        <v>1140.6180439363332</v>
      </c>
      <c r="N475" s="5">
        <f t="shared" si="336"/>
        <v>-387.74551523069147</v>
      </c>
      <c r="O475" s="5">
        <f t="shared" si="337"/>
        <v>0</v>
      </c>
      <c r="P475" s="5">
        <f t="shared" si="338"/>
        <v>0</v>
      </c>
      <c r="Q475" s="5">
        <f t="shared" si="372"/>
        <v>0</v>
      </c>
      <c r="R475" s="5">
        <f t="shared" si="364"/>
        <v>0</v>
      </c>
      <c r="S475" s="5">
        <f t="shared" si="339"/>
        <v>0</v>
      </c>
      <c r="T475" s="5">
        <f t="shared" si="340"/>
        <v>0</v>
      </c>
      <c r="U475" s="74">
        <f t="shared" si="341"/>
        <v>0</v>
      </c>
      <c r="V475" s="75">
        <f t="shared" si="342"/>
        <v>0</v>
      </c>
      <c r="W475" s="5">
        <f t="shared" si="343"/>
        <v>0</v>
      </c>
      <c r="X475" s="5">
        <f t="shared" si="344"/>
        <v>235083.8832957086</v>
      </c>
      <c r="Y475" s="5">
        <f t="shared" si="365"/>
        <v>100000</v>
      </c>
      <c r="Z475" s="215">
        <f t="shared" si="345"/>
        <v>1</v>
      </c>
      <c r="AA475" s="216">
        <f t="shared" si="366"/>
        <v>0</v>
      </c>
      <c r="AB475" s="72">
        <f t="shared" si="373"/>
        <v>75146.698411840829</v>
      </c>
      <c r="AC475" s="72">
        <f t="shared" si="346"/>
        <v>0</v>
      </c>
      <c r="AD475" s="72">
        <f t="shared" si="347"/>
        <v>0</v>
      </c>
      <c r="AE475" s="72">
        <f t="shared" si="367"/>
        <v>-48.953502704649097</v>
      </c>
      <c r="AF475" s="70">
        <f t="shared" si="348"/>
        <v>0</v>
      </c>
      <c r="AG475" s="70">
        <f t="shared" si="349"/>
        <v>4740.9226370279503</v>
      </c>
      <c r="AH475" s="1">
        <f t="shared" ref="AH475:AS484" si="379">IF($B475&lt;=AH$74,1,0)</f>
        <v>0</v>
      </c>
      <c r="AI475" s="1">
        <f t="shared" si="379"/>
        <v>0</v>
      </c>
      <c r="AJ475" s="1">
        <f t="shared" si="379"/>
        <v>0</v>
      </c>
      <c r="AK475" s="1">
        <f t="shared" si="379"/>
        <v>0</v>
      </c>
      <c r="AL475" s="1">
        <f t="shared" si="379"/>
        <v>0</v>
      </c>
      <c r="AM475" s="1">
        <f t="shared" si="379"/>
        <v>0</v>
      </c>
      <c r="AN475" s="1">
        <f t="shared" si="379"/>
        <v>0</v>
      </c>
      <c r="AO475" s="1">
        <f t="shared" si="379"/>
        <v>0</v>
      </c>
      <c r="AP475" s="1">
        <f t="shared" si="379"/>
        <v>0</v>
      </c>
      <c r="AQ475" s="1">
        <f t="shared" si="379"/>
        <v>0</v>
      </c>
      <c r="AR475" s="1">
        <f t="shared" si="379"/>
        <v>1</v>
      </c>
      <c r="AS475" s="1">
        <f t="shared" si="379"/>
        <v>1</v>
      </c>
      <c r="AT475" s="39">
        <f t="shared" si="350"/>
        <v>235083.8832957086</v>
      </c>
      <c r="AU475" s="39">
        <f t="shared" si="368"/>
        <v>235083.8832957086</v>
      </c>
      <c r="AV475" s="39">
        <f t="shared" si="378"/>
        <v>0</v>
      </c>
      <c r="AW475" s="3">
        <f t="shared" si="351"/>
        <v>401</v>
      </c>
      <c r="AX475" s="69">
        <f t="shared" si="369"/>
        <v>0</v>
      </c>
      <c r="AY475" s="75">
        <f t="shared" si="352"/>
        <v>0</v>
      </c>
      <c r="AZ475" s="75">
        <f t="shared" si="353"/>
        <v>0</v>
      </c>
      <c r="BA475" s="75">
        <f t="shared" si="354"/>
        <v>0</v>
      </c>
      <c r="BB475" s="75">
        <f t="shared" si="355"/>
        <v>0</v>
      </c>
      <c r="BD475" s="214">
        <f t="shared" si="370"/>
        <v>357178.54100062849</v>
      </c>
      <c r="BE475" s="214">
        <f t="shared" si="356"/>
        <v>1738.5846091760145</v>
      </c>
      <c r="BF475" s="214">
        <f t="shared" si="357"/>
        <v>-591.02027066891856</v>
      </c>
      <c r="BG475" s="224">
        <f t="shared" si="374"/>
        <v>0</v>
      </c>
      <c r="BH475" s="19">
        <f t="shared" si="371"/>
        <v>690534.34809685964</v>
      </c>
      <c r="BI475" s="214">
        <f t="shared" si="358"/>
        <v>3361.2108564676623</v>
      </c>
      <c r="BJ475" s="214">
        <f t="shared" si="359"/>
        <v>0</v>
      </c>
      <c r="BK475" s="19">
        <f t="shared" si="375"/>
        <v>0</v>
      </c>
    </row>
    <row r="476" spans="1:63">
      <c r="A476" s="165">
        <f t="shared" si="360"/>
        <v>95.472792607802873</v>
      </c>
      <c r="B476" s="69">
        <f t="shared" si="361"/>
        <v>34</v>
      </c>
      <c r="C476" s="70">
        <f t="shared" si="362"/>
        <v>402</v>
      </c>
      <c r="D476" s="13">
        <f t="shared" si="331"/>
        <v>4.8675505653430484E-3</v>
      </c>
      <c r="E476" s="15">
        <f t="shared" si="332"/>
        <v>1</v>
      </c>
      <c r="F476" s="15">
        <f t="shared" si="363"/>
        <v>0</v>
      </c>
      <c r="G476" s="15">
        <f t="shared" si="333"/>
        <v>0</v>
      </c>
      <c r="H476" s="73">
        <f t="shared" si="334"/>
        <v>0</v>
      </c>
      <c r="I476" s="189"/>
      <c r="J476" s="189"/>
      <c r="K476" s="5">
        <f t="shared" si="376"/>
        <v>235083.8832957086</v>
      </c>
      <c r="M476" s="5">
        <f t="shared" si="335"/>
        <v>1144.2826890390656</v>
      </c>
      <c r="N476" s="5">
        <f t="shared" si="336"/>
        <v>-388.99128695160238</v>
      </c>
      <c r="O476" s="5">
        <f t="shared" si="337"/>
        <v>0</v>
      </c>
      <c r="P476" s="5">
        <f t="shared" si="338"/>
        <v>0</v>
      </c>
      <c r="Q476" s="5">
        <f t="shared" si="372"/>
        <v>0</v>
      </c>
      <c r="R476" s="5">
        <f t="shared" si="364"/>
        <v>0</v>
      </c>
      <c r="S476" s="5">
        <f t="shared" si="339"/>
        <v>0</v>
      </c>
      <c r="T476" s="5">
        <f t="shared" si="340"/>
        <v>0</v>
      </c>
      <c r="U476" s="74">
        <f t="shared" si="341"/>
        <v>0</v>
      </c>
      <c r="V476" s="75">
        <f t="shared" si="342"/>
        <v>0</v>
      </c>
      <c r="W476" s="5">
        <f t="shared" si="343"/>
        <v>0</v>
      </c>
      <c r="X476" s="5">
        <f t="shared" si="344"/>
        <v>235839.17469779606</v>
      </c>
      <c r="Y476" s="5">
        <f t="shared" si="365"/>
        <v>100000</v>
      </c>
      <c r="Z476" s="215">
        <f t="shared" si="345"/>
        <v>1</v>
      </c>
      <c r="AA476" s="216">
        <f t="shared" si="366"/>
        <v>0</v>
      </c>
      <c r="AB476" s="72">
        <f t="shared" si="373"/>
        <v>75146.698411840829</v>
      </c>
      <c r="AC476" s="72">
        <f t="shared" si="346"/>
        <v>0</v>
      </c>
      <c r="AD476" s="72">
        <f t="shared" si="347"/>
        <v>0</v>
      </c>
      <c r="AE476" s="72">
        <f t="shared" si="367"/>
        <v>-49.110783413035122</v>
      </c>
      <c r="AF476" s="70">
        <f t="shared" si="348"/>
        <v>0</v>
      </c>
      <c r="AG476" s="70">
        <f t="shared" si="349"/>
        <v>5027.9333698211849</v>
      </c>
      <c r="AH476" s="1">
        <f t="shared" si="379"/>
        <v>0</v>
      </c>
      <c r="AI476" s="1">
        <f t="shared" si="379"/>
        <v>0</v>
      </c>
      <c r="AJ476" s="1">
        <f t="shared" si="379"/>
        <v>0</v>
      </c>
      <c r="AK476" s="1">
        <f t="shared" si="379"/>
        <v>0</v>
      </c>
      <c r="AL476" s="1">
        <f t="shared" si="379"/>
        <v>0</v>
      </c>
      <c r="AM476" s="1">
        <f t="shared" si="379"/>
        <v>0</v>
      </c>
      <c r="AN476" s="1">
        <f t="shared" si="379"/>
        <v>0</v>
      </c>
      <c r="AO476" s="1">
        <f t="shared" si="379"/>
        <v>0</v>
      </c>
      <c r="AP476" s="1">
        <f t="shared" si="379"/>
        <v>0</v>
      </c>
      <c r="AQ476" s="1">
        <f t="shared" si="379"/>
        <v>0</v>
      </c>
      <c r="AR476" s="1">
        <f t="shared" si="379"/>
        <v>1</v>
      </c>
      <c r="AS476" s="1">
        <f t="shared" si="379"/>
        <v>1</v>
      </c>
      <c r="AT476" s="39">
        <f t="shared" si="350"/>
        <v>235839.17469779606</v>
      </c>
      <c r="AU476" s="39">
        <f t="shared" si="368"/>
        <v>235839.17469779606</v>
      </c>
      <c r="AV476" s="39">
        <f t="shared" si="378"/>
        <v>0</v>
      </c>
      <c r="AW476" s="3">
        <f t="shared" si="351"/>
        <v>402</v>
      </c>
      <c r="AX476" s="69">
        <f t="shared" si="369"/>
        <v>0</v>
      </c>
      <c r="AY476" s="75">
        <f t="shared" si="352"/>
        <v>0</v>
      </c>
      <c r="AZ476" s="75">
        <f t="shared" si="353"/>
        <v>0</v>
      </c>
      <c r="BA476" s="75">
        <f t="shared" si="354"/>
        <v>0</v>
      </c>
      <c r="BB476" s="75">
        <f t="shared" si="355"/>
        <v>0</v>
      </c>
      <c r="BD476" s="214">
        <f t="shared" si="370"/>
        <v>358326.10533913563</v>
      </c>
      <c r="BE476" s="214">
        <f t="shared" si="356"/>
        <v>1744.1704366206823</v>
      </c>
      <c r="BF476" s="214">
        <f t="shared" si="357"/>
        <v>-592.91913554488349</v>
      </c>
      <c r="BG476" s="224">
        <f t="shared" si="374"/>
        <v>0</v>
      </c>
      <c r="BH476" s="19">
        <f t="shared" si="371"/>
        <v>693895.55895332736</v>
      </c>
      <c r="BI476" s="214">
        <f t="shared" si="358"/>
        <v>3377.571720272299</v>
      </c>
      <c r="BJ476" s="214">
        <f t="shared" si="359"/>
        <v>0</v>
      </c>
      <c r="BK476" s="19">
        <f t="shared" si="375"/>
        <v>0</v>
      </c>
    </row>
    <row r="477" spans="1:63">
      <c r="A477" s="165">
        <f t="shared" si="360"/>
        <v>95.556125941136202</v>
      </c>
      <c r="B477" s="69">
        <f t="shared" si="361"/>
        <v>34</v>
      </c>
      <c r="C477" s="70">
        <f t="shared" si="362"/>
        <v>403</v>
      </c>
      <c r="D477" s="13">
        <f t="shared" si="331"/>
        <v>4.8675505653430484E-3</v>
      </c>
      <c r="E477" s="15">
        <f t="shared" si="332"/>
        <v>1</v>
      </c>
      <c r="F477" s="15">
        <f t="shared" si="363"/>
        <v>0</v>
      </c>
      <c r="G477" s="15">
        <f t="shared" si="333"/>
        <v>0</v>
      </c>
      <c r="H477" s="73">
        <f t="shared" si="334"/>
        <v>0</v>
      </c>
      <c r="I477" s="189"/>
      <c r="J477" s="189"/>
      <c r="K477" s="5">
        <f t="shared" si="376"/>
        <v>235839.17469779606</v>
      </c>
      <c r="M477" s="5">
        <f t="shared" si="335"/>
        <v>1147.9591081302951</v>
      </c>
      <c r="N477" s="5">
        <f t="shared" si="336"/>
        <v>-390.24106116156776</v>
      </c>
      <c r="O477" s="5">
        <f t="shared" si="337"/>
        <v>0</v>
      </c>
      <c r="P477" s="5">
        <f t="shared" si="338"/>
        <v>0</v>
      </c>
      <c r="Q477" s="5">
        <f t="shared" si="372"/>
        <v>0</v>
      </c>
      <c r="R477" s="5">
        <f t="shared" si="364"/>
        <v>0</v>
      </c>
      <c r="S477" s="5">
        <f t="shared" si="339"/>
        <v>0</v>
      </c>
      <c r="T477" s="5">
        <f t="shared" si="340"/>
        <v>0</v>
      </c>
      <c r="U477" s="74">
        <f t="shared" si="341"/>
        <v>0</v>
      </c>
      <c r="V477" s="75">
        <f t="shared" si="342"/>
        <v>0</v>
      </c>
      <c r="W477" s="5">
        <f t="shared" si="343"/>
        <v>0</v>
      </c>
      <c r="X477" s="5">
        <f t="shared" si="344"/>
        <v>236596.8927447648</v>
      </c>
      <c r="Y477" s="5">
        <f t="shared" si="365"/>
        <v>100000</v>
      </c>
      <c r="Z477" s="215">
        <f t="shared" si="345"/>
        <v>1</v>
      </c>
      <c r="AA477" s="216">
        <f t="shared" si="366"/>
        <v>0</v>
      </c>
      <c r="AB477" s="72">
        <f t="shared" si="373"/>
        <v>75146.698411840829</v>
      </c>
      <c r="AC477" s="72">
        <f t="shared" si="346"/>
        <v>0</v>
      </c>
      <c r="AD477" s="72">
        <f t="shared" si="347"/>
        <v>0</v>
      </c>
      <c r="AE477" s="72">
        <f t="shared" si="367"/>
        <v>-49.268569442181942</v>
      </c>
      <c r="AF477" s="70">
        <f t="shared" si="348"/>
        <v>0</v>
      </c>
      <c r="AG477" s="70">
        <f t="shared" si="349"/>
        <v>5315.8662276693067</v>
      </c>
      <c r="AH477" s="1">
        <f t="shared" si="379"/>
        <v>0</v>
      </c>
      <c r="AI477" s="1">
        <f t="shared" si="379"/>
        <v>0</v>
      </c>
      <c r="AJ477" s="1">
        <f t="shared" si="379"/>
        <v>0</v>
      </c>
      <c r="AK477" s="1">
        <f t="shared" si="379"/>
        <v>0</v>
      </c>
      <c r="AL477" s="1">
        <f t="shared" si="379"/>
        <v>0</v>
      </c>
      <c r="AM477" s="1">
        <f t="shared" si="379"/>
        <v>0</v>
      </c>
      <c r="AN477" s="1">
        <f t="shared" si="379"/>
        <v>0</v>
      </c>
      <c r="AO477" s="1">
        <f t="shared" si="379"/>
        <v>0</v>
      </c>
      <c r="AP477" s="1">
        <f t="shared" si="379"/>
        <v>0</v>
      </c>
      <c r="AQ477" s="1">
        <f t="shared" si="379"/>
        <v>0</v>
      </c>
      <c r="AR477" s="1">
        <f t="shared" si="379"/>
        <v>1</v>
      </c>
      <c r="AS477" s="1">
        <f t="shared" si="379"/>
        <v>1</v>
      </c>
      <c r="AT477" s="39">
        <f t="shared" si="350"/>
        <v>236596.8927447648</v>
      </c>
      <c r="AU477" s="39">
        <f t="shared" si="368"/>
        <v>236596.8927447648</v>
      </c>
      <c r="AV477" s="39">
        <f t="shared" si="378"/>
        <v>0</v>
      </c>
      <c r="AW477" s="3">
        <f t="shared" si="351"/>
        <v>403</v>
      </c>
      <c r="AX477" s="69">
        <f t="shared" si="369"/>
        <v>0</v>
      </c>
      <c r="AY477" s="75">
        <f t="shared" si="352"/>
        <v>0</v>
      </c>
      <c r="AZ477" s="75">
        <f t="shared" si="353"/>
        <v>0</v>
      </c>
      <c r="BA477" s="75">
        <f t="shared" si="354"/>
        <v>0</v>
      </c>
      <c r="BB477" s="75">
        <f t="shared" si="355"/>
        <v>0</v>
      </c>
      <c r="BD477" s="214">
        <f t="shared" si="370"/>
        <v>359477.35664021142</v>
      </c>
      <c r="BE477" s="214">
        <f t="shared" si="356"/>
        <v>1749.7742105420857</v>
      </c>
      <c r="BF477" s="214">
        <f t="shared" si="357"/>
        <v>-594.82410120621239</v>
      </c>
      <c r="BG477" s="224">
        <f t="shared" si="374"/>
        <v>0</v>
      </c>
      <c r="BH477" s="19">
        <f t="shared" si="371"/>
        <v>697273.13067359966</v>
      </c>
      <c r="BI477" s="214">
        <f t="shared" si="358"/>
        <v>3394.0122214087974</v>
      </c>
      <c r="BJ477" s="214">
        <f t="shared" si="359"/>
        <v>0</v>
      </c>
      <c r="BK477" s="19">
        <f t="shared" si="375"/>
        <v>0</v>
      </c>
    </row>
    <row r="478" spans="1:63">
      <c r="A478" s="165">
        <f t="shared" si="360"/>
        <v>95.639459274469544</v>
      </c>
      <c r="B478" s="69">
        <f t="shared" si="361"/>
        <v>34</v>
      </c>
      <c r="C478" s="70">
        <f t="shared" si="362"/>
        <v>404</v>
      </c>
      <c r="D478" s="13">
        <f t="shared" si="331"/>
        <v>4.8675505653430484E-3</v>
      </c>
      <c r="E478" s="15">
        <f t="shared" si="332"/>
        <v>1</v>
      </c>
      <c r="F478" s="15">
        <f t="shared" si="363"/>
        <v>0</v>
      </c>
      <c r="G478" s="15">
        <f t="shared" si="333"/>
        <v>0</v>
      </c>
      <c r="H478" s="73">
        <f t="shared" si="334"/>
        <v>0</v>
      </c>
      <c r="I478" s="189"/>
      <c r="J478" s="189"/>
      <c r="K478" s="5">
        <f t="shared" si="376"/>
        <v>236596.8927447648</v>
      </c>
      <c r="M478" s="5">
        <f t="shared" si="335"/>
        <v>1151.6473390381884</v>
      </c>
      <c r="N478" s="5">
        <f t="shared" si="336"/>
        <v>-391.49485072002108</v>
      </c>
      <c r="O478" s="5">
        <f t="shared" si="337"/>
        <v>0</v>
      </c>
      <c r="P478" s="5">
        <f t="shared" si="338"/>
        <v>0</v>
      </c>
      <c r="Q478" s="5">
        <f t="shared" si="372"/>
        <v>0</v>
      </c>
      <c r="R478" s="5">
        <f t="shared" si="364"/>
        <v>0</v>
      </c>
      <c r="S478" s="5">
        <f t="shared" si="339"/>
        <v>0</v>
      </c>
      <c r="T478" s="5">
        <f t="shared" si="340"/>
        <v>0</v>
      </c>
      <c r="U478" s="74">
        <f t="shared" si="341"/>
        <v>0</v>
      </c>
      <c r="V478" s="75">
        <f t="shared" si="342"/>
        <v>0</v>
      </c>
      <c r="W478" s="5">
        <f t="shared" si="343"/>
        <v>0</v>
      </c>
      <c r="X478" s="5">
        <f t="shared" si="344"/>
        <v>237357.04523308299</v>
      </c>
      <c r="Y478" s="5">
        <f t="shared" si="365"/>
        <v>100000</v>
      </c>
      <c r="Z478" s="215">
        <f t="shared" si="345"/>
        <v>1</v>
      </c>
      <c r="AA478" s="216">
        <f t="shared" si="366"/>
        <v>0</v>
      </c>
      <c r="AB478" s="72">
        <f t="shared" si="373"/>
        <v>75146.698411840829</v>
      </c>
      <c r="AC478" s="72">
        <f t="shared" si="346"/>
        <v>0</v>
      </c>
      <c r="AD478" s="72">
        <f t="shared" si="347"/>
        <v>0</v>
      </c>
      <c r="AE478" s="72">
        <f t="shared" si="367"/>
        <v>-49.426862415613989</v>
      </c>
      <c r="AF478" s="70">
        <f t="shared" si="348"/>
        <v>0</v>
      </c>
      <c r="AG478" s="70">
        <f t="shared" si="349"/>
        <v>5604.7241732302064</v>
      </c>
      <c r="AH478" s="1">
        <f t="shared" si="379"/>
        <v>0</v>
      </c>
      <c r="AI478" s="1">
        <f t="shared" si="379"/>
        <v>0</v>
      </c>
      <c r="AJ478" s="1">
        <f t="shared" si="379"/>
        <v>0</v>
      </c>
      <c r="AK478" s="1">
        <f t="shared" si="379"/>
        <v>0</v>
      </c>
      <c r="AL478" s="1">
        <f t="shared" si="379"/>
        <v>0</v>
      </c>
      <c r="AM478" s="1">
        <f t="shared" si="379"/>
        <v>0</v>
      </c>
      <c r="AN478" s="1">
        <f t="shared" si="379"/>
        <v>0</v>
      </c>
      <c r="AO478" s="1">
        <f t="shared" si="379"/>
        <v>0</v>
      </c>
      <c r="AP478" s="1">
        <f t="shared" si="379"/>
        <v>0</v>
      </c>
      <c r="AQ478" s="1">
        <f t="shared" si="379"/>
        <v>0</v>
      </c>
      <c r="AR478" s="1">
        <f t="shared" si="379"/>
        <v>1</v>
      </c>
      <c r="AS478" s="1">
        <f t="shared" si="379"/>
        <v>1</v>
      </c>
      <c r="AT478" s="39">
        <f t="shared" si="350"/>
        <v>237357.04523308299</v>
      </c>
      <c r="AU478" s="39">
        <f t="shared" si="368"/>
        <v>237357.04523308299</v>
      </c>
      <c r="AV478" s="39">
        <f t="shared" si="378"/>
        <v>0</v>
      </c>
      <c r="AW478" s="3">
        <f t="shared" si="351"/>
        <v>404</v>
      </c>
      <c r="AX478" s="69">
        <f t="shared" si="369"/>
        <v>0</v>
      </c>
      <c r="AY478" s="75">
        <f t="shared" si="352"/>
        <v>0</v>
      </c>
      <c r="AZ478" s="75">
        <f t="shared" si="353"/>
        <v>0</v>
      </c>
      <c r="BA478" s="75">
        <f t="shared" si="354"/>
        <v>0</v>
      </c>
      <c r="BB478" s="75">
        <f t="shared" si="355"/>
        <v>0</v>
      </c>
      <c r="BD478" s="214">
        <f t="shared" si="370"/>
        <v>360632.30674954731</v>
      </c>
      <c r="BE478" s="214">
        <f t="shared" si="356"/>
        <v>1755.3959885997267</v>
      </c>
      <c r="BF478" s="214">
        <f t="shared" si="357"/>
        <v>-596.73518725386941</v>
      </c>
      <c r="BG478" s="224">
        <f t="shared" si="374"/>
        <v>0</v>
      </c>
      <c r="BH478" s="19">
        <f t="shared" si="371"/>
        <v>700667.14289500844</v>
      </c>
      <c r="BI478" s="214">
        <f t="shared" si="358"/>
        <v>3410.532747515897</v>
      </c>
      <c r="BJ478" s="214">
        <f t="shared" si="359"/>
        <v>0</v>
      </c>
      <c r="BK478" s="19">
        <f t="shared" si="375"/>
        <v>0</v>
      </c>
    </row>
    <row r="479" spans="1:63">
      <c r="A479" s="165">
        <f t="shared" si="360"/>
        <v>95.722792607802873</v>
      </c>
      <c r="B479" s="69">
        <f t="shared" si="361"/>
        <v>34</v>
      </c>
      <c r="C479" s="70">
        <f t="shared" si="362"/>
        <v>405</v>
      </c>
      <c r="D479" s="13">
        <f t="shared" si="331"/>
        <v>4.8675505653430484E-3</v>
      </c>
      <c r="E479" s="15">
        <f t="shared" si="332"/>
        <v>1</v>
      </c>
      <c r="F479" s="15">
        <f t="shared" si="363"/>
        <v>0</v>
      </c>
      <c r="G479" s="15">
        <f t="shared" si="333"/>
        <v>0</v>
      </c>
      <c r="H479" s="73">
        <f t="shared" si="334"/>
        <v>0</v>
      </c>
      <c r="I479" s="189"/>
      <c r="J479" s="189"/>
      <c r="K479" s="5">
        <f t="shared" si="376"/>
        <v>237357.04523308299</v>
      </c>
      <c r="M479" s="5">
        <f t="shared" si="335"/>
        <v>1155.3474197124485</v>
      </c>
      <c r="N479" s="5">
        <f t="shared" si="336"/>
        <v>-392.75266852771148</v>
      </c>
      <c r="O479" s="5">
        <f t="shared" si="337"/>
        <v>0</v>
      </c>
      <c r="P479" s="5">
        <f t="shared" si="338"/>
        <v>0</v>
      </c>
      <c r="Q479" s="5">
        <f t="shared" si="372"/>
        <v>0</v>
      </c>
      <c r="R479" s="5">
        <f t="shared" si="364"/>
        <v>0</v>
      </c>
      <c r="S479" s="5">
        <f t="shared" si="339"/>
        <v>0</v>
      </c>
      <c r="T479" s="5">
        <f t="shared" si="340"/>
        <v>0</v>
      </c>
      <c r="U479" s="74">
        <f t="shared" si="341"/>
        <v>0</v>
      </c>
      <c r="V479" s="75">
        <f t="shared" si="342"/>
        <v>0</v>
      </c>
      <c r="W479" s="5">
        <f t="shared" si="343"/>
        <v>0</v>
      </c>
      <c r="X479" s="5">
        <f t="shared" si="344"/>
        <v>238119.63998426773</v>
      </c>
      <c r="Y479" s="5">
        <f t="shared" si="365"/>
        <v>100000</v>
      </c>
      <c r="Z479" s="215">
        <f t="shared" si="345"/>
        <v>1</v>
      </c>
      <c r="AA479" s="216">
        <f t="shared" si="366"/>
        <v>0</v>
      </c>
      <c r="AB479" s="72">
        <f t="shared" si="373"/>
        <v>75146.698411840829</v>
      </c>
      <c r="AC479" s="72">
        <f t="shared" si="346"/>
        <v>0</v>
      </c>
      <c r="AD479" s="72">
        <f t="shared" si="347"/>
        <v>0</v>
      </c>
      <c r="AE479" s="72">
        <f t="shared" si="367"/>
        <v>-49.585663962071834</v>
      </c>
      <c r="AF479" s="70">
        <f t="shared" si="348"/>
        <v>0</v>
      </c>
      <c r="AG479" s="70">
        <f t="shared" si="349"/>
        <v>5894.5101786804444</v>
      </c>
      <c r="AH479" s="1">
        <f t="shared" si="379"/>
        <v>0</v>
      </c>
      <c r="AI479" s="1">
        <f t="shared" si="379"/>
        <v>0</v>
      </c>
      <c r="AJ479" s="1">
        <f t="shared" si="379"/>
        <v>0</v>
      </c>
      <c r="AK479" s="1">
        <f t="shared" si="379"/>
        <v>0</v>
      </c>
      <c r="AL479" s="1">
        <f t="shared" si="379"/>
        <v>0</v>
      </c>
      <c r="AM479" s="1">
        <f t="shared" si="379"/>
        <v>0</v>
      </c>
      <c r="AN479" s="1">
        <f t="shared" si="379"/>
        <v>0</v>
      </c>
      <c r="AO479" s="1">
        <f t="shared" si="379"/>
        <v>0</v>
      </c>
      <c r="AP479" s="1">
        <f t="shared" si="379"/>
        <v>0</v>
      </c>
      <c r="AQ479" s="1">
        <f t="shared" si="379"/>
        <v>0</v>
      </c>
      <c r="AR479" s="1">
        <f t="shared" si="379"/>
        <v>1</v>
      </c>
      <c r="AS479" s="1">
        <f t="shared" si="379"/>
        <v>1</v>
      </c>
      <c r="AT479" s="39">
        <f t="shared" si="350"/>
        <v>238119.63998426773</v>
      </c>
      <c r="AU479" s="39">
        <f t="shared" si="368"/>
        <v>238119.63998426773</v>
      </c>
      <c r="AV479" s="39">
        <f t="shared" si="378"/>
        <v>0</v>
      </c>
      <c r="AW479" s="3">
        <f t="shared" si="351"/>
        <v>405</v>
      </c>
      <c r="AX479" s="69">
        <f t="shared" si="369"/>
        <v>0</v>
      </c>
      <c r="AY479" s="75">
        <f t="shared" si="352"/>
        <v>0</v>
      </c>
      <c r="AZ479" s="75">
        <f t="shared" si="353"/>
        <v>0</v>
      </c>
      <c r="BA479" s="75">
        <f t="shared" si="354"/>
        <v>0</v>
      </c>
      <c r="BB479" s="75">
        <f t="shared" si="355"/>
        <v>0</v>
      </c>
      <c r="BD479" s="214">
        <f t="shared" si="370"/>
        <v>361790.9675508932</v>
      </c>
      <c r="BE479" s="214">
        <f t="shared" si="356"/>
        <v>1761.0358286383587</v>
      </c>
      <c r="BF479" s="214">
        <f t="shared" si="357"/>
        <v>-598.6524133517936</v>
      </c>
      <c r="BG479" s="224">
        <f t="shared" si="374"/>
        <v>0</v>
      </c>
      <c r="BH479" s="19">
        <f t="shared" si="371"/>
        <v>704077.67564252438</v>
      </c>
      <c r="BI479" s="214">
        <f t="shared" si="358"/>
        <v>3427.1336881191892</v>
      </c>
      <c r="BJ479" s="214">
        <f t="shared" si="359"/>
        <v>0</v>
      </c>
      <c r="BK479" s="19">
        <f t="shared" si="375"/>
        <v>0</v>
      </c>
    </row>
    <row r="480" spans="1:63">
      <c r="A480" s="165">
        <f t="shared" si="360"/>
        <v>95.806125941136202</v>
      </c>
      <c r="B480" s="69">
        <f t="shared" si="361"/>
        <v>34</v>
      </c>
      <c r="C480" s="70">
        <f t="shared" si="362"/>
        <v>406</v>
      </c>
      <c r="D480" s="13">
        <f t="shared" si="331"/>
        <v>4.8675505653430484E-3</v>
      </c>
      <c r="E480" s="15">
        <f t="shared" si="332"/>
        <v>1</v>
      </c>
      <c r="F480" s="15">
        <f t="shared" si="363"/>
        <v>0</v>
      </c>
      <c r="G480" s="15">
        <f t="shared" si="333"/>
        <v>0</v>
      </c>
      <c r="H480" s="73">
        <f t="shared" si="334"/>
        <v>0</v>
      </c>
      <c r="I480" s="189"/>
      <c r="J480" s="189"/>
      <c r="K480" s="5">
        <f t="shared" si="376"/>
        <v>238119.63998426773</v>
      </c>
      <c r="M480" s="5">
        <f t="shared" si="335"/>
        <v>1159.0593882247056</v>
      </c>
      <c r="N480" s="5">
        <f t="shared" si="336"/>
        <v>-394.01452752683628</v>
      </c>
      <c r="O480" s="5">
        <f t="shared" si="337"/>
        <v>0</v>
      </c>
      <c r="P480" s="5">
        <f t="shared" si="338"/>
        <v>0</v>
      </c>
      <c r="Q480" s="5">
        <f t="shared" si="372"/>
        <v>0</v>
      </c>
      <c r="R480" s="5">
        <f t="shared" si="364"/>
        <v>0</v>
      </c>
      <c r="S480" s="5">
        <f t="shared" si="339"/>
        <v>0</v>
      </c>
      <c r="T480" s="5">
        <f t="shared" si="340"/>
        <v>0</v>
      </c>
      <c r="U480" s="74">
        <f t="shared" si="341"/>
        <v>0</v>
      </c>
      <c r="V480" s="75">
        <f t="shared" si="342"/>
        <v>0</v>
      </c>
      <c r="W480" s="5">
        <f t="shared" si="343"/>
        <v>0</v>
      </c>
      <c r="X480" s="5">
        <f t="shared" si="344"/>
        <v>238884.68484496561</v>
      </c>
      <c r="Y480" s="5">
        <f t="shared" si="365"/>
        <v>100000</v>
      </c>
      <c r="Z480" s="215">
        <f t="shared" si="345"/>
        <v>1</v>
      </c>
      <c r="AA480" s="216">
        <f t="shared" si="366"/>
        <v>0</v>
      </c>
      <c r="AB480" s="72">
        <f t="shared" si="373"/>
        <v>75146.698411840829</v>
      </c>
      <c r="AC480" s="72">
        <f t="shared" si="346"/>
        <v>0</v>
      </c>
      <c r="AD480" s="72">
        <f t="shared" si="347"/>
        <v>0</v>
      </c>
      <c r="AE480" s="72">
        <f t="shared" si="367"/>
        <v>-49.744975715528966</v>
      </c>
      <c r="AF480" s="70">
        <f t="shared" si="348"/>
        <v>0</v>
      </c>
      <c r="AG480" s="70">
        <f t="shared" si="349"/>
        <v>6185.2272257456061</v>
      </c>
      <c r="AH480" s="1">
        <f t="shared" si="379"/>
        <v>0</v>
      </c>
      <c r="AI480" s="1">
        <f t="shared" si="379"/>
        <v>0</v>
      </c>
      <c r="AJ480" s="1">
        <f t="shared" si="379"/>
        <v>0</v>
      </c>
      <c r="AK480" s="1">
        <f t="shared" si="379"/>
        <v>0</v>
      </c>
      <c r="AL480" s="1">
        <f t="shared" si="379"/>
        <v>0</v>
      </c>
      <c r="AM480" s="1">
        <f t="shared" si="379"/>
        <v>0</v>
      </c>
      <c r="AN480" s="1">
        <f t="shared" si="379"/>
        <v>0</v>
      </c>
      <c r="AO480" s="1">
        <f t="shared" si="379"/>
        <v>0</v>
      </c>
      <c r="AP480" s="1">
        <f t="shared" si="379"/>
        <v>0</v>
      </c>
      <c r="AQ480" s="1">
        <f t="shared" si="379"/>
        <v>0</v>
      </c>
      <c r="AR480" s="1">
        <f t="shared" si="379"/>
        <v>1</v>
      </c>
      <c r="AS480" s="1">
        <f t="shared" si="379"/>
        <v>1</v>
      </c>
      <c r="AT480" s="39">
        <f t="shared" si="350"/>
        <v>238884.68484496561</v>
      </c>
      <c r="AU480" s="39">
        <f t="shared" si="368"/>
        <v>238884.68484496561</v>
      </c>
      <c r="AV480" s="39">
        <f t="shared" si="378"/>
        <v>0</v>
      </c>
      <c r="AW480" s="3">
        <f t="shared" si="351"/>
        <v>406</v>
      </c>
      <c r="AX480" s="69">
        <f t="shared" si="369"/>
        <v>0</v>
      </c>
      <c r="AY480" s="75">
        <f t="shared" si="352"/>
        <v>0</v>
      </c>
      <c r="AZ480" s="75">
        <f t="shared" si="353"/>
        <v>0</v>
      </c>
      <c r="BA480" s="75">
        <f t="shared" si="354"/>
        <v>0</v>
      </c>
      <c r="BB480" s="75">
        <f t="shared" si="355"/>
        <v>0</v>
      </c>
      <c r="BD480" s="214">
        <f t="shared" si="370"/>
        <v>362953.35096617974</v>
      </c>
      <c r="BE480" s="214">
        <f t="shared" si="356"/>
        <v>1766.6937886885821</v>
      </c>
      <c r="BF480" s="214">
        <f t="shared" si="357"/>
        <v>-600.57579922710158</v>
      </c>
      <c r="BG480" s="224">
        <f t="shared" si="374"/>
        <v>0</v>
      </c>
      <c r="BH480" s="19">
        <f t="shared" si="371"/>
        <v>707504.80933064362</v>
      </c>
      <c r="BI480" s="214">
        <f t="shared" si="358"/>
        <v>3443.8154346402998</v>
      </c>
      <c r="BJ480" s="214">
        <f t="shared" si="359"/>
        <v>0</v>
      </c>
      <c r="BK480" s="19">
        <f t="shared" si="375"/>
        <v>0</v>
      </c>
    </row>
    <row r="481" spans="1:63">
      <c r="A481" s="165">
        <f t="shared" si="360"/>
        <v>95.889459274469544</v>
      </c>
      <c r="B481" s="69">
        <f t="shared" si="361"/>
        <v>34</v>
      </c>
      <c r="C481" s="70">
        <f t="shared" si="362"/>
        <v>407</v>
      </c>
      <c r="D481" s="13">
        <f t="shared" si="331"/>
        <v>4.8675505653430484E-3</v>
      </c>
      <c r="E481" s="15">
        <f t="shared" si="332"/>
        <v>1</v>
      </c>
      <c r="F481" s="15">
        <f t="shared" si="363"/>
        <v>0</v>
      </c>
      <c r="G481" s="15">
        <f t="shared" si="333"/>
        <v>0</v>
      </c>
      <c r="H481" s="73">
        <f t="shared" si="334"/>
        <v>0</v>
      </c>
      <c r="I481" s="189"/>
      <c r="J481" s="189"/>
      <c r="K481" s="5">
        <f t="shared" si="376"/>
        <v>238884.68484496561</v>
      </c>
      <c r="M481" s="5">
        <f t="shared" si="335"/>
        <v>1162.7832827689083</v>
      </c>
      <c r="N481" s="5">
        <f t="shared" si="336"/>
        <v>-395.28044070117426</v>
      </c>
      <c r="O481" s="5">
        <f t="shared" si="337"/>
        <v>0</v>
      </c>
      <c r="P481" s="5">
        <f t="shared" si="338"/>
        <v>0</v>
      </c>
      <c r="Q481" s="5">
        <f t="shared" si="372"/>
        <v>0</v>
      </c>
      <c r="R481" s="5">
        <f t="shared" si="364"/>
        <v>0</v>
      </c>
      <c r="S481" s="5">
        <f t="shared" si="339"/>
        <v>0</v>
      </c>
      <c r="T481" s="5">
        <f t="shared" si="340"/>
        <v>0</v>
      </c>
      <c r="U481" s="74">
        <f t="shared" si="341"/>
        <v>0</v>
      </c>
      <c r="V481" s="75">
        <f t="shared" si="342"/>
        <v>0</v>
      </c>
      <c r="W481" s="5">
        <f t="shared" si="343"/>
        <v>0</v>
      </c>
      <c r="X481" s="5">
        <f t="shared" si="344"/>
        <v>239652.18768703335</v>
      </c>
      <c r="Y481" s="5">
        <f t="shared" si="365"/>
        <v>100000</v>
      </c>
      <c r="Z481" s="215">
        <f t="shared" si="345"/>
        <v>1</v>
      </c>
      <c r="AA481" s="216">
        <f t="shared" si="366"/>
        <v>0</v>
      </c>
      <c r="AB481" s="72">
        <f t="shared" si="373"/>
        <v>75146.698411840829</v>
      </c>
      <c r="AC481" s="72">
        <f t="shared" si="346"/>
        <v>0</v>
      </c>
      <c r="AD481" s="72">
        <f t="shared" si="347"/>
        <v>0</v>
      </c>
      <c r="AE481" s="72">
        <f t="shared" si="367"/>
        <v>-49.904799315208606</v>
      </c>
      <c r="AF481" s="70">
        <f t="shared" si="348"/>
        <v>0</v>
      </c>
      <c r="AG481" s="70">
        <f t="shared" si="349"/>
        <v>6476.8783057313558</v>
      </c>
      <c r="AH481" s="1">
        <f t="shared" si="379"/>
        <v>0</v>
      </c>
      <c r="AI481" s="1">
        <f t="shared" si="379"/>
        <v>0</v>
      </c>
      <c r="AJ481" s="1">
        <f t="shared" si="379"/>
        <v>0</v>
      </c>
      <c r="AK481" s="1">
        <f t="shared" si="379"/>
        <v>0</v>
      </c>
      <c r="AL481" s="1">
        <f t="shared" si="379"/>
        <v>0</v>
      </c>
      <c r="AM481" s="1">
        <f t="shared" si="379"/>
        <v>0</v>
      </c>
      <c r="AN481" s="1">
        <f t="shared" si="379"/>
        <v>0</v>
      </c>
      <c r="AO481" s="1">
        <f t="shared" si="379"/>
        <v>0</v>
      </c>
      <c r="AP481" s="1">
        <f t="shared" si="379"/>
        <v>0</v>
      </c>
      <c r="AQ481" s="1">
        <f t="shared" si="379"/>
        <v>0</v>
      </c>
      <c r="AR481" s="1">
        <f t="shared" si="379"/>
        <v>1</v>
      </c>
      <c r="AS481" s="1">
        <f t="shared" si="379"/>
        <v>1</v>
      </c>
      <c r="AT481" s="39">
        <f t="shared" si="350"/>
        <v>239652.18768703335</v>
      </c>
      <c r="AU481" s="39">
        <f t="shared" si="368"/>
        <v>239652.18768703335</v>
      </c>
      <c r="AV481" s="39">
        <f t="shared" si="378"/>
        <v>0</v>
      </c>
      <c r="AW481" s="3">
        <f t="shared" si="351"/>
        <v>407</v>
      </c>
      <c r="AX481" s="69">
        <f t="shared" si="369"/>
        <v>0</v>
      </c>
      <c r="AY481" s="75">
        <f t="shared" si="352"/>
        <v>0</v>
      </c>
      <c r="AZ481" s="75">
        <f t="shared" si="353"/>
        <v>0</v>
      </c>
      <c r="BA481" s="75">
        <f t="shared" si="354"/>
        <v>0</v>
      </c>
      <c r="BB481" s="75">
        <f t="shared" si="355"/>
        <v>0</v>
      </c>
      <c r="BD481" s="214">
        <f t="shared" si="370"/>
        <v>364119.4689556412</v>
      </c>
      <c r="BE481" s="214">
        <f t="shared" si="356"/>
        <v>1772.3699269674419</v>
      </c>
      <c r="BF481" s="214">
        <f t="shared" si="357"/>
        <v>-602.50536467029042</v>
      </c>
      <c r="BG481" s="224">
        <f t="shared" si="374"/>
        <v>0</v>
      </c>
      <c r="BH481" s="19">
        <f t="shared" si="371"/>
        <v>710948.62476528389</v>
      </c>
      <c r="BI481" s="214">
        <f t="shared" si="358"/>
        <v>3460.5783804061202</v>
      </c>
      <c r="BJ481" s="214">
        <f t="shared" si="359"/>
        <v>0</v>
      </c>
      <c r="BK481" s="19">
        <f t="shared" si="375"/>
        <v>0</v>
      </c>
    </row>
    <row r="482" spans="1:63">
      <c r="A482" s="165">
        <f t="shared" si="360"/>
        <v>95.972792607802873</v>
      </c>
      <c r="B482" s="69">
        <f t="shared" si="361"/>
        <v>34</v>
      </c>
      <c r="C482" s="70">
        <f t="shared" si="362"/>
        <v>408</v>
      </c>
      <c r="D482" s="13">
        <f t="shared" si="331"/>
        <v>4.8675505653430484E-3</v>
      </c>
      <c r="E482" s="15">
        <f t="shared" si="332"/>
        <v>1</v>
      </c>
      <c r="F482" s="15">
        <f t="shared" si="363"/>
        <v>0</v>
      </c>
      <c r="G482" s="15">
        <f t="shared" si="333"/>
        <v>0</v>
      </c>
      <c r="H482" s="73">
        <f t="shared" si="334"/>
        <v>0</v>
      </c>
      <c r="I482" s="189"/>
      <c r="J482" s="189"/>
      <c r="K482" s="5">
        <f t="shared" si="376"/>
        <v>239652.18768703335</v>
      </c>
      <c r="M482" s="5">
        <f t="shared" si="335"/>
        <v>1166.5191416617176</v>
      </c>
      <c r="N482" s="5">
        <f t="shared" si="336"/>
        <v>-396.55042107621938</v>
      </c>
      <c r="O482" s="5">
        <f t="shared" si="337"/>
        <v>0</v>
      </c>
      <c r="P482" s="5">
        <f t="shared" si="338"/>
        <v>0</v>
      </c>
      <c r="Q482" s="5">
        <f t="shared" si="372"/>
        <v>0</v>
      </c>
      <c r="R482" s="5">
        <f t="shared" si="364"/>
        <v>0</v>
      </c>
      <c r="S482" s="5">
        <f t="shared" si="339"/>
        <v>0</v>
      </c>
      <c r="T482" s="5">
        <f t="shared" si="340"/>
        <v>0</v>
      </c>
      <c r="U482" s="74">
        <f t="shared" si="341"/>
        <v>0</v>
      </c>
      <c r="V482" s="75">
        <f t="shared" si="342"/>
        <v>0</v>
      </c>
      <c r="W482" s="5">
        <f t="shared" si="343"/>
        <v>0</v>
      </c>
      <c r="X482" s="5">
        <f t="shared" si="344"/>
        <v>240422.15640761887</v>
      </c>
      <c r="Y482" s="5">
        <f t="shared" si="365"/>
        <v>100000</v>
      </c>
      <c r="Z482" s="215">
        <f t="shared" si="345"/>
        <v>1</v>
      </c>
      <c r="AA482" s="216">
        <f t="shared" si="366"/>
        <v>0</v>
      </c>
      <c r="AB482" s="72">
        <f t="shared" si="373"/>
        <v>75146.698411840829</v>
      </c>
      <c r="AC482" s="72">
        <f t="shared" si="346"/>
        <v>0</v>
      </c>
      <c r="AD482" s="72">
        <f t="shared" si="347"/>
        <v>0</v>
      </c>
      <c r="AE482" s="72">
        <f t="shared" si="367"/>
        <v>-50.065136405600569</v>
      </c>
      <c r="AF482" s="70">
        <f t="shared" si="348"/>
        <v>0</v>
      </c>
      <c r="AG482" s="70">
        <f t="shared" si="349"/>
        <v>6769.4664195538644</v>
      </c>
      <c r="AH482" s="1">
        <f t="shared" si="379"/>
        <v>0</v>
      </c>
      <c r="AI482" s="1">
        <f t="shared" si="379"/>
        <v>0</v>
      </c>
      <c r="AJ482" s="1">
        <f t="shared" si="379"/>
        <v>0</v>
      </c>
      <c r="AK482" s="1">
        <f t="shared" si="379"/>
        <v>0</v>
      </c>
      <c r="AL482" s="1">
        <f t="shared" si="379"/>
        <v>0</v>
      </c>
      <c r="AM482" s="1">
        <f t="shared" si="379"/>
        <v>0</v>
      </c>
      <c r="AN482" s="1">
        <f t="shared" si="379"/>
        <v>0</v>
      </c>
      <c r="AO482" s="1">
        <f t="shared" si="379"/>
        <v>0</v>
      </c>
      <c r="AP482" s="1">
        <f t="shared" si="379"/>
        <v>0</v>
      </c>
      <c r="AQ482" s="1">
        <f t="shared" si="379"/>
        <v>0</v>
      </c>
      <c r="AR482" s="1">
        <f t="shared" si="379"/>
        <v>1</v>
      </c>
      <c r="AS482" s="1">
        <f t="shared" si="379"/>
        <v>1</v>
      </c>
      <c r="AT482" s="39">
        <f t="shared" si="350"/>
        <v>240422.15640761887</v>
      </c>
      <c r="AU482" s="39">
        <f t="shared" si="368"/>
        <v>240422.15640761887</v>
      </c>
      <c r="AV482" s="39">
        <f t="shared" si="378"/>
        <v>0</v>
      </c>
      <c r="AW482" s="3">
        <f t="shared" si="351"/>
        <v>408</v>
      </c>
      <c r="AX482" s="69">
        <f t="shared" si="369"/>
        <v>0</v>
      </c>
      <c r="AY482" s="75">
        <f t="shared" si="352"/>
        <v>0</v>
      </c>
      <c r="AZ482" s="75">
        <f t="shared" si="353"/>
        <v>0</v>
      </c>
      <c r="BA482" s="75">
        <f t="shared" si="354"/>
        <v>0</v>
      </c>
      <c r="BB482" s="75">
        <f t="shared" si="355"/>
        <v>0</v>
      </c>
      <c r="BD482" s="214">
        <f t="shared" si="370"/>
        <v>365289.33351793833</v>
      </c>
      <c r="BE482" s="214">
        <f t="shared" si="356"/>
        <v>1778.0643018790261</v>
      </c>
      <c r="BF482" s="214">
        <f t="shared" si="357"/>
        <v>-604.44112953544118</v>
      </c>
      <c r="BG482" s="224">
        <f t="shared" si="374"/>
        <v>0</v>
      </c>
      <c r="BH482" s="19">
        <f t="shared" si="371"/>
        <v>714409.20314569003</v>
      </c>
      <c r="BI482" s="214">
        <f t="shared" si="358"/>
        <v>3477.4229206580803</v>
      </c>
      <c r="BJ482" s="214">
        <f t="shared" si="359"/>
        <v>0</v>
      </c>
      <c r="BK482" s="19">
        <f t="shared" si="375"/>
        <v>0</v>
      </c>
    </row>
    <row r="483" spans="1:63">
      <c r="A483" s="165">
        <f t="shared" si="360"/>
        <v>96.056125941136202</v>
      </c>
      <c r="B483" s="69">
        <f t="shared" si="361"/>
        <v>35</v>
      </c>
      <c r="C483" s="70">
        <f t="shared" si="362"/>
        <v>409</v>
      </c>
      <c r="D483" s="13">
        <f t="shared" si="331"/>
        <v>4.8675505653430484E-3</v>
      </c>
      <c r="E483" s="15">
        <f t="shared" si="332"/>
        <v>1</v>
      </c>
      <c r="F483" s="15">
        <f t="shared" si="363"/>
        <v>0</v>
      </c>
      <c r="G483" s="15">
        <f t="shared" si="333"/>
        <v>0</v>
      </c>
      <c r="H483" s="73">
        <f t="shared" si="334"/>
        <v>0</v>
      </c>
      <c r="I483" s="189"/>
      <c r="J483" s="189"/>
      <c r="K483" s="5">
        <f t="shared" si="376"/>
        <v>240422.15640761887</v>
      </c>
      <c r="M483" s="5">
        <f t="shared" si="335"/>
        <v>1170.2670033429001</v>
      </c>
      <c r="N483" s="5">
        <f t="shared" si="336"/>
        <v>-397.82448171931458</v>
      </c>
      <c r="O483" s="5">
        <f t="shared" si="337"/>
        <v>0</v>
      </c>
      <c r="P483" s="5">
        <f t="shared" si="338"/>
        <v>0</v>
      </c>
      <c r="Q483" s="5">
        <f t="shared" si="372"/>
        <v>0</v>
      </c>
      <c r="R483" s="5">
        <f t="shared" si="364"/>
        <v>0</v>
      </c>
      <c r="S483" s="5">
        <f t="shared" si="339"/>
        <v>0</v>
      </c>
      <c r="T483" s="5">
        <f t="shared" si="340"/>
        <v>0</v>
      </c>
      <c r="U483" s="74">
        <f t="shared" si="341"/>
        <v>0</v>
      </c>
      <c r="V483" s="75">
        <f t="shared" si="342"/>
        <v>0</v>
      </c>
      <c r="W483" s="5">
        <f t="shared" si="343"/>
        <v>0</v>
      </c>
      <c r="X483" s="5">
        <f t="shared" si="344"/>
        <v>241194.59892924243</v>
      </c>
      <c r="Y483" s="5">
        <f t="shared" si="365"/>
        <v>100000</v>
      </c>
      <c r="Z483" s="215">
        <f t="shared" si="345"/>
        <v>1</v>
      </c>
      <c r="AA483" s="216">
        <f t="shared" si="366"/>
        <v>0</v>
      </c>
      <c r="AB483" s="72">
        <f t="shared" si="373"/>
        <v>75146.698411840829</v>
      </c>
      <c r="AC483" s="72">
        <f t="shared" si="346"/>
        <v>0</v>
      </c>
      <c r="AD483" s="72">
        <f t="shared" si="347"/>
        <v>0</v>
      </c>
      <c r="AE483" s="72">
        <f t="shared" si="367"/>
        <v>-50.225988636478185</v>
      </c>
      <c r="AF483" s="70">
        <f t="shared" si="348"/>
        <v>0</v>
      </c>
      <c r="AG483" s="70">
        <f t="shared" si="349"/>
        <v>7062.9945777708199</v>
      </c>
      <c r="AH483" s="1">
        <f t="shared" si="379"/>
        <v>0</v>
      </c>
      <c r="AI483" s="1">
        <f t="shared" si="379"/>
        <v>0</v>
      </c>
      <c r="AJ483" s="1">
        <f t="shared" si="379"/>
        <v>0</v>
      </c>
      <c r="AK483" s="1">
        <f t="shared" si="379"/>
        <v>0</v>
      </c>
      <c r="AL483" s="1">
        <f t="shared" si="379"/>
        <v>0</v>
      </c>
      <c r="AM483" s="1">
        <f t="shared" si="379"/>
        <v>0</v>
      </c>
      <c r="AN483" s="1">
        <f t="shared" si="379"/>
        <v>0</v>
      </c>
      <c r="AO483" s="1">
        <f t="shared" si="379"/>
        <v>0</v>
      </c>
      <c r="AP483" s="1">
        <f t="shared" si="379"/>
        <v>0</v>
      </c>
      <c r="AQ483" s="1">
        <f t="shared" si="379"/>
        <v>0</v>
      </c>
      <c r="AR483" s="1">
        <f t="shared" si="379"/>
        <v>1</v>
      </c>
      <c r="AS483" s="1">
        <f t="shared" si="379"/>
        <v>1</v>
      </c>
      <c r="AT483" s="39">
        <f t="shared" si="350"/>
        <v>241194.59892924243</v>
      </c>
      <c r="AU483" s="39">
        <f t="shared" si="368"/>
        <v>241194.59892924243</v>
      </c>
      <c r="AV483" s="39">
        <f t="shared" si="378"/>
        <v>0</v>
      </c>
      <c r="AW483" s="3">
        <f t="shared" si="351"/>
        <v>409</v>
      </c>
      <c r="AX483" s="69">
        <f t="shared" si="369"/>
        <v>0</v>
      </c>
      <c r="AY483" s="75">
        <f t="shared" si="352"/>
        <v>0</v>
      </c>
      <c r="AZ483" s="75">
        <f t="shared" si="353"/>
        <v>0</v>
      </c>
      <c r="BA483" s="75">
        <f t="shared" si="354"/>
        <v>0</v>
      </c>
      <c r="BB483" s="75">
        <f t="shared" si="355"/>
        <v>0</v>
      </c>
      <c r="BD483" s="214">
        <f t="shared" si="370"/>
        <v>366462.95669028192</v>
      </c>
      <c r="BE483" s="214">
        <f t="shared" si="356"/>
        <v>1783.7769720150668</v>
      </c>
      <c r="BF483" s="214">
        <f t="shared" si="357"/>
        <v>-606.38311374042337</v>
      </c>
      <c r="BG483" s="224">
        <f t="shared" si="374"/>
        <v>0</v>
      </c>
      <c r="BH483" s="19">
        <f t="shared" si="371"/>
        <v>717886.62606634817</v>
      </c>
      <c r="BI483" s="214">
        <f t="shared" si="358"/>
        <v>3494.3494525614665</v>
      </c>
      <c r="BJ483" s="214">
        <f t="shared" si="359"/>
        <v>0</v>
      </c>
      <c r="BK483" s="19">
        <f t="shared" si="375"/>
        <v>0</v>
      </c>
    </row>
    <row r="484" spans="1:63">
      <c r="A484" s="165">
        <f t="shared" si="360"/>
        <v>96.139459274469544</v>
      </c>
      <c r="B484" s="69">
        <f t="shared" si="361"/>
        <v>35</v>
      </c>
      <c r="C484" s="70">
        <f t="shared" si="362"/>
        <v>410</v>
      </c>
      <c r="D484" s="13">
        <f t="shared" si="331"/>
        <v>4.8675505653430484E-3</v>
      </c>
      <c r="E484" s="15">
        <f t="shared" si="332"/>
        <v>1</v>
      </c>
      <c r="F484" s="15">
        <f t="shared" si="363"/>
        <v>0</v>
      </c>
      <c r="G484" s="15">
        <f t="shared" si="333"/>
        <v>0</v>
      </c>
      <c r="H484" s="73">
        <f t="shared" si="334"/>
        <v>0</v>
      </c>
      <c r="I484" s="189"/>
      <c r="J484" s="189"/>
      <c r="K484" s="5">
        <f t="shared" si="376"/>
        <v>241194.59892924243</v>
      </c>
      <c r="M484" s="5">
        <f t="shared" si="335"/>
        <v>1174.0269063757239</v>
      </c>
      <c r="N484" s="5">
        <f t="shared" si="336"/>
        <v>-399.10263573978614</v>
      </c>
      <c r="O484" s="5">
        <f t="shared" si="337"/>
        <v>0</v>
      </c>
      <c r="P484" s="5">
        <f t="shared" si="338"/>
        <v>0</v>
      </c>
      <c r="Q484" s="5">
        <f t="shared" si="372"/>
        <v>0</v>
      </c>
      <c r="R484" s="5">
        <f t="shared" si="364"/>
        <v>0</v>
      </c>
      <c r="S484" s="5">
        <f t="shared" si="339"/>
        <v>0</v>
      </c>
      <c r="T484" s="5">
        <f t="shared" si="340"/>
        <v>0</v>
      </c>
      <c r="U484" s="74">
        <f t="shared" si="341"/>
        <v>0</v>
      </c>
      <c r="V484" s="75">
        <f t="shared" si="342"/>
        <v>0</v>
      </c>
      <c r="W484" s="5">
        <f t="shared" si="343"/>
        <v>0</v>
      </c>
      <c r="X484" s="5">
        <f t="shared" si="344"/>
        <v>241969.52319987837</v>
      </c>
      <c r="Y484" s="5">
        <f t="shared" si="365"/>
        <v>100000</v>
      </c>
      <c r="Z484" s="215">
        <f t="shared" si="345"/>
        <v>1</v>
      </c>
      <c r="AA484" s="216">
        <f t="shared" si="366"/>
        <v>0</v>
      </c>
      <c r="AB484" s="72">
        <f t="shared" si="373"/>
        <v>75146.698411840829</v>
      </c>
      <c r="AC484" s="72">
        <f t="shared" si="346"/>
        <v>0</v>
      </c>
      <c r="AD484" s="72">
        <f t="shared" si="347"/>
        <v>0</v>
      </c>
      <c r="AE484" s="72">
        <f t="shared" si="367"/>
        <v>-50.38735766291525</v>
      </c>
      <c r="AF484" s="70">
        <f t="shared" si="348"/>
        <v>0</v>
      </c>
      <c r="AG484" s="70">
        <f t="shared" si="349"/>
        <v>7357.465800612481</v>
      </c>
      <c r="AH484" s="1">
        <f t="shared" si="379"/>
        <v>0</v>
      </c>
      <c r="AI484" s="1">
        <f t="shared" si="379"/>
        <v>0</v>
      </c>
      <c r="AJ484" s="1">
        <f t="shared" si="379"/>
        <v>0</v>
      </c>
      <c r="AK484" s="1">
        <f t="shared" si="379"/>
        <v>0</v>
      </c>
      <c r="AL484" s="1">
        <f t="shared" si="379"/>
        <v>0</v>
      </c>
      <c r="AM484" s="1">
        <f t="shared" si="379"/>
        <v>0</v>
      </c>
      <c r="AN484" s="1">
        <f t="shared" si="379"/>
        <v>0</v>
      </c>
      <c r="AO484" s="1">
        <f t="shared" si="379"/>
        <v>0</v>
      </c>
      <c r="AP484" s="1">
        <f t="shared" si="379"/>
        <v>0</v>
      </c>
      <c r="AQ484" s="1">
        <f t="shared" si="379"/>
        <v>0</v>
      </c>
      <c r="AR484" s="1">
        <f t="shared" si="379"/>
        <v>1</v>
      </c>
      <c r="AS484" s="1">
        <f t="shared" si="379"/>
        <v>1</v>
      </c>
      <c r="AT484" s="39">
        <f t="shared" si="350"/>
        <v>241969.52319987837</v>
      </c>
      <c r="AU484" s="39">
        <f t="shared" si="368"/>
        <v>241969.52319987837</v>
      </c>
      <c r="AV484" s="39">
        <f t="shared" si="378"/>
        <v>0</v>
      </c>
      <c r="AW484" s="3">
        <f t="shared" si="351"/>
        <v>410</v>
      </c>
      <c r="AX484" s="69">
        <f t="shared" si="369"/>
        <v>0</v>
      </c>
      <c r="AY484" s="75">
        <f t="shared" si="352"/>
        <v>0</v>
      </c>
      <c r="AZ484" s="75">
        <f t="shared" si="353"/>
        <v>0</v>
      </c>
      <c r="BA484" s="75">
        <f t="shared" si="354"/>
        <v>0</v>
      </c>
      <c r="BB484" s="75">
        <f t="shared" si="355"/>
        <v>0</v>
      </c>
      <c r="BD484" s="214">
        <f t="shared" si="370"/>
        <v>367640.35054855654</v>
      </c>
      <c r="BE484" s="214">
        <f t="shared" si="356"/>
        <v>1789.507996155543</v>
      </c>
      <c r="BF484" s="214">
        <f t="shared" si="357"/>
        <v>-608.3313372670998</v>
      </c>
      <c r="BG484" s="224">
        <f t="shared" si="374"/>
        <v>0</v>
      </c>
      <c r="BH484" s="19">
        <f t="shared" si="371"/>
        <v>721380.97551890963</v>
      </c>
      <c r="BI484" s="214">
        <f t="shared" si="358"/>
        <v>3511.3583752147883</v>
      </c>
      <c r="BJ484" s="214">
        <f t="shared" si="359"/>
        <v>0</v>
      </c>
      <c r="BK484" s="19">
        <f t="shared" si="375"/>
        <v>0</v>
      </c>
    </row>
    <row r="485" spans="1:63">
      <c r="A485" s="165">
        <f t="shared" si="360"/>
        <v>96.222792607802873</v>
      </c>
      <c r="B485" s="69">
        <f t="shared" si="361"/>
        <v>35</v>
      </c>
      <c r="C485" s="70">
        <f t="shared" si="362"/>
        <v>411</v>
      </c>
      <c r="D485" s="13">
        <f t="shared" si="331"/>
        <v>4.8675505653430484E-3</v>
      </c>
      <c r="E485" s="15">
        <f t="shared" si="332"/>
        <v>1</v>
      </c>
      <c r="F485" s="15">
        <f t="shared" si="363"/>
        <v>0</v>
      </c>
      <c r="G485" s="15">
        <f t="shared" si="333"/>
        <v>0</v>
      </c>
      <c r="H485" s="73">
        <f t="shared" si="334"/>
        <v>0</v>
      </c>
      <c r="I485" s="189"/>
      <c r="J485" s="189"/>
      <c r="K485" s="5">
        <f t="shared" si="376"/>
        <v>241969.52319987837</v>
      </c>
      <c r="M485" s="5">
        <f t="shared" si="335"/>
        <v>1177.7988894473558</v>
      </c>
      <c r="N485" s="5">
        <f t="shared" si="336"/>
        <v>-400.38489628907922</v>
      </c>
      <c r="O485" s="5">
        <f t="shared" si="337"/>
        <v>0</v>
      </c>
      <c r="P485" s="5">
        <f t="shared" si="338"/>
        <v>0</v>
      </c>
      <c r="Q485" s="5">
        <f t="shared" si="372"/>
        <v>0</v>
      </c>
      <c r="R485" s="5">
        <f t="shared" si="364"/>
        <v>0</v>
      </c>
      <c r="S485" s="5">
        <f t="shared" si="339"/>
        <v>0</v>
      </c>
      <c r="T485" s="5">
        <f t="shared" si="340"/>
        <v>0</v>
      </c>
      <c r="U485" s="74">
        <f t="shared" si="341"/>
        <v>0</v>
      </c>
      <c r="V485" s="75">
        <f t="shared" si="342"/>
        <v>0</v>
      </c>
      <c r="W485" s="5">
        <f t="shared" si="343"/>
        <v>0</v>
      </c>
      <c r="X485" s="5">
        <f t="shared" si="344"/>
        <v>242746.93719303663</v>
      </c>
      <c r="Y485" s="5">
        <f t="shared" si="365"/>
        <v>100000</v>
      </c>
      <c r="Z485" s="215">
        <f t="shared" si="345"/>
        <v>1</v>
      </c>
      <c r="AA485" s="216">
        <f t="shared" si="366"/>
        <v>0</v>
      </c>
      <c r="AB485" s="72">
        <f t="shared" si="373"/>
        <v>75146.698411840829</v>
      </c>
      <c r="AC485" s="72">
        <f t="shared" si="346"/>
        <v>0</v>
      </c>
      <c r="AD485" s="72">
        <f t="shared" si="347"/>
        <v>0</v>
      </c>
      <c r="AE485" s="72">
        <f t="shared" si="367"/>
        <v>-50.549245145303118</v>
      </c>
      <c r="AF485" s="70">
        <f t="shared" si="348"/>
        <v>0</v>
      </c>
      <c r="AG485" s="70">
        <f t="shared" si="349"/>
        <v>7652.8831180126144</v>
      </c>
      <c r="AH485" s="1">
        <f t="shared" ref="AH485:AS494" si="380">IF($B485&lt;=AH$74,1,0)</f>
        <v>0</v>
      </c>
      <c r="AI485" s="1">
        <f t="shared" si="380"/>
        <v>0</v>
      </c>
      <c r="AJ485" s="1">
        <f t="shared" si="380"/>
        <v>0</v>
      </c>
      <c r="AK485" s="1">
        <f t="shared" si="380"/>
        <v>0</v>
      </c>
      <c r="AL485" s="1">
        <f t="shared" si="380"/>
        <v>0</v>
      </c>
      <c r="AM485" s="1">
        <f t="shared" si="380"/>
        <v>0</v>
      </c>
      <c r="AN485" s="1">
        <f t="shared" si="380"/>
        <v>0</v>
      </c>
      <c r="AO485" s="1">
        <f t="shared" si="380"/>
        <v>0</v>
      </c>
      <c r="AP485" s="1">
        <f t="shared" si="380"/>
        <v>0</v>
      </c>
      <c r="AQ485" s="1">
        <f t="shared" si="380"/>
        <v>0</v>
      </c>
      <c r="AR485" s="1">
        <f t="shared" si="380"/>
        <v>1</v>
      </c>
      <c r="AS485" s="1">
        <f t="shared" si="380"/>
        <v>1</v>
      </c>
      <c r="AT485" s="39">
        <f t="shared" si="350"/>
        <v>242746.93719303663</v>
      </c>
      <c r="AU485" s="39">
        <f t="shared" si="368"/>
        <v>242746.93719303663</v>
      </c>
      <c r="AV485" s="39">
        <f t="shared" si="378"/>
        <v>0</v>
      </c>
      <c r="AW485" s="3">
        <f t="shared" si="351"/>
        <v>411</v>
      </c>
      <c r="AX485" s="69">
        <f t="shared" si="369"/>
        <v>0</v>
      </c>
      <c r="AY485" s="75">
        <f t="shared" si="352"/>
        <v>0</v>
      </c>
      <c r="AZ485" s="75">
        <f t="shared" si="353"/>
        <v>0</v>
      </c>
      <c r="BA485" s="75">
        <f t="shared" si="354"/>
        <v>0</v>
      </c>
      <c r="BB485" s="75">
        <f t="shared" si="355"/>
        <v>0</v>
      </c>
      <c r="BD485" s="214">
        <f t="shared" si="370"/>
        <v>368821.52720744495</v>
      </c>
      <c r="BE485" s="214">
        <f t="shared" si="356"/>
        <v>1795.2574332692852</v>
      </c>
      <c r="BF485" s="214">
        <f t="shared" si="357"/>
        <v>-610.28582016153223</v>
      </c>
      <c r="BG485" s="224">
        <f t="shared" si="374"/>
        <v>0</v>
      </c>
      <c r="BH485" s="19">
        <f t="shared" si="371"/>
        <v>724892.33389412437</v>
      </c>
      <c r="BI485" s="214">
        <f t="shared" si="358"/>
        <v>3528.4500896591867</v>
      </c>
      <c r="BJ485" s="214">
        <f t="shared" si="359"/>
        <v>0</v>
      </c>
      <c r="BK485" s="19">
        <f t="shared" si="375"/>
        <v>0</v>
      </c>
    </row>
    <row r="486" spans="1:63">
      <c r="A486" s="165">
        <f t="shared" si="360"/>
        <v>96.306125941136202</v>
      </c>
      <c r="B486" s="69">
        <f t="shared" si="361"/>
        <v>35</v>
      </c>
      <c r="C486" s="70">
        <f t="shared" si="362"/>
        <v>412</v>
      </c>
      <c r="D486" s="13">
        <f t="shared" si="331"/>
        <v>4.8675505653430484E-3</v>
      </c>
      <c r="E486" s="15">
        <f t="shared" si="332"/>
        <v>1</v>
      </c>
      <c r="F486" s="15">
        <f t="shared" si="363"/>
        <v>0</v>
      </c>
      <c r="G486" s="15">
        <f t="shared" si="333"/>
        <v>0</v>
      </c>
      <c r="H486" s="73">
        <f t="shared" si="334"/>
        <v>0</v>
      </c>
      <c r="I486" s="189"/>
      <c r="J486" s="189"/>
      <c r="K486" s="5">
        <f t="shared" si="376"/>
        <v>242746.93719303663</v>
      </c>
      <c r="M486" s="5">
        <f t="shared" si="335"/>
        <v>1181.5829913692589</v>
      </c>
      <c r="N486" s="5">
        <f t="shared" si="336"/>
        <v>-401.67127656089235</v>
      </c>
      <c r="O486" s="5">
        <f t="shared" si="337"/>
        <v>0</v>
      </c>
      <c r="P486" s="5">
        <f t="shared" si="338"/>
        <v>0</v>
      </c>
      <c r="Q486" s="5">
        <f t="shared" si="372"/>
        <v>0</v>
      </c>
      <c r="R486" s="5">
        <f t="shared" si="364"/>
        <v>0</v>
      </c>
      <c r="S486" s="5">
        <f t="shared" si="339"/>
        <v>0</v>
      </c>
      <c r="T486" s="5">
        <f t="shared" si="340"/>
        <v>0</v>
      </c>
      <c r="U486" s="74">
        <f t="shared" si="341"/>
        <v>0</v>
      </c>
      <c r="V486" s="75">
        <f t="shared" si="342"/>
        <v>0</v>
      </c>
      <c r="W486" s="5">
        <f t="shared" si="343"/>
        <v>0</v>
      </c>
      <c r="X486" s="5">
        <f t="shared" si="344"/>
        <v>243526.84890784501</v>
      </c>
      <c r="Y486" s="5">
        <f t="shared" si="365"/>
        <v>100000</v>
      </c>
      <c r="Z486" s="215">
        <f t="shared" si="345"/>
        <v>1</v>
      </c>
      <c r="AA486" s="216">
        <f t="shared" si="366"/>
        <v>0</v>
      </c>
      <c r="AB486" s="72">
        <f t="shared" si="373"/>
        <v>75146.698411840829</v>
      </c>
      <c r="AC486" s="72">
        <f t="shared" si="346"/>
        <v>0</v>
      </c>
      <c r="AD486" s="72">
        <f t="shared" si="347"/>
        <v>0</v>
      </c>
      <c r="AE486" s="72">
        <f t="shared" si="367"/>
        <v>-50.711652749367722</v>
      </c>
      <c r="AF486" s="70">
        <f t="shared" si="348"/>
        <v>0</v>
      </c>
      <c r="AG486" s="70">
        <f t="shared" si="349"/>
        <v>7949.2495696397818</v>
      </c>
      <c r="AH486" s="1">
        <f t="shared" si="380"/>
        <v>0</v>
      </c>
      <c r="AI486" s="1">
        <f t="shared" si="380"/>
        <v>0</v>
      </c>
      <c r="AJ486" s="1">
        <f t="shared" si="380"/>
        <v>0</v>
      </c>
      <c r="AK486" s="1">
        <f t="shared" si="380"/>
        <v>0</v>
      </c>
      <c r="AL486" s="1">
        <f t="shared" si="380"/>
        <v>0</v>
      </c>
      <c r="AM486" s="1">
        <f t="shared" si="380"/>
        <v>0</v>
      </c>
      <c r="AN486" s="1">
        <f t="shared" si="380"/>
        <v>0</v>
      </c>
      <c r="AO486" s="1">
        <f t="shared" si="380"/>
        <v>0</v>
      </c>
      <c r="AP486" s="1">
        <f t="shared" si="380"/>
        <v>0</v>
      </c>
      <c r="AQ486" s="1">
        <f t="shared" si="380"/>
        <v>0</v>
      </c>
      <c r="AR486" s="1">
        <f t="shared" si="380"/>
        <v>1</v>
      </c>
      <c r="AS486" s="1">
        <f t="shared" si="380"/>
        <v>1</v>
      </c>
      <c r="AT486" s="39">
        <f t="shared" si="350"/>
        <v>243526.84890784501</v>
      </c>
      <c r="AU486" s="39">
        <f t="shared" si="368"/>
        <v>243526.84890784501</v>
      </c>
      <c r="AV486" s="39">
        <f t="shared" si="378"/>
        <v>0</v>
      </c>
      <c r="AW486" s="3">
        <f t="shared" si="351"/>
        <v>412</v>
      </c>
      <c r="AX486" s="69">
        <f t="shared" si="369"/>
        <v>0</v>
      </c>
      <c r="AY486" s="75">
        <f t="shared" si="352"/>
        <v>0</v>
      </c>
      <c r="AZ486" s="75">
        <f t="shared" si="353"/>
        <v>0</v>
      </c>
      <c r="BA486" s="75">
        <f t="shared" si="354"/>
        <v>0</v>
      </c>
      <c r="BB486" s="75">
        <f t="shared" si="355"/>
        <v>0</v>
      </c>
      <c r="BD486" s="214">
        <f t="shared" si="370"/>
        <v>370006.49882055272</v>
      </c>
      <c r="BE486" s="214">
        <f t="shared" si="356"/>
        <v>1801.0253425145834</v>
      </c>
      <c r="BF486" s="214">
        <f t="shared" si="357"/>
        <v>-612.2465825341875</v>
      </c>
      <c r="BG486" s="224">
        <f t="shared" si="374"/>
        <v>0</v>
      </c>
      <c r="BH486" s="19">
        <f t="shared" si="371"/>
        <v>728420.78398378356</v>
      </c>
      <c r="BI486" s="214">
        <f t="shared" si="358"/>
        <v>3545.6249988878922</v>
      </c>
      <c r="BJ486" s="214">
        <f t="shared" si="359"/>
        <v>0</v>
      </c>
      <c r="BK486" s="19">
        <f t="shared" si="375"/>
        <v>0</v>
      </c>
    </row>
    <row r="487" spans="1:63">
      <c r="A487" s="165">
        <f t="shared" si="360"/>
        <v>96.389459274469544</v>
      </c>
      <c r="B487" s="69">
        <f t="shared" si="361"/>
        <v>35</v>
      </c>
      <c r="C487" s="70">
        <f t="shared" si="362"/>
        <v>413</v>
      </c>
      <c r="D487" s="13">
        <f t="shared" si="331"/>
        <v>4.8675505653430484E-3</v>
      </c>
      <c r="E487" s="15">
        <f t="shared" si="332"/>
        <v>1</v>
      </c>
      <c r="F487" s="15">
        <f t="shared" si="363"/>
        <v>0</v>
      </c>
      <c r="G487" s="15">
        <f t="shared" si="333"/>
        <v>0</v>
      </c>
      <c r="H487" s="73">
        <f t="shared" si="334"/>
        <v>0</v>
      </c>
      <c r="I487" s="189"/>
      <c r="J487" s="189"/>
      <c r="K487" s="5">
        <f t="shared" si="376"/>
        <v>243526.84890784501</v>
      </c>
      <c r="M487" s="5">
        <f t="shared" si="335"/>
        <v>1185.379251077592</v>
      </c>
      <c r="N487" s="5">
        <f t="shared" si="336"/>
        <v>-402.96178979131372</v>
      </c>
      <c r="O487" s="5">
        <f t="shared" si="337"/>
        <v>0</v>
      </c>
      <c r="P487" s="5">
        <f t="shared" si="338"/>
        <v>0</v>
      </c>
      <c r="Q487" s="5">
        <f t="shared" si="372"/>
        <v>0</v>
      </c>
      <c r="R487" s="5">
        <f t="shared" si="364"/>
        <v>0</v>
      </c>
      <c r="S487" s="5">
        <f t="shared" si="339"/>
        <v>0</v>
      </c>
      <c r="T487" s="5">
        <f t="shared" si="340"/>
        <v>0</v>
      </c>
      <c r="U487" s="74">
        <f t="shared" si="341"/>
        <v>0</v>
      </c>
      <c r="V487" s="75">
        <f t="shared" si="342"/>
        <v>0</v>
      </c>
      <c r="W487" s="5">
        <f t="shared" si="343"/>
        <v>0</v>
      </c>
      <c r="X487" s="5">
        <f t="shared" si="344"/>
        <v>244309.26636913128</v>
      </c>
      <c r="Y487" s="5">
        <f t="shared" si="365"/>
        <v>100000</v>
      </c>
      <c r="Z487" s="215">
        <f t="shared" si="345"/>
        <v>1</v>
      </c>
      <c r="AA487" s="216">
        <f t="shared" si="366"/>
        <v>0</v>
      </c>
      <c r="AB487" s="72">
        <f t="shared" si="373"/>
        <v>75146.698411840829</v>
      </c>
      <c r="AC487" s="72">
        <f t="shared" si="346"/>
        <v>0</v>
      </c>
      <c r="AD487" s="72">
        <f t="shared" si="347"/>
        <v>0</v>
      </c>
      <c r="AE487" s="72">
        <f t="shared" si="367"/>
        <v>-50.874582146186746</v>
      </c>
      <c r="AF487" s="70">
        <f t="shared" si="348"/>
        <v>0</v>
      </c>
      <c r="AG487" s="70">
        <f t="shared" si="349"/>
        <v>8246.5682049285679</v>
      </c>
      <c r="AH487" s="1">
        <f t="shared" si="380"/>
        <v>0</v>
      </c>
      <c r="AI487" s="1">
        <f t="shared" si="380"/>
        <v>0</v>
      </c>
      <c r="AJ487" s="1">
        <f t="shared" si="380"/>
        <v>0</v>
      </c>
      <c r="AK487" s="1">
        <f t="shared" si="380"/>
        <v>0</v>
      </c>
      <c r="AL487" s="1">
        <f t="shared" si="380"/>
        <v>0</v>
      </c>
      <c r="AM487" s="1">
        <f t="shared" si="380"/>
        <v>0</v>
      </c>
      <c r="AN487" s="1">
        <f t="shared" si="380"/>
        <v>0</v>
      </c>
      <c r="AO487" s="1">
        <f t="shared" si="380"/>
        <v>0</v>
      </c>
      <c r="AP487" s="1">
        <f t="shared" si="380"/>
        <v>0</v>
      </c>
      <c r="AQ487" s="1">
        <f t="shared" si="380"/>
        <v>0</v>
      </c>
      <c r="AR487" s="1">
        <f t="shared" si="380"/>
        <v>1</v>
      </c>
      <c r="AS487" s="1">
        <f t="shared" si="380"/>
        <v>1</v>
      </c>
      <c r="AT487" s="39">
        <f t="shared" si="350"/>
        <v>244309.26636913128</v>
      </c>
      <c r="AU487" s="39">
        <f t="shared" si="368"/>
        <v>244309.26636913128</v>
      </c>
      <c r="AV487" s="39">
        <f t="shared" si="378"/>
        <v>0</v>
      </c>
      <c r="AW487" s="3">
        <f t="shared" si="351"/>
        <v>413</v>
      </c>
      <c r="AX487" s="69">
        <f t="shared" si="369"/>
        <v>0</v>
      </c>
      <c r="AY487" s="75">
        <f t="shared" si="352"/>
        <v>0</v>
      </c>
      <c r="AZ487" s="75">
        <f t="shared" si="353"/>
        <v>0</v>
      </c>
      <c r="BA487" s="75">
        <f t="shared" si="354"/>
        <v>0</v>
      </c>
      <c r="BB487" s="75">
        <f t="shared" si="355"/>
        <v>0</v>
      </c>
      <c r="BD487" s="214">
        <f t="shared" si="370"/>
        <v>371195.27758053312</v>
      </c>
      <c r="BE487" s="214">
        <f t="shared" si="356"/>
        <v>1806.8117832397938</v>
      </c>
      <c r="BF487" s="214">
        <f t="shared" si="357"/>
        <v>-614.21364456014453</v>
      </c>
      <c r="BG487" s="224">
        <f t="shared" si="374"/>
        <v>0</v>
      </c>
      <c r="BH487" s="19">
        <f t="shared" si="371"/>
        <v>731966.40898267145</v>
      </c>
      <c r="BI487" s="214">
        <f t="shared" si="358"/>
        <v>3562.8835078557236</v>
      </c>
      <c r="BJ487" s="214">
        <f t="shared" si="359"/>
        <v>0</v>
      </c>
      <c r="BK487" s="19">
        <f t="shared" si="375"/>
        <v>0</v>
      </c>
    </row>
    <row r="488" spans="1:63">
      <c r="A488" s="165">
        <f t="shared" si="360"/>
        <v>96.472792607802873</v>
      </c>
      <c r="B488" s="69">
        <f t="shared" si="361"/>
        <v>35</v>
      </c>
      <c r="C488" s="70">
        <f t="shared" si="362"/>
        <v>414</v>
      </c>
      <c r="D488" s="13">
        <f t="shared" si="331"/>
        <v>4.8675505653430484E-3</v>
      </c>
      <c r="E488" s="15">
        <f t="shared" si="332"/>
        <v>1</v>
      </c>
      <c r="F488" s="15">
        <f t="shared" si="363"/>
        <v>0</v>
      </c>
      <c r="G488" s="15">
        <f t="shared" si="333"/>
        <v>0</v>
      </c>
      <c r="H488" s="73">
        <f t="shared" si="334"/>
        <v>0</v>
      </c>
      <c r="I488" s="189"/>
      <c r="J488" s="189"/>
      <c r="K488" s="5">
        <f t="shared" si="376"/>
        <v>244309.26636913128</v>
      </c>
      <c r="M488" s="5">
        <f t="shared" si="335"/>
        <v>1189.1877076336104</v>
      </c>
      <c r="N488" s="5">
        <f t="shared" si="336"/>
        <v>-404.25644925895705</v>
      </c>
      <c r="O488" s="5">
        <f t="shared" si="337"/>
        <v>0</v>
      </c>
      <c r="P488" s="5">
        <f t="shared" si="338"/>
        <v>0</v>
      </c>
      <c r="Q488" s="5">
        <f t="shared" si="372"/>
        <v>0</v>
      </c>
      <c r="R488" s="5">
        <f t="shared" si="364"/>
        <v>0</v>
      </c>
      <c r="S488" s="5">
        <f t="shared" si="339"/>
        <v>0</v>
      </c>
      <c r="T488" s="5">
        <f t="shared" si="340"/>
        <v>0</v>
      </c>
      <c r="U488" s="74">
        <f t="shared" si="341"/>
        <v>0</v>
      </c>
      <c r="V488" s="75">
        <f t="shared" si="342"/>
        <v>0</v>
      </c>
      <c r="W488" s="5">
        <f t="shared" si="343"/>
        <v>0</v>
      </c>
      <c r="X488" s="5">
        <f t="shared" si="344"/>
        <v>245094.19762750596</v>
      </c>
      <c r="Y488" s="5">
        <f t="shared" si="365"/>
        <v>100000</v>
      </c>
      <c r="Z488" s="215">
        <f t="shared" si="345"/>
        <v>1</v>
      </c>
      <c r="AA488" s="216">
        <f t="shared" si="366"/>
        <v>0</v>
      </c>
      <c r="AB488" s="72">
        <f t="shared" si="373"/>
        <v>75146.698411840829</v>
      </c>
      <c r="AC488" s="72">
        <f t="shared" si="346"/>
        <v>0</v>
      </c>
      <c r="AD488" s="72">
        <f t="shared" si="347"/>
        <v>0</v>
      </c>
      <c r="AE488" s="72">
        <f t="shared" si="367"/>
        <v>-51.038035012206791</v>
      </c>
      <c r="AF488" s="70">
        <f t="shared" si="348"/>
        <v>0</v>
      </c>
      <c r="AG488" s="70">
        <f t="shared" si="349"/>
        <v>8544.8420831109688</v>
      </c>
      <c r="AH488" s="1">
        <f t="shared" si="380"/>
        <v>0</v>
      </c>
      <c r="AI488" s="1">
        <f t="shared" si="380"/>
        <v>0</v>
      </c>
      <c r="AJ488" s="1">
        <f t="shared" si="380"/>
        <v>0</v>
      </c>
      <c r="AK488" s="1">
        <f t="shared" si="380"/>
        <v>0</v>
      </c>
      <c r="AL488" s="1">
        <f t="shared" si="380"/>
        <v>0</v>
      </c>
      <c r="AM488" s="1">
        <f t="shared" si="380"/>
        <v>0</v>
      </c>
      <c r="AN488" s="1">
        <f t="shared" si="380"/>
        <v>0</v>
      </c>
      <c r="AO488" s="1">
        <f t="shared" si="380"/>
        <v>0</v>
      </c>
      <c r="AP488" s="1">
        <f t="shared" si="380"/>
        <v>0</v>
      </c>
      <c r="AQ488" s="1">
        <f t="shared" si="380"/>
        <v>0</v>
      </c>
      <c r="AR488" s="1">
        <f t="shared" si="380"/>
        <v>1</v>
      </c>
      <c r="AS488" s="1">
        <f t="shared" si="380"/>
        <v>1</v>
      </c>
      <c r="AT488" s="39">
        <f t="shared" si="350"/>
        <v>245094.19762750596</v>
      </c>
      <c r="AU488" s="39">
        <f t="shared" si="368"/>
        <v>245094.19762750596</v>
      </c>
      <c r="AV488" s="39">
        <f t="shared" si="378"/>
        <v>0</v>
      </c>
      <c r="AW488" s="3">
        <f t="shared" si="351"/>
        <v>414</v>
      </c>
      <c r="AX488" s="69">
        <f t="shared" si="369"/>
        <v>0</v>
      </c>
      <c r="AY488" s="75">
        <f t="shared" si="352"/>
        <v>0</v>
      </c>
      <c r="AZ488" s="75">
        <f t="shared" si="353"/>
        <v>0</v>
      </c>
      <c r="BA488" s="75">
        <f t="shared" si="354"/>
        <v>0</v>
      </c>
      <c r="BB488" s="75">
        <f t="shared" si="355"/>
        <v>0</v>
      </c>
      <c r="BD488" s="214">
        <f t="shared" si="370"/>
        <v>372387.87571921275</v>
      </c>
      <c r="BE488" s="214">
        <f t="shared" si="356"/>
        <v>1812.6168149839509</v>
      </c>
      <c r="BF488" s="214">
        <f t="shared" si="357"/>
        <v>-616.18702647930206</v>
      </c>
      <c r="BG488" s="224">
        <f t="shared" si="374"/>
        <v>0</v>
      </c>
      <c r="BH488" s="19">
        <f t="shared" si="371"/>
        <v>735529.29249052715</v>
      </c>
      <c r="BI488" s="214">
        <f t="shared" si="358"/>
        <v>3580.226023488638</v>
      </c>
      <c r="BJ488" s="214">
        <f t="shared" si="359"/>
        <v>0</v>
      </c>
      <c r="BK488" s="19">
        <f t="shared" si="375"/>
        <v>0</v>
      </c>
    </row>
    <row r="489" spans="1:63">
      <c r="A489" s="165">
        <f t="shared" si="360"/>
        <v>96.556125941136202</v>
      </c>
      <c r="B489" s="69">
        <f t="shared" si="361"/>
        <v>35</v>
      </c>
      <c r="C489" s="70">
        <f t="shared" si="362"/>
        <v>415</v>
      </c>
      <c r="D489" s="13">
        <f t="shared" si="331"/>
        <v>4.8675505653430484E-3</v>
      </c>
      <c r="E489" s="15">
        <f t="shared" si="332"/>
        <v>1</v>
      </c>
      <c r="F489" s="15">
        <f t="shared" si="363"/>
        <v>0</v>
      </c>
      <c r="G489" s="15">
        <f t="shared" si="333"/>
        <v>0</v>
      </c>
      <c r="H489" s="73">
        <f t="shared" si="334"/>
        <v>0</v>
      </c>
      <c r="I489" s="189"/>
      <c r="J489" s="189"/>
      <c r="K489" s="5">
        <f t="shared" si="376"/>
        <v>245094.19762750596</v>
      </c>
      <c r="M489" s="5">
        <f t="shared" si="335"/>
        <v>1193.0084002240674</v>
      </c>
      <c r="N489" s="5">
        <f t="shared" si="336"/>
        <v>-405.55526828509863</v>
      </c>
      <c r="O489" s="5">
        <f t="shared" si="337"/>
        <v>0</v>
      </c>
      <c r="P489" s="5">
        <f t="shared" si="338"/>
        <v>0</v>
      </c>
      <c r="Q489" s="5">
        <f t="shared" si="372"/>
        <v>0</v>
      </c>
      <c r="R489" s="5">
        <f t="shared" si="364"/>
        <v>0</v>
      </c>
      <c r="S489" s="5">
        <f t="shared" si="339"/>
        <v>0</v>
      </c>
      <c r="T489" s="5">
        <f t="shared" si="340"/>
        <v>0</v>
      </c>
      <c r="U489" s="74">
        <f t="shared" si="341"/>
        <v>0</v>
      </c>
      <c r="V489" s="75">
        <f t="shared" si="342"/>
        <v>0</v>
      </c>
      <c r="W489" s="5">
        <f t="shared" si="343"/>
        <v>0</v>
      </c>
      <c r="X489" s="5">
        <f t="shared" si="344"/>
        <v>245881.65075944492</v>
      </c>
      <c r="Y489" s="5">
        <f t="shared" si="365"/>
        <v>100000</v>
      </c>
      <c r="Z489" s="215">
        <f t="shared" si="345"/>
        <v>1</v>
      </c>
      <c r="AA489" s="216">
        <f t="shared" si="366"/>
        <v>0</v>
      </c>
      <c r="AB489" s="72">
        <f t="shared" si="373"/>
        <v>75146.698411840829</v>
      </c>
      <c r="AC489" s="72">
        <f t="shared" si="346"/>
        <v>0</v>
      </c>
      <c r="AD489" s="72">
        <f t="shared" si="347"/>
        <v>0</v>
      </c>
      <c r="AE489" s="72">
        <f t="shared" si="367"/>
        <v>-51.202013029260691</v>
      </c>
      <c r="AF489" s="70">
        <f t="shared" si="348"/>
        <v>0</v>
      </c>
      <c r="AG489" s="70">
        <f t="shared" si="349"/>
        <v>8844.074273247752</v>
      </c>
      <c r="AH489" s="1">
        <f t="shared" si="380"/>
        <v>0</v>
      </c>
      <c r="AI489" s="1">
        <f t="shared" si="380"/>
        <v>0</v>
      </c>
      <c r="AJ489" s="1">
        <f t="shared" si="380"/>
        <v>0</v>
      </c>
      <c r="AK489" s="1">
        <f t="shared" si="380"/>
        <v>0</v>
      </c>
      <c r="AL489" s="1">
        <f t="shared" si="380"/>
        <v>0</v>
      </c>
      <c r="AM489" s="1">
        <f t="shared" si="380"/>
        <v>0</v>
      </c>
      <c r="AN489" s="1">
        <f t="shared" si="380"/>
        <v>0</v>
      </c>
      <c r="AO489" s="1">
        <f t="shared" si="380"/>
        <v>0</v>
      </c>
      <c r="AP489" s="1">
        <f t="shared" si="380"/>
        <v>0</v>
      </c>
      <c r="AQ489" s="1">
        <f t="shared" si="380"/>
        <v>0</v>
      </c>
      <c r="AR489" s="1">
        <f t="shared" si="380"/>
        <v>1</v>
      </c>
      <c r="AS489" s="1">
        <f t="shared" si="380"/>
        <v>1</v>
      </c>
      <c r="AT489" s="39">
        <f t="shared" si="350"/>
        <v>245881.65075944492</v>
      </c>
      <c r="AU489" s="39">
        <f t="shared" si="368"/>
        <v>245881.65075944492</v>
      </c>
      <c r="AV489" s="39">
        <f t="shared" si="378"/>
        <v>0</v>
      </c>
      <c r="AW489" s="3">
        <f t="shared" si="351"/>
        <v>415</v>
      </c>
      <c r="AX489" s="69">
        <f t="shared" si="369"/>
        <v>0</v>
      </c>
      <c r="AY489" s="75">
        <f t="shared" si="352"/>
        <v>0</v>
      </c>
      <c r="AZ489" s="75">
        <f t="shared" si="353"/>
        <v>0</v>
      </c>
      <c r="BA489" s="75">
        <f t="shared" si="354"/>
        <v>0</v>
      </c>
      <c r="BB489" s="75">
        <f t="shared" si="355"/>
        <v>0</v>
      </c>
      <c r="BD489" s="214">
        <f t="shared" si="370"/>
        <v>373584.30550771742</v>
      </c>
      <c r="BE489" s="214">
        <f t="shared" si="356"/>
        <v>1818.4404974773799</v>
      </c>
      <c r="BF489" s="214">
        <f t="shared" si="357"/>
        <v>-618.16674859658656</v>
      </c>
      <c r="BG489" s="224">
        <f t="shared" si="374"/>
        <v>0</v>
      </c>
      <c r="BH489" s="19">
        <f t="shared" si="371"/>
        <v>739109.51851401583</v>
      </c>
      <c r="BI489" s="214">
        <f t="shared" si="358"/>
        <v>3597.6529546933261</v>
      </c>
      <c r="BJ489" s="214">
        <f t="shared" si="359"/>
        <v>0</v>
      </c>
      <c r="BK489" s="19">
        <f t="shared" si="375"/>
        <v>0</v>
      </c>
    </row>
    <row r="490" spans="1:63">
      <c r="A490" s="165">
        <f t="shared" si="360"/>
        <v>96.639459274469544</v>
      </c>
      <c r="B490" s="69">
        <f t="shared" si="361"/>
        <v>35</v>
      </c>
      <c r="C490" s="70">
        <f t="shared" si="362"/>
        <v>416</v>
      </c>
      <c r="D490" s="13">
        <f t="shared" si="331"/>
        <v>4.8675505653430484E-3</v>
      </c>
      <c r="E490" s="15">
        <f t="shared" si="332"/>
        <v>1</v>
      </c>
      <c r="F490" s="15">
        <f t="shared" si="363"/>
        <v>0</v>
      </c>
      <c r="G490" s="15">
        <f t="shared" si="333"/>
        <v>0</v>
      </c>
      <c r="H490" s="73">
        <f t="shared" si="334"/>
        <v>0</v>
      </c>
      <c r="I490" s="189"/>
      <c r="J490" s="189"/>
      <c r="K490" s="5">
        <f t="shared" si="376"/>
        <v>245881.65075944492</v>
      </c>
      <c r="M490" s="5">
        <f t="shared" si="335"/>
        <v>1196.8413681616182</v>
      </c>
      <c r="N490" s="5">
        <f t="shared" si="336"/>
        <v>-406.85826023381378</v>
      </c>
      <c r="O490" s="5">
        <f t="shared" si="337"/>
        <v>0</v>
      </c>
      <c r="P490" s="5">
        <f t="shared" si="338"/>
        <v>0</v>
      </c>
      <c r="Q490" s="5">
        <f t="shared" si="372"/>
        <v>0</v>
      </c>
      <c r="R490" s="5">
        <f t="shared" si="364"/>
        <v>0</v>
      </c>
      <c r="S490" s="5">
        <f t="shared" si="339"/>
        <v>0</v>
      </c>
      <c r="T490" s="5">
        <f t="shared" si="340"/>
        <v>0</v>
      </c>
      <c r="U490" s="74">
        <f t="shared" si="341"/>
        <v>0</v>
      </c>
      <c r="V490" s="75">
        <f t="shared" si="342"/>
        <v>0</v>
      </c>
      <c r="W490" s="5">
        <f t="shared" si="343"/>
        <v>0</v>
      </c>
      <c r="X490" s="5">
        <f t="shared" si="344"/>
        <v>246671.6338673727</v>
      </c>
      <c r="Y490" s="5">
        <f t="shared" si="365"/>
        <v>100000</v>
      </c>
      <c r="Z490" s="215">
        <f t="shared" si="345"/>
        <v>1</v>
      </c>
      <c r="AA490" s="216">
        <f t="shared" si="366"/>
        <v>0</v>
      </c>
      <c r="AB490" s="72">
        <f t="shared" si="373"/>
        <v>75146.698411840829</v>
      </c>
      <c r="AC490" s="72">
        <f t="shared" si="346"/>
        <v>0</v>
      </c>
      <c r="AD490" s="72">
        <f t="shared" si="347"/>
        <v>0</v>
      </c>
      <c r="AE490" s="72">
        <f t="shared" si="367"/>
        <v>-51.366517884584709</v>
      </c>
      <c r="AF490" s="70">
        <f t="shared" si="348"/>
        <v>0</v>
      </c>
      <c r="AG490" s="70">
        <f t="shared" si="349"/>
        <v>9144.2678542603098</v>
      </c>
      <c r="AH490" s="1">
        <f t="shared" si="380"/>
        <v>0</v>
      </c>
      <c r="AI490" s="1">
        <f t="shared" si="380"/>
        <v>0</v>
      </c>
      <c r="AJ490" s="1">
        <f t="shared" si="380"/>
        <v>0</v>
      </c>
      <c r="AK490" s="1">
        <f t="shared" si="380"/>
        <v>0</v>
      </c>
      <c r="AL490" s="1">
        <f t="shared" si="380"/>
        <v>0</v>
      </c>
      <c r="AM490" s="1">
        <f t="shared" si="380"/>
        <v>0</v>
      </c>
      <c r="AN490" s="1">
        <f t="shared" si="380"/>
        <v>0</v>
      </c>
      <c r="AO490" s="1">
        <f t="shared" si="380"/>
        <v>0</v>
      </c>
      <c r="AP490" s="1">
        <f t="shared" si="380"/>
        <v>0</v>
      </c>
      <c r="AQ490" s="1">
        <f t="shared" si="380"/>
        <v>0</v>
      </c>
      <c r="AR490" s="1">
        <f t="shared" si="380"/>
        <v>1</v>
      </c>
      <c r="AS490" s="1">
        <f t="shared" si="380"/>
        <v>1</v>
      </c>
      <c r="AT490" s="39">
        <f t="shared" si="350"/>
        <v>246671.6338673727</v>
      </c>
      <c r="AU490" s="39">
        <f t="shared" si="368"/>
        <v>246671.6338673727</v>
      </c>
      <c r="AV490" s="39">
        <f t="shared" si="378"/>
        <v>0</v>
      </c>
      <c r="AW490" s="3">
        <f t="shared" si="351"/>
        <v>416</v>
      </c>
      <c r="AX490" s="69">
        <f t="shared" si="369"/>
        <v>0</v>
      </c>
      <c r="AY490" s="75">
        <f t="shared" si="352"/>
        <v>0</v>
      </c>
      <c r="AZ490" s="75">
        <f t="shared" si="353"/>
        <v>0</v>
      </c>
      <c r="BA490" s="75">
        <f t="shared" si="354"/>
        <v>0</v>
      </c>
      <c r="BB490" s="75">
        <f t="shared" si="355"/>
        <v>0</v>
      </c>
      <c r="BD490" s="214">
        <f t="shared" si="370"/>
        <v>374784.5792565982</v>
      </c>
      <c r="BE490" s="214">
        <f t="shared" si="356"/>
        <v>1824.282890642311</v>
      </c>
      <c r="BF490" s="214">
        <f t="shared" si="357"/>
        <v>-620.15283128216163</v>
      </c>
      <c r="BG490" s="224">
        <f t="shared" si="374"/>
        <v>0</v>
      </c>
      <c r="BH490" s="19">
        <f t="shared" si="371"/>
        <v>742707.17146870913</v>
      </c>
      <c r="BI490" s="214">
        <f t="shared" si="358"/>
        <v>3615.1647123668517</v>
      </c>
      <c r="BJ490" s="214">
        <f t="shared" si="359"/>
        <v>0</v>
      </c>
      <c r="BK490" s="19">
        <f t="shared" si="375"/>
        <v>0</v>
      </c>
    </row>
    <row r="491" spans="1:63">
      <c r="A491" s="165">
        <f t="shared" si="360"/>
        <v>96.722792607802873</v>
      </c>
      <c r="B491" s="69">
        <f t="shared" si="361"/>
        <v>35</v>
      </c>
      <c r="C491" s="70">
        <f t="shared" si="362"/>
        <v>417</v>
      </c>
      <c r="D491" s="13">
        <f t="shared" si="331"/>
        <v>4.8675505653430484E-3</v>
      </c>
      <c r="E491" s="15">
        <f t="shared" si="332"/>
        <v>1</v>
      </c>
      <c r="F491" s="15">
        <f t="shared" si="363"/>
        <v>0</v>
      </c>
      <c r="G491" s="15">
        <f t="shared" si="333"/>
        <v>0</v>
      </c>
      <c r="H491" s="73">
        <f t="shared" si="334"/>
        <v>0</v>
      </c>
      <c r="I491" s="189"/>
      <c r="J491" s="189"/>
      <c r="K491" s="5">
        <f t="shared" si="376"/>
        <v>246671.6338673727</v>
      </c>
      <c r="M491" s="5">
        <f t="shared" si="335"/>
        <v>1200.6866508852233</v>
      </c>
      <c r="N491" s="5">
        <f t="shared" si="336"/>
        <v>-408.16543851211503</v>
      </c>
      <c r="O491" s="5">
        <f t="shared" si="337"/>
        <v>0</v>
      </c>
      <c r="P491" s="5">
        <f t="shared" si="338"/>
        <v>0</v>
      </c>
      <c r="Q491" s="5">
        <f t="shared" si="372"/>
        <v>0</v>
      </c>
      <c r="R491" s="5">
        <f t="shared" si="364"/>
        <v>0</v>
      </c>
      <c r="S491" s="5">
        <f t="shared" si="339"/>
        <v>0</v>
      </c>
      <c r="T491" s="5">
        <f t="shared" si="340"/>
        <v>0</v>
      </c>
      <c r="U491" s="74">
        <f t="shared" si="341"/>
        <v>0</v>
      </c>
      <c r="V491" s="75">
        <f t="shared" si="342"/>
        <v>0</v>
      </c>
      <c r="W491" s="5">
        <f t="shared" si="343"/>
        <v>0</v>
      </c>
      <c r="X491" s="5">
        <f t="shared" si="344"/>
        <v>247464.1550797458</v>
      </c>
      <c r="Y491" s="5">
        <f t="shared" si="365"/>
        <v>100000</v>
      </c>
      <c r="Z491" s="215">
        <f t="shared" si="345"/>
        <v>1</v>
      </c>
      <c r="AA491" s="216">
        <f t="shared" si="366"/>
        <v>0</v>
      </c>
      <c r="AB491" s="72">
        <f t="shared" si="373"/>
        <v>75146.698411840829</v>
      </c>
      <c r="AC491" s="72">
        <f t="shared" si="346"/>
        <v>0</v>
      </c>
      <c r="AD491" s="72">
        <f t="shared" si="347"/>
        <v>0</v>
      </c>
      <c r="AE491" s="72">
        <f t="shared" si="367"/>
        <v>-51.531551270836019</v>
      </c>
      <c r="AF491" s="70">
        <f t="shared" si="348"/>
        <v>0</v>
      </c>
      <c r="AG491" s="70">
        <f t="shared" si="349"/>
        <v>9445.4259149620921</v>
      </c>
      <c r="AH491" s="1">
        <f t="shared" si="380"/>
        <v>0</v>
      </c>
      <c r="AI491" s="1">
        <f t="shared" si="380"/>
        <v>0</v>
      </c>
      <c r="AJ491" s="1">
        <f t="shared" si="380"/>
        <v>0</v>
      </c>
      <c r="AK491" s="1">
        <f t="shared" si="380"/>
        <v>0</v>
      </c>
      <c r="AL491" s="1">
        <f t="shared" si="380"/>
        <v>0</v>
      </c>
      <c r="AM491" s="1">
        <f t="shared" si="380"/>
        <v>0</v>
      </c>
      <c r="AN491" s="1">
        <f t="shared" si="380"/>
        <v>0</v>
      </c>
      <c r="AO491" s="1">
        <f t="shared" si="380"/>
        <v>0</v>
      </c>
      <c r="AP491" s="1">
        <f t="shared" si="380"/>
        <v>0</v>
      </c>
      <c r="AQ491" s="1">
        <f t="shared" si="380"/>
        <v>0</v>
      </c>
      <c r="AR491" s="1">
        <f t="shared" si="380"/>
        <v>1</v>
      </c>
      <c r="AS491" s="1">
        <f t="shared" si="380"/>
        <v>1</v>
      </c>
      <c r="AT491" s="39">
        <f t="shared" si="350"/>
        <v>247464.1550797458</v>
      </c>
      <c r="AU491" s="39">
        <f t="shared" si="368"/>
        <v>247464.1550797458</v>
      </c>
      <c r="AV491" s="39">
        <f t="shared" si="378"/>
        <v>0</v>
      </c>
      <c r="AW491" s="3">
        <f t="shared" si="351"/>
        <v>417</v>
      </c>
      <c r="AX491" s="69">
        <f t="shared" si="369"/>
        <v>0</v>
      </c>
      <c r="AY491" s="75">
        <f t="shared" si="352"/>
        <v>0</v>
      </c>
      <c r="AZ491" s="75">
        <f t="shared" si="353"/>
        <v>0</v>
      </c>
      <c r="BA491" s="75">
        <f t="shared" si="354"/>
        <v>0</v>
      </c>
      <c r="BB491" s="75">
        <f t="shared" si="355"/>
        <v>0</v>
      </c>
      <c r="BD491" s="214">
        <f t="shared" si="370"/>
        <v>375988.70931595832</v>
      </c>
      <c r="BE491" s="214">
        <f t="shared" si="356"/>
        <v>1830.1440545934961</v>
      </c>
      <c r="BF491" s="214">
        <f t="shared" si="357"/>
        <v>-622.14529497163721</v>
      </c>
      <c r="BG491" s="224">
        <f t="shared" si="374"/>
        <v>0</v>
      </c>
      <c r="BH491" s="19">
        <f t="shared" si="371"/>
        <v>746322.33618107601</v>
      </c>
      <c r="BI491" s="214">
        <f t="shared" si="358"/>
        <v>3632.7617094063412</v>
      </c>
      <c r="BJ491" s="214">
        <f t="shared" si="359"/>
        <v>0</v>
      </c>
      <c r="BK491" s="19">
        <f t="shared" si="375"/>
        <v>0</v>
      </c>
    </row>
    <row r="492" spans="1:63">
      <c r="A492" s="165">
        <f t="shared" si="360"/>
        <v>96.806125941136202</v>
      </c>
      <c r="B492" s="69">
        <f t="shared" si="361"/>
        <v>35</v>
      </c>
      <c r="C492" s="70">
        <f t="shared" si="362"/>
        <v>418</v>
      </c>
      <c r="D492" s="13">
        <f t="shared" si="331"/>
        <v>4.8675505653430484E-3</v>
      </c>
      <c r="E492" s="15">
        <f t="shared" si="332"/>
        <v>1</v>
      </c>
      <c r="F492" s="15">
        <f t="shared" si="363"/>
        <v>0</v>
      </c>
      <c r="G492" s="15">
        <f t="shared" si="333"/>
        <v>0</v>
      </c>
      <c r="H492" s="73">
        <f t="shared" si="334"/>
        <v>0</v>
      </c>
      <c r="I492" s="189"/>
      <c r="J492" s="189"/>
      <c r="K492" s="5">
        <f t="shared" si="376"/>
        <v>247464.1550797458</v>
      </c>
      <c r="M492" s="5">
        <f t="shared" si="335"/>
        <v>1204.5442879605564</v>
      </c>
      <c r="N492" s="5">
        <f t="shared" si="336"/>
        <v>-409.47681657008962</v>
      </c>
      <c r="O492" s="5">
        <f t="shared" si="337"/>
        <v>0</v>
      </c>
      <c r="P492" s="5">
        <f t="shared" si="338"/>
        <v>0</v>
      </c>
      <c r="Q492" s="5">
        <f t="shared" si="372"/>
        <v>0</v>
      </c>
      <c r="R492" s="5">
        <f t="shared" si="364"/>
        <v>0</v>
      </c>
      <c r="S492" s="5">
        <f t="shared" si="339"/>
        <v>0</v>
      </c>
      <c r="T492" s="5">
        <f t="shared" si="340"/>
        <v>0</v>
      </c>
      <c r="U492" s="74">
        <f t="shared" si="341"/>
        <v>0</v>
      </c>
      <c r="V492" s="75">
        <f t="shared" si="342"/>
        <v>0</v>
      </c>
      <c r="W492" s="5">
        <f t="shared" si="343"/>
        <v>0</v>
      </c>
      <c r="X492" s="5">
        <f t="shared" si="344"/>
        <v>248259.22255113628</v>
      </c>
      <c r="Y492" s="5">
        <f t="shared" si="365"/>
        <v>100000</v>
      </c>
      <c r="Z492" s="215">
        <f t="shared" si="345"/>
        <v>1</v>
      </c>
      <c r="AA492" s="216">
        <f t="shared" si="366"/>
        <v>0</v>
      </c>
      <c r="AB492" s="72">
        <f t="shared" si="373"/>
        <v>75146.698411840829</v>
      </c>
      <c r="AC492" s="72">
        <f t="shared" si="346"/>
        <v>0</v>
      </c>
      <c r="AD492" s="72">
        <f t="shared" si="347"/>
        <v>0</v>
      </c>
      <c r="AE492" s="72">
        <f t="shared" si="367"/>
        <v>-51.697114886110036</v>
      </c>
      <c r="AF492" s="70">
        <f t="shared" si="348"/>
        <v>0</v>
      </c>
      <c r="AG492" s="70">
        <f t="shared" si="349"/>
        <v>9747.5515540904744</v>
      </c>
      <c r="AH492" s="1">
        <f t="shared" si="380"/>
        <v>0</v>
      </c>
      <c r="AI492" s="1">
        <f t="shared" si="380"/>
        <v>0</v>
      </c>
      <c r="AJ492" s="1">
        <f t="shared" si="380"/>
        <v>0</v>
      </c>
      <c r="AK492" s="1">
        <f t="shared" si="380"/>
        <v>0</v>
      </c>
      <c r="AL492" s="1">
        <f t="shared" si="380"/>
        <v>0</v>
      </c>
      <c r="AM492" s="1">
        <f t="shared" si="380"/>
        <v>0</v>
      </c>
      <c r="AN492" s="1">
        <f t="shared" si="380"/>
        <v>0</v>
      </c>
      <c r="AO492" s="1">
        <f t="shared" si="380"/>
        <v>0</v>
      </c>
      <c r="AP492" s="1">
        <f t="shared" si="380"/>
        <v>0</v>
      </c>
      <c r="AQ492" s="1">
        <f t="shared" si="380"/>
        <v>0</v>
      </c>
      <c r="AR492" s="1">
        <f t="shared" si="380"/>
        <v>1</v>
      </c>
      <c r="AS492" s="1">
        <f t="shared" si="380"/>
        <v>1</v>
      </c>
      <c r="AT492" s="39">
        <f t="shared" si="350"/>
        <v>248259.22255113628</v>
      </c>
      <c r="AU492" s="39">
        <f t="shared" si="368"/>
        <v>248259.22255113628</v>
      </c>
      <c r="AV492" s="39">
        <f t="shared" si="378"/>
        <v>0</v>
      </c>
      <c r="AW492" s="3">
        <f t="shared" si="351"/>
        <v>418</v>
      </c>
      <c r="AX492" s="69">
        <f t="shared" si="369"/>
        <v>0</v>
      </c>
      <c r="AY492" s="75">
        <f t="shared" si="352"/>
        <v>0</v>
      </c>
      <c r="AZ492" s="75">
        <f t="shared" si="353"/>
        <v>0</v>
      </c>
      <c r="BA492" s="75">
        <f t="shared" si="354"/>
        <v>0</v>
      </c>
      <c r="BB492" s="75">
        <f t="shared" si="355"/>
        <v>0</v>
      </c>
      <c r="BD492" s="214">
        <f t="shared" si="370"/>
        <v>377196.70807558019</v>
      </c>
      <c r="BE492" s="214">
        <f t="shared" si="356"/>
        <v>1836.0240496388271</v>
      </c>
      <c r="BF492" s="214">
        <f t="shared" si="357"/>
        <v>-624.1441601662799</v>
      </c>
      <c r="BG492" s="224">
        <f t="shared" si="374"/>
        <v>0</v>
      </c>
      <c r="BH492" s="19">
        <f t="shared" si="371"/>
        <v>749955.0978904824</v>
      </c>
      <c r="BI492" s="214">
        <f t="shared" si="358"/>
        <v>3650.4443607187191</v>
      </c>
      <c r="BJ492" s="214">
        <f t="shared" si="359"/>
        <v>0</v>
      </c>
      <c r="BK492" s="19">
        <f t="shared" si="375"/>
        <v>0</v>
      </c>
    </row>
    <row r="493" spans="1:63">
      <c r="A493" s="165">
        <f t="shared" si="360"/>
        <v>96.889459274469544</v>
      </c>
      <c r="B493" s="69">
        <f t="shared" si="361"/>
        <v>35</v>
      </c>
      <c r="C493" s="70">
        <f t="shared" si="362"/>
        <v>419</v>
      </c>
      <c r="D493" s="13">
        <f t="shared" si="331"/>
        <v>4.8675505653430484E-3</v>
      </c>
      <c r="E493" s="15">
        <f t="shared" si="332"/>
        <v>1</v>
      </c>
      <c r="F493" s="15">
        <f t="shared" si="363"/>
        <v>0</v>
      </c>
      <c r="G493" s="15">
        <f t="shared" si="333"/>
        <v>0</v>
      </c>
      <c r="H493" s="73">
        <f t="shared" si="334"/>
        <v>0</v>
      </c>
      <c r="I493" s="189"/>
      <c r="J493" s="189"/>
      <c r="K493" s="5">
        <f t="shared" si="376"/>
        <v>248259.22255113628</v>
      </c>
      <c r="M493" s="5">
        <f t="shared" si="335"/>
        <v>1208.4143190804091</v>
      </c>
      <c r="N493" s="5">
        <f t="shared" si="336"/>
        <v>-410.79240790103813</v>
      </c>
      <c r="O493" s="5">
        <f t="shared" si="337"/>
        <v>0</v>
      </c>
      <c r="P493" s="5">
        <f t="shared" si="338"/>
        <v>0</v>
      </c>
      <c r="Q493" s="5">
        <f t="shared" si="372"/>
        <v>0</v>
      </c>
      <c r="R493" s="5">
        <f t="shared" si="364"/>
        <v>0</v>
      </c>
      <c r="S493" s="5">
        <f t="shared" si="339"/>
        <v>0</v>
      </c>
      <c r="T493" s="5">
        <f t="shared" si="340"/>
        <v>0</v>
      </c>
      <c r="U493" s="74">
        <f t="shared" si="341"/>
        <v>0</v>
      </c>
      <c r="V493" s="75">
        <f t="shared" si="342"/>
        <v>0</v>
      </c>
      <c r="W493" s="5">
        <f t="shared" si="343"/>
        <v>0</v>
      </c>
      <c r="X493" s="5">
        <f t="shared" si="344"/>
        <v>249056.84446231567</v>
      </c>
      <c r="Y493" s="5">
        <f t="shared" si="365"/>
        <v>100000</v>
      </c>
      <c r="Z493" s="215">
        <f t="shared" si="345"/>
        <v>1</v>
      </c>
      <c r="AA493" s="216">
        <f t="shared" si="366"/>
        <v>0</v>
      </c>
      <c r="AB493" s="72">
        <f t="shared" si="373"/>
        <v>75146.698411840829</v>
      </c>
      <c r="AC493" s="72">
        <f t="shared" si="346"/>
        <v>0</v>
      </c>
      <c r="AD493" s="72">
        <f t="shared" si="347"/>
        <v>0</v>
      </c>
      <c r="AE493" s="72">
        <f t="shared" si="367"/>
        <v>-51.86321043395791</v>
      </c>
      <c r="AF493" s="70">
        <f t="shared" si="348"/>
        <v>0</v>
      </c>
      <c r="AG493" s="70">
        <f t="shared" si="349"/>
        <v>10050.647880338642</v>
      </c>
      <c r="AH493" s="1">
        <f t="shared" si="380"/>
        <v>0</v>
      </c>
      <c r="AI493" s="1">
        <f t="shared" si="380"/>
        <v>0</v>
      </c>
      <c r="AJ493" s="1">
        <f t="shared" si="380"/>
        <v>0</v>
      </c>
      <c r="AK493" s="1">
        <f t="shared" si="380"/>
        <v>0</v>
      </c>
      <c r="AL493" s="1">
        <f t="shared" si="380"/>
        <v>0</v>
      </c>
      <c r="AM493" s="1">
        <f t="shared" si="380"/>
        <v>0</v>
      </c>
      <c r="AN493" s="1">
        <f t="shared" si="380"/>
        <v>0</v>
      </c>
      <c r="AO493" s="1">
        <f t="shared" si="380"/>
        <v>0</v>
      </c>
      <c r="AP493" s="1">
        <f t="shared" si="380"/>
        <v>0</v>
      </c>
      <c r="AQ493" s="1">
        <f t="shared" si="380"/>
        <v>0</v>
      </c>
      <c r="AR493" s="1">
        <f t="shared" si="380"/>
        <v>1</v>
      </c>
      <c r="AS493" s="1">
        <f t="shared" si="380"/>
        <v>1</v>
      </c>
      <c r="AT493" s="39">
        <f t="shared" si="350"/>
        <v>249056.84446231567</v>
      </c>
      <c r="AU493" s="39">
        <f t="shared" si="368"/>
        <v>249056.84446231567</v>
      </c>
      <c r="AV493" s="39">
        <f t="shared" si="378"/>
        <v>0</v>
      </c>
      <c r="AW493" s="3">
        <f t="shared" si="351"/>
        <v>419</v>
      </c>
      <c r="AX493" s="69">
        <f t="shared" si="369"/>
        <v>0</v>
      </c>
      <c r="AY493" s="75">
        <f t="shared" si="352"/>
        <v>0</v>
      </c>
      <c r="AZ493" s="75">
        <f t="shared" si="353"/>
        <v>0</v>
      </c>
      <c r="BA493" s="75">
        <f t="shared" si="354"/>
        <v>0</v>
      </c>
      <c r="BB493" s="75">
        <f t="shared" si="355"/>
        <v>0</v>
      </c>
      <c r="BD493" s="214">
        <f t="shared" si="370"/>
        <v>378408.58796505275</v>
      </c>
      <c r="BE493" s="214">
        <f t="shared" si="356"/>
        <v>1841.9229362799572</v>
      </c>
      <c r="BF493" s="214">
        <f t="shared" si="357"/>
        <v>-626.14944743322417</v>
      </c>
      <c r="BG493" s="224">
        <f t="shared" si="374"/>
        <v>0</v>
      </c>
      <c r="BH493" s="19">
        <f t="shared" si="371"/>
        <v>753605.54225120111</v>
      </c>
      <c r="BI493" s="214">
        <f t="shared" si="358"/>
        <v>3668.2130832304883</v>
      </c>
      <c r="BJ493" s="214">
        <f t="shared" si="359"/>
        <v>0</v>
      </c>
      <c r="BK493" s="19">
        <f t="shared" si="375"/>
        <v>0</v>
      </c>
    </row>
    <row r="494" spans="1:63">
      <c r="A494" s="165">
        <f t="shared" si="360"/>
        <v>96.972792607802873</v>
      </c>
      <c r="B494" s="69">
        <f t="shared" si="361"/>
        <v>35</v>
      </c>
      <c r="C494" s="70">
        <f t="shared" si="362"/>
        <v>420</v>
      </c>
      <c r="D494" s="13">
        <f t="shared" si="331"/>
        <v>4.8675505653430484E-3</v>
      </c>
      <c r="E494" s="15">
        <f t="shared" si="332"/>
        <v>1</v>
      </c>
      <c r="F494" s="15">
        <f t="shared" si="363"/>
        <v>0</v>
      </c>
      <c r="G494" s="15">
        <f t="shared" si="333"/>
        <v>0</v>
      </c>
      <c r="H494" s="73">
        <f t="shared" si="334"/>
        <v>0</v>
      </c>
      <c r="I494" s="189"/>
      <c r="J494" s="189"/>
      <c r="K494" s="5">
        <f t="shared" si="376"/>
        <v>249056.84446231567</v>
      </c>
      <c r="M494" s="5">
        <f t="shared" si="335"/>
        <v>1212.2967840651004</v>
      </c>
      <c r="N494" s="5">
        <f t="shared" si="336"/>
        <v>-412.11222604161298</v>
      </c>
      <c r="O494" s="5">
        <f t="shared" si="337"/>
        <v>0</v>
      </c>
      <c r="P494" s="5">
        <f t="shared" si="338"/>
        <v>0</v>
      </c>
      <c r="Q494" s="5">
        <f t="shared" si="372"/>
        <v>0</v>
      </c>
      <c r="R494" s="5">
        <f t="shared" si="364"/>
        <v>0</v>
      </c>
      <c r="S494" s="5">
        <f t="shared" si="339"/>
        <v>0</v>
      </c>
      <c r="T494" s="5">
        <f t="shared" si="340"/>
        <v>0</v>
      </c>
      <c r="U494" s="74">
        <f t="shared" si="341"/>
        <v>0</v>
      </c>
      <c r="V494" s="75">
        <f t="shared" si="342"/>
        <v>0</v>
      </c>
      <c r="W494" s="5">
        <f t="shared" si="343"/>
        <v>0</v>
      </c>
      <c r="X494" s="5">
        <f t="shared" si="344"/>
        <v>249857.02902033916</v>
      </c>
      <c r="Y494" s="5">
        <f t="shared" si="365"/>
        <v>100000</v>
      </c>
      <c r="Z494" s="215">
        <f t="shared" si="345"/>
        <v>1</v>
      </c>
      <c r="AA494" s="216">
        <f t="shared" si="366"/>
        <v>0</v>
      </c>
      <c r="AB494" s="72">
        <f t="shared" si="373"/>
        <v>75146.698411840829</v>
      </c>
      <c r="AC494" s="72">
        <f t="shared" si="346"/>
        <v>0</v>
      </c>
      <c r="AD494" s="72">
        <f t="shared" si="347"/>
        <v>0</v>
      </c>
      <c r="AE494" s="72">
        <f t="shared" si="367"/>
        <v>-52.029839623404079</v>
      </c>
      <c r="AF494" s="70">
        <f t="shared" si="348"/>
        <v>0</v>
      </c>
      <c r="AG494" s="70">
        <f t="shared" si="349"/>
        <v>10354.718012387559</v>
      </c>
      <c r="AH494" s="1">
        <f t="shared" si="380"/>
        <v>0</v>
      </c>
      <c r="AI494" s="1">
        <f t="shared" si="380"/>
        <v>0</v>
      </c>
      <c r="AJ494" s="1">
        <f t="shared" si="380"/>
        <v>0</v>
      </c>
      <c r="AK494" s="1">
        <f t="shared" si="380"/>
        <v>0</v>
      </c>
      <c r="AL494" s="1">
        <f t="shared" si="380"/>
        <v>0</v>
      </c>
      <c r="AM494" s="1">
        <f t="shared" si="380"/>
        <v>0</v>
      </c>
      <c r="AN494" s="1">
        <f t="shared" si="380"/>
        <v>0</v>
      </c>
      <c r="AO494" s="1">
        <f t="shared" si="380"/>
        <v>0</v>
      </c>
      <c r="AP494" s="1">
        <f t="shared" si="380"/>
        <v>0</v>
      </c>
      <c r="AQ494" s="1">
        <f t="shared" si="380"/>
        <v>0</v>
      </c>
      <c r="AR494" s="1">
        <f t="shared" si="380"/>
        <v>1</v>
      </c>
      <c r="AS494" s="1">
        <f t="shared" si="380"/>
        <v>1</v>
      </c>
      <c r="AT494" s="39">
        <f t="shared" si="350"/>
        <v>249857.02902033916</v>
      </c>
      <c r="AU494" s="39">
        <f t="shared" si="368"/>
        <v>249857.02902033916</v>
      </c>
      <c r="AV494" s="39">
        <f t="shared" si="378"/>
        <v>0</v>
      </c>
      <c r="AW494" s="3">
        <f t="shared" si="351"/>
        <v>420</v>
      </c>
      <c r="AX494" s="69">
        <f t="shared" si="369"/>
        <v>0</v>
      </c>
      <c r="AY494" s="75">
        <f t="shared" si="352"/>
        <v>0</v>
      </c>
      <c r="AZ494" s="75">
        <f t="shared" si="353"/>
        <v>0</v>
      </c>
      <c r="BA494" s="75">
        <f t="shared" si="354"/>
        <v>0</v>
      </c>
      <c r="BB494" s="75">
        <f t="shared" si="355"/>
        <v>0</v>
      </c>
      <c r="BD494" s="214">
        <f t="shared" si="370"/>
        <v>379624.36145389947</v>
      </c>
      <c r="BE494" s="214">
        <f t="shared" si="356"/>
        <v>1847.8407752129222</v>
      </c>
      <c r="BF494" s="214">
        <f t="shared" si="357"/>
        <v>-628.16117740568359</v>
      </c>
      <c r="BG494" s="224">
        <f t="shared" si="374"/>
        <v>0</v>
      </c>
      <c r="BH494" s="19">
        <f t="shared" si="371"/>
        <v>757273.75533443165</v>
      </c>
      <c r="BI494" s="214">
        <f t="shared" si="358"/>
        <v>3686.0682958975663</v>
      </c>
      <c r="BJ494" s="214">
        <f t="shared" si="359"/>
        <v>0</v>
      </c>
      <c r="BK494" s="19">
        <f t="shared" si="375"/>
        <v>0</v>
      </c>
    </row>
    <row r="495" spans="1:63">
      <c r="A495" s="165">
        <f t="shared" si="360"/>
        <v>97.056125941136202</v>
      </c>
      <c r="B495" s="69">
        <f t="shared" si="361"/>
        <v>36</v>
      </c>
      <c r="C495" s="70">
        <f t="shared" si="362"/>
        <v>421</v>
      </c>
      <c r="D495" s="13">
        <f t="shared" si="331"/>
        <v>4.8675505653430484E-3</v>
      </c>
      <c r="E495" s="15">
        <f t="shared" si="332"/>
        <v>1</v>
      </c>
      <c r="F495" s="15">
        <f t="shared" si="363"/>
        <v>0</v>
      </c>
      <c r="G495" s="15">
        <f t="shared" si="333"/>
        <v>0</v>
      </c>
      <c r="H495" s="73">
        <f t="shared" si="334"/>
        <v>0</v>
      </c>
      <c r="I495" s="189"/>
      <c r="J495" s="189"/>
      <c r="K495" s="5">
        <f t="shared" si="376"/>
        <v>249857.02902033916</v>
      </c>
      <c r="M495" s="5">
        <f t="shared" si="335"/>
        <v>1216.1917228628863</v>
      </c>
      <c r="N495" s="5">
        <f t="shared" si="336"/>
        <v>-413.4362845719582</v>
      </c>
      <c r="O495" s="5">
        <f t="shared" si="337"/>
        <v>0</v>
      </c>
      <c r="P495" s="5">
        <f t="shared" si="338"/>
        <v>0</v>
      </c>
      <c r="Q495" s="5">
        <f t="shared" si="372"/>
        <v>0</v>
      </c>
      <c r="R495" s="5">
        <f t="shared" si="364"/>
        <v>0</v>
      </c>
      <c r="S495" s="5">
        <f t="shared" si="339"/>
        <v>0</v>
      </c>
      <c r="T495" s="5">
        <f t="shared" si="340"/>
        <v>0</v>
      </c>
      <c r="U495" s="74">
        <f t="shared" si="341"/>
        <v>0</v>
      </c>
      <c r="V495" s="75">
        <f t="shared" si="342"/>
        <v>0</v>
      </c>
      <c r="W495" s="5">
        <f t="shared" si="343"/>
        <v>0</v>
      </c>
      <c r="X495" s="5">
        <f t="shared" si="344"/>
        <v>250659.78445863011</v>
      </c>
      <c r="Y495" s="5">
        <f t="shared" si="365"/>
        <v>100000</v>
      </c>
      <c r="Z495" s="215">
        <f t="shared" si="345"/>
        <v>1</v>
      </c>
      <c r="AA495" s="216">
        <f t="shared" si="366"/>
        <v>0</v>
      </c>
      <c r="AB495" s="72">
        <f t="shared" si="373"/>
        <v>75146.698411840829</v>
      </c>
      <c r="AC495" s="72">
        <f t="shared" si="346"/>
        <v>0</v>
      </c>
      <c r="AD495" s="72">
        <f t="shared" si="347"/>
        <v>0</v>
      </c>
      <c r="AE495" s="72">
        <f t="shared" si="367"/>
        <v>-52.197004168963829</v>
      </c>
      <c r="AF495" s="70">
        <f t="shared" si="348"/>
        <v>0</v>
      </c>
      <c r="AG495" s="70">
        <f t="shared" si="349"/>
        <v>10659.765078938144</v>
      </c>
      <c r="AH495" s="1">
        <f t="shared" ref="AH495:AS504" si="381">IF($B495&lt;=AH$74,1,0)</f>
        <v>0</v>
      </c>
      <c r="AI495" s="1">
        <f t="shared" si="381"/>
        <v>0</v>
      </c>
      <c r="AJ495" s="1">
        <f t="shared" si="381"/>
        <v>0</v>
      </c>
      <c r="AK495" s="1">
        <f t="shared" si="381"/>
        <v>0</v>
      </c>
      <c r="AL495" s="1">
        <f t="shared" si="381"/>
        <v>0</v>
      </c>
      <c r="AM495" s="1">
        <f t="shared" si="381"/>
        <v>0</v>
      </c>
      <c r="AN495" s="1">
        <f t="shared" si="381"/>
        <v>0</v>
      </c>
      <c r="AO495" s="1">
        <f t="shared" si="381"/>
        <v>0</v>
      </c>
      <c r="AP495" s="1">
        <f t="shared" si="381"/>
        <v>0</v>
      </c>
      <c r="AQ495" s="1">
        <f t="shared" si="381"/>
        <v>0</v>
      </c>
      <c r="AR495" s="1">
        <f t="shared" si="381"/>
        <v>0</v>
      </c>
      <c r="AS495" s="1">
        <f t="shared" si="381"/>
        <v>1</v>
      </c>
      <c r="AT495" s="39">
        <f t="shared" si="350"/>
        <v>250659.78445863011</v>
      </c>
      <c r="AU495" s="39">
        <f t="shared" si="368"/>
        <v>250659.78445863011</v>
      </c>
      <c r="AV495" s="39">
        <f t="shared" si="378"/>
        <v>0</v>
      </c>
      <c r="AW495" s="3">
        <f t="shared" si="351"/>
        <v>421</v>
      </c>
      <c r="AX495" s="69">
        <f t="shared" si="369"/>
        <v>0</v>
      </c>
      <c r="AY495" s="75">
        <f t="shared" si="352"/>
        <v>0</v>
      </c>
      <c r="AZ495" s="75">
        <f t="shared" si="353"/>
        <v>0</v>
      </c>
      <c r="BA495" s="75">
        <f t="shared" si="354"/>
        <v>0</v>
      </c>
      <c r="BB495" s="75">
        <f t="shared" si="355"/>
        <v>0</v>
      </c>
      <c r="BD495" s="214">
        <f t="shared" si="370"/>
        <v>380844.04105170671</v>
      </c>
      <c r="BE495" s="214">
        <f t="shared" si="356"/>
        <v>1853.7776273287661</v>
      </c>
      <c r="BF495" s="214">
        <f t="shared" si="357"/>
        <v>-630.17937078316345</v>
      </c>
      <c r="BG495" s="224">
        <f t="shared" si="374"/>
        <v>0</v>
      </c>
      <c r="BH495" s="19">
        <f t="shared" si="371"/>
        <v>760959.82363032922</v>
      </c>
      <c r="BI495" s="214">
        <f t="shared" si="358"/>
        <v>3704.0104197151554</v>
      </c>
      <c r="BJ495" s="214">
        <f t="shared" si="359"/>
        <v>0</v>
      </c>
      <c r="BK495" s="19">
        <f t="shared" si="375"/>
        <v>0</v>
      </c>
    </row>
    <row r="496" spans="1:63">
      <c r="A496" s="165">
        <f t="shared" si="360"/>
        <v>97.139459274469544</v>
      </c>
      <c r="B496" s="69">
        <f t="shared" si="361"/>
        <v>36</v>
      </c>
      <c r="C496" s="70">
        <f t="shared" si="362"/>
        <v>422</v>
      </c>
      <c r="D496" s="13">
        <f t="shared" si="331"/>
        <v>4.8675505653430484E-3</v>
      </c>
      <c r="E496" s="15">
        <f t="shared" si="332"/>
        <v>1</v>
      </c>
      <c r="F496" s="15">
        <f t="shared" si="363"/>
        <v>0</v>
      </c>
      <c r="G496" s="15">
        <f t="shared" si="333"/>
        <v>0</v>
      </c>
      <c r="H496" s="73">
        <f t="shared" si="334"/>
        <v>0</v>
      </c>
      <c r="I496" s="189"/>
      <c r="J496" s="189"/>
      <c r="K496" s="5">
        <f t="shared" si="376"/>
        <v>250659.78445863011</v>
      </c>
      <c r="M496" s="5">
        <f t="shared" si="335"/>
        <v>1220.0991755503717</v>
      </c>
      <c r="N496" s="5">
        <f t="shared" si="336"/>
        <v>-414.7645971158488</v>
      </c>
      <c r="O496" s="5">
        <f t="shared" si="337"/>
        <v>0</v>
      </c>
      <c r="P496" s="5">
        <f t="shared" si="338"/>
        <v>0</v>
      </c>
      <c r="Q496" s="5">
        <f t="shared" si="372"/>
        <v>0</v>
      </c>
      <c r="R496" s="5">
        <f t="shared" si="364"/>
        <v>0</v>
      </c>
      <c r="S496" s="5">
        <f t="shared" si="339"/>
        <v>0</v>
      </c>
      <c r="T496" s="5">
        <f t="shared" si="340"/>
        <v>0</v>
      </c>
      <c r="U496" s="74">
        <f t="shared" si="341"/>
        <v>0</v>
      </c>
      <c r="V496" s="75">
        <f t="shared" si="342"/>
        <v>0</v>
      </c>
      <c r="W496" s="5">
        <f t="shared" si="343"/>
        <v>0</v>
      </c>
      <c r="X496" s="5">
        <f t="shared" si="344"/>
        <v>251465.11903706464</v>
      </c>
      <c r="Y496" s="5">
        <f t="shared" si="365"/>
        <v>100000</v>
      </c>
      <c r="Z496" s="215">
        <f t="shared" si="345"/>
        <v>1</v>
      </c>
      <c r="AA496" s="216">
        <f t="shared" si="366"/>
        <v>0</v>
      </c>
      <c r="AB496" s="72">
        <f t="shared" si="373"/>
        <v>75146.698411840829</v>
      </c>
      <c r="AC496" s="72">
        <f t="shared" si="346"/>
        <v>0</v>
      </c>
      <c r="AD496" s="72">
        <f t="shared" si="347"/>
        <v>0</v>
      </c>
      <c r="AE496" s="72">
        <f t="shared" si="367"/>
        <v>-52.364705790660928</v>
      </c>
      <c r="AF496" s="70">
        <f t="shared" si="348"/>
        <v>0</v>
      </c>
      <c r="AG496" s="70">
        <f t="shared" si="349"/>
        <v>10965.792218743241</v>
      </c>
      <c r="AH496" s="1">
        <f t="shared" si="381"/>
        <v>0</v>
      </c>
      <c r="AI496" s="1">
        <f t="shared" si="381"/>
        <v>0</v>
      </c>
      <c r="AJ496" s="1">
        <f t="shared" si="381"/>
        <v>0</v>
      </c>
      <c r="AK496" s="1">
        <f t="shared" si="381"/>
        <v>0</v>
      </c>
      <c r="AL496" s="1">
        <f t="shared" si="381"/>
        <v>0</v>
      </c>
      <c r="AM496" s="1">
        <f t="shared" si="381"/>
        <v>0</v>
      </c>
      <c r="AN496" s="1">
        <f t="shared" si="381"/>
        <v>0</v>
      </c>
      <c r="AO496" s="1">
        <f t="shared" si="381"/>
        <v>0</v>
      </c>
      <c r="AP496" s="1">
        <f t="shared" si="381"/>
        <v>0</v>
      </c>
      <c r="AQ496" s="1">
        <f t="shared" si="381"/>
        <v>0</v>
      </c>
      <c r="AR496" s="1">
        <f t="shared" si="381"/>
        <v>0</v>
      </c>
      <c r="AS496" s="1">
        <f t="shared" si="381"/>
        <v>1</v>
      </c>
      <c r="AT496" s="39">
        <f t="shared" si="350"/>
        <v>251465.11903706464</v>
      </c>
      <c r="AU496" s="39">
        <f t="shared" si="368"/>
        <v>251465.11903706464</v>
      </c>
      <c r="AV496" s="39">
        <f t="shared" si="378"/>
        <v>0</v>
      </c>
      <c r="AW496" s="3">
        <f t="shared" si="351"/>
        <v>422</v>
      </c>
      <c r="AX496" s="69">
        <f t="shared" si="369"/>
        <v>0</v>
      </c>
      <c r="AY496" s="75">
        <f t="shared" si="352"/>
        <v>0</v>
      </c>
      <c r="AZ496" s="75">
        <f t="shared" si="353"/>
        <v>0</v>
      </c>
      <c r="BA496" s="75">
        <f t="shared" si="354"/>
        <v>0</v>
      </c>
      <c r="BB496" s="75">
        <f t="shared" si="355"/>
        <v>0</v>
      </c>
      <c r="BD496" s="214">
        <f t="shared" si="370"/>
        <v>382067.63930825231</v>
      </c>
      <c r="BE496" s="214">
        <f t="shared" si="356"/>
        <v>1859.7335537141676</v>
      </c>
      <c r="BF496" s="214">
        <f t="shared" si="357"/>
        <v>-632.20404833167368</v>
      </c>
      <c r="BG496" s="224">
        <f t="shared" si="374"/>
        <v>0</v>
      </c>
      <c r="BH496" s="19">
        <f t="shared" si="371"/>
        <v>764663.83405004442</v>
      </c>
      <c r="BI496" s="214">
        <f t="shared" si="358"/>
        <v>3722.0398777276769</v>
      </c>
      <c r="BJ496" s="214">
        <f t="shared" si="359"/>
        <v>0</v>
      </c>
      <c r="BK496" s="19">
        <f t="shared" si="375"/>
        <v>0</v>
      </c>
    </row>
    <row r="497" spans="1:63">
      <c r="A497" s="165">
        <f t="shared" si="360"/>
        <v>97.222792607802873</v>
      </c>
      <c r="B497" s="69">
        <f t="shared" si="361"/>
        <v>36</v>
      </c>
      <c r="C497" s="70">
        <f t="shared" si="362"/>
        <v>423</v>
      </c>
      <c r="D497" s="13">
        <f t="shared" si="331"/>
        <v>4.8675505653430484E-3</v>
      </c>
      <c r="E497" s="15">
        <f t="shared" si="332"/>
        <v>1</v>
      </c>
      <c r="F497" s="15">
        <f t="shared" si="363"/>
        <v>0</v>
      </c>
      <c r="G497" s="15">
        <f t="shared" si="333"/>
        <v>0</v>
      </c>
      <c r="H497" s="73">
        <f t="shared" si="334"/>
        <v>0</v>
      </c>
      <c r="I497" s="189"/>
      <c r="J497" s="189"/>
      <c r="K497" s="5">
        <f t="shared" si="376"/>
        <v>251465.11903706464</v>
      </c>
      <c r="M497" s="5">
        <f t="shared" si="335"/>
        <v>1224.019182332921</v>
      </c>
      <c r="N497" s="5">
        <f t="shared" si="336"/>
        <v>-416.09717734083091</v>
      </c>
      <c r="O497" s="5">
        <f t="shared" si="337"/>
        <v>0</v>
      </c>
      <c r="P497" s="5">
        <f t="shared" si="338"/>
        <v>0</v>
      </c>
      <c r="Q497" s="5">
        <f t="shared" si="372"/>
        <v>0</v>
      </c>
      <c r="R497" s="5">
        <f t="shared" si="364"/>
        <v>0</v>
      </c>
      <c r="S497" s="5">
        <f t="shared" si="339"/>
        <v>0</v>
      </c>
      <c r="T497" s="5">
        <f t="shared" si="340"/>
        <v>0</v>
      </c>
      <c r="U497" s="74">
        <f t="shared" si="341"/>
        <v>0</v>
      </c>
      <c r="V497" s="75">
        <f t="shared" si="342"/>
        <v>0</v>
      </c>
      <c r="W497" s="5">
        <f t="shared" si="343"/>
        <v>0</v>
      </c>
      <c r="X497" s="5">
        <f t="shared" si="344"/>
        <v>252273.04104205672</v>
      </c>
      <c r="Y497" s="5">
        <f t="shared" si="365"/>
        <v>100000</v>
      </c>
      <c r="Z497" s="215">
        <f t="shared" si="345"/>
        <v>1</v>
      </c>
      <c r="AA497" s="216">
        <f t="shared" si="366"/>
        <v>0</v>
      </c>
      <c r="AB497" s="72">
        <f t="shared" si="373"/>
        <v>75146.698411840829</v>
      </c>
      <c r="AC497" s="72">
        <f t="shared" si="346"/>
        <v>0</v>
      </c>
      <c r="AD497" s="72">
        <f t="shared" si="347"/>
        <v>0</v>
      </c>
      <c r="AE497" s="72">
        <f t="shared" si="367"/>
        <v>-52.53294621404536</v>
      </c>
      <c r="AF497" s="70">
        <f t="shared" si="348"/>
        <v>0</v>
      </c>
      <c r="AG497" s="70">
        <f t="shared" si="349"/>
        <v>11272.802580640258</v>
      </c>
      <c r="AH497" s="1">
        <f t="shared" si="381"/>
        <v>0</v>
      </c>
      <c r="AI497" s="1">
        <f t="shared" si="381"/>
        <v>0</v>
      </c>
      <c r="AJ497" s="1">
        <f t="shared" si="381"/>
        <v>0</v>
      </c>
      <c r="AK497" s="1">
        <f t="shared" si="381"/>
        <v>0</v>
      </c>
      <c r="AL497" s="1">
        <f t="shared" si="381"/>
        <v>0</v>
      </c>
      <c r="AM497" s="1">
        <f t="shared" si="381"/>
        <v>0</v>
      </c>
      <c r="AN497" s="1">
        <f t="shared" si="381"/>
        <v>0</v>
      </c>
      <c r="AO497" s="1">
        <f t="shared" si="381"/>
        <v>0</v>
      </c>
      <c r="AP497" s="1">
        <f t="shared" si="381"/>
        <v>0</v>
      </c>
      <c r="AQ497" s="1">
        <f t="shared" si="381"/>
        <v>0</v>
      </c>
      <c r="AR497" s="1">
        <f t="shared" si="381"/>
        <v>0</v>
      </c>
      <c r="AS497" s="1">
        <f t="shared" si="381"/>
        <v>1</v>
      </c>
      <c r="AT497" s="39">
        <f t="shared" si="350"/>
        <v>252273.04104205672</v>
      </c>
      <c r="AU497" s="39">
        <f t="shared" si="368"/>
        <v>252273.04104205672</v>
      </c>
      <c r="AV497" s="39">
        <f t="shared" si="378"/>
        <v>0</v>
      </c>
      <c r="AW497" s="3">
        <f t="shared" si="351"/>
        <v>423</v>
      </c>
      <c r="AX497" s="69">
        <f t="shared" si="369"/>
        <v>0</v>
      </c>
      <c r="AY497" s="75">
        <f t="shared" si="352"/>
        <v>0</v>
      </c>
      <c r="AZ497" s="75">
        <f t="shared" si="353"/>
        <v>0</v>
      </c>
      <c r="BA497" s="75">
        <f t="shared" si="354"/>
        <v>0</v>
      </c>
      <c r="BB497" s="75">
        <f t="shared" si="355"/>
        <v>0</v>
      </c>
      <c r="BD497" s="214">
        <f t="shared" si="370"/>
        <v>383295.16881363484</v>
      </c>
      <c r="BE497" s="214">
        <f t="shared" si="356"/>
        <v>1865.7086156520675</v>
      </c>
      <c r="BF497" s="214">
        <f t="shared" si="357"/>
        <v>-634.23523088394234</v>
      </c>
      <c r="BG497" s="224">
        <f t="shared" si="374"/>
        <v>0</v>
      </c>
      <c r="BH497" s="19">
        <f t="shared" si="371"/>
        <v>768385.87392777205</v>
      </c>
      <c r="BI497" s="214">
        <f t="shared" si="358"/>
        <v>3740.157095038739</v>
      </c>
      <c r="BJ497" s="214">
        <f t="shared" si="359"/>
        <v>0</v>
      </c>
      <c r="BK497" s="19">
        <f t="shared" si="375"/>
        <v>0</v>
      </c>
    </row>
    <row r="498" spans="1:63">
      <c r="A498" s="165">
        <f t="shared" si="360"/>
        <v>97.306125941136202</v>
      </c>
      <c r="B498" s="69">
        <f t="shared" si="361"/>
        <v>36</v>
      </c>
      <c r="C498" s="70">
        <f t="shared" si="362"/>
        <v>424</v>
      </c>
      <c r="D498" s="13">
        <f t="shared" si="331"/>
        <v>4.8675505653430484E-3</v>
      </c>
      <c r="E498" s="15">
        <f t="shared" si="332"/>
        <v>1</v>
      </c>
      <c r="F498" s="15">
        <f t="shared" si="363"/>
        <v>0</v>
      </c>
      <c r="G498" s="15">
        <f t="shared" si="333"/>
        <v>0</v>
      </c>
      <c r="H498" s="73">
        <f t="shared" si="334"/>
        <v>0</v>
      </c>
      <c r="I498" s="189"/>
      <c r="J498" s="189"/>
      <c r="K498" s="5">
        <f t="shared" si="376"/>
        <v>252273.04104205672</v>
      </c>
      <c r="M498" s="5">
        <f t="shared" si="335"/>
        <v>1227.9517835450733</v>
      </c>
      <c r="N498" s="5">
        <f t="shared" si="336"/>
        <v>-417.43403895836286</v>
      </c>
      <c r="O498" s="5">
        <f t="shared" si="337"/>
        <v>0</v>
      </c>
      <c r="P498" s="5">
        <f t="shared" si="338"/>
        <v>0</v>
      </c>
      <c r="Q498" s="5">
        <f t="shared" si="372"/>
        <v>0</v>
      </c>
      <c r="R498" s="5">
        <f t="shared" si="364"/>
        <v>0</v>
      </c>
      <c r="S498" s="5">
        <f t="shared" si="339"/>
        <v>0</v>
      </c>
      <c r="T498" s="5">
        <f t="shared" si="340"/>
        <v>0</v>
      </c>
      <c r="U498" s="74">
        <f t="shared" si="341"/>
        <v>0</v>
      </c>
      <c r="V498" s="75">
        <f t="shared" si="342"/>
        <v>0</v>
      </c>
      <c r="W498" s="5">
        <f t="shared" si="343"/>
        <v>0</v>
      </c>
      <c r="X498" s="5">
        <f t="shared" si="344"/>
        <v>253083.55878664344</v>
      </c>
      <c r="Y498" s="5">
        <f t="shared" si="365"/>
        <v>100000</v>
      </c>
      <c r="Z498" s="215">
        <f t="shared" si="345"/>
        <v>1</v>
      </c>
      <c r="AA498" s="216">
        <f t="shared" si="366"/>
        <v>0</v>
      </c>
      <c r="AB498" s="72">
        <f t="shared" si="373"/>
        <v>75146.698411840829</v>
      </c>
      <c r="AC498" s="72">
        <f t="shared" si="346"/>
        <v>0</v>
      </c>
      <c r="AD498" s="72">
        <f t="shared" si="347"/>
        <v>0</v>
      </c>
      <c r="AE498" s="72">
        <f t="shared" si="367"/>
        <v>-52.701727170211043</v>
      </c>
      <c r="AF498" s="70">
        <f t="shared" si="348"/>
        <v>0</v>
      </c>
      <c r="AG498" s="70">
        <f t="shared" si="349"/>
        <v>11580.799323583196</v>
      </c>
      <c r="AH498" s="1">
        <f t="shared" si="381"/>
        <v>0</v>
      </c>
      <c r="AI498" s="1">
        <f t="shared" si="381"/>
        <v>0</v>
      </c>
      <c r="AJ498" s="1">
        <f t="shared" si="381"/>
        <v>0</v>
      </c>
      <c r="AK498" s="1">
        <f t="shared" si="381"/>
        <v>0</v>
      </c>
      <c r="AL498" s="1">
        <f t="shared" si="381"/>
        <v>0</v>
      </c>
      <c r="AM498" s="1">
        <f t="shared" si="381"/>
        <v>0</v>
      </c>
      <c r="AN498" s="1">
        <f t="shared" si="381"/>
        <v>0</v>
      </c>
      <c r="AO498" s="1">
        <f t="shared" si="381"/>
        <v>0</v>
      </c>
      <c r="AP498" s="1">
        <f t="shared" si="381"/>
        <v>0</v>
      </c>
      <c r="AQ498" s="1">
        <f t="shared" si="381"/>
        <v>0</v>
      </c>
      <c r="AR498" s="1">
        <f t="shared" si="381"/>
        <v>0</v>
      </c>
      <c r="AS498" s="1">
        <f t="shared" si="381"/>
        <v>1</v>
      </c>
      <c r="AT498" s="39">
        <f t="shared" si="350"/>
        <v>253083.55878664344</v>
      </c>
      <c r="AU498" s="39">
        <f t="shared" si="368"/>
        <v>253083.55878664344</v>
      </c>
      <c r="AV498" s="39">
        <f t="shared" si="378"/>
        <v>0</v>
      </c>
      <c r="AW498" s="3">
        <f t="shared" si="351"/>
        <v>424</v>
      </c>
      <c r="AX498" s="69">
        <f t="shared" si="369"/>
        <v>0</v>
      </c>
      <c r="AY498" s="75">
        <f t="shared" si="352"/>
        <v>0</v>
      </c>
      <c r="AZ498" s="75">
        <f t="shared" si="353"/>
        <v>0</v>
      </c>
      <c r="BA498" s="75">
        <f t="shared" si="354"/>
        <v>0</v>
      </c>
      <c r="BB498" s="75">
        <f t="shared" si="355"/>
        <v>0</v>
      </c>
      <c r="BD498" s="214">
        <f t="shared" si="370"/>
        <v>384526.64219840296</v>
      </c>
      <c r="BE498" s="214">
        <f t="shared" si="356"/>
        <v>1871.7028746223004</v>
      </c>
      <c r="BF498" s="214">
        <f t="shared" si="357"/>
        <v>-636.27293933963017</v>
      </c>
      <c r="BG498" s="224">
        <f t="shared" si="374"/>
        <v>0</v>
      </c>
      <c r="BH498" s="19">
        <f t="shared" si="371"/>
        <v>772126.03102281073</v>
      </c>
      <c r="BI498" s="214">
        <f t="shared" si="358"/>
        <v>3758.3624988211664</v>
      </c>
      <c r="BJ498" s="214">
        <f t="shared" si="359"/>
        <v>0</v>
      </c>
      <c r="BK498" s="19">
        <f t="shared" si="375"/>
        <v>0</v>
      </c>
    </row>
    <row r="499" spans="1:63">
      <c r="A499" s="165">
        <f t="shared" si="360"/>
        <v>97.389459274469544</v>
      </c>
      <c r="B499" s="69">
        <f t="shared" si="361"/>
        <v>36</v>
      </c>
      <c r="C499" s="70">
        <f t="shared" si="362"/>
        <v>425</v>
      </c>
      <c r="D499" s="13">
        <f t="shared" si="331"/>
        <v>4.8675505653430484E-3</v>
      </c>
      <c r="E499" s="15">
        <f t="shared" si="332"/>
        <v>1</v>
      </c>
      <c r="F499" s="15">
        <f t="shared" si="363"/>
        <v>0</v>
      </c>
      <c r="G499" s="15">
        <f t="shared" si="333"/>
        <v>0</v>
      </c>
      <c r="H499" s="73">
        <f t="shared" si="334"/>
        <v>0</v>
      </c>
      <c r="I499" s="189"/>
      <c r="J499" s="189"/>
      <c r="K499" s="5">
        <f t="shared" si="376"/>
        <v>253083.55878664344</v>
      </c>
      <c r="M499" s="5">
        <f t="shared" si="335"/>
        <v>1231.897019650957</v>
      </c>
      <c r="N499" s="5">
        <f t="shared" si="336"/>
        <v>-418.77519572395579</v>
      </c>
      <c r="O499" s="5">
        <f t="shared" si="337"/>
        <v>0</v>
      </c>
      <c r="P499" s="5">
        <f t="shared" si="338"/>
        <v>0</v>
      </c>
      <c r="Q499" s="5">
        <f t="shared" si="372"/>
        <v>0</v>
      </c>
      <c r="R499" s="5">
        <f t="shared" si="364"/>
        <v>0</v>
      </c>
      <c r="S499" s="5">
        <f t="shared" si="339"/>
        <v>0</v>
      </c>
      <c r="T499" s="5">
        <f t="shared" si="340"/>
        <v>0</v>
      </c>
      <c r="U499" s="74">
        <f t="shared" si="341"/>
        <v>0</v>
      </c>
      <c r="V499" s="75">
        <f t="shared" si="342"/>
        <v>0</v>
      </c>
      <c r="W499" s="5">
        <f t="shared" si="343"/>
        <v>0</v>
      </c>
      <c r="X499" s="5">
        <f t="shared" si="344"/>
        <v>253896.68061057045</v>
      </c>
      <c r="Y499" s="5">
        <f t="shared" si="365"/>
        <v>100000</v>
      </c>
      <c r="Z499" s="215">
        <f t="shared" si="345"/>
        <v>1</v>
      </c>
      <c r="AA499" s="216">
        <f t="shared" si="366"/>
        <v>0</v>
      </c>
      <c r="AB499" s="72">
        <f t="shared" si="373"/>
        <v>75146.698411840829</v>
      </c>
      <c r="AC499" s="72">
        <f t="shared" si="346"/>
        <v>0</v>
      </c>
      <c r="AD499" s="72">
        <f t="shared" si="347"/>
        <v>0</v>
      </c>
      <c r="AE499" s="72">
        <f t="shared" si="367"/>
        <v>-52.871050395813661</v>
      </c>
      <c r="AF499" s="70">
        <f t="shared" si="348"/>
        <v>0</v>
      </c>
      <c r="AG499" s="70">
        <f t="shared" si="349"/>
        <v>11889.785616675465</v>
      </c>
      <c r="AH499" s="1">
        <f t="shared" si="381"/>
        <v>0</v>
      </c>
      <c r="AI499" s="1">
        <f t="shared" si="381"/>
        <v>0</v>
      </c>
      <c r="AJ499" s="1">
        <f t="shared" si="381"/>
        <v>0</v>
      </c>
      <c r="AK499" s="1">
        <f t="shared" si="381"/>
        <v>0</v>
      </c>
      <c r="AL499" s="1">
        <f t="shared" si="381"/>
        <v>0</v>
      </c>
      <c r="AM499" s="1">
        <f t="shared" si="381"/>
        <v>0</v>
      </c>
      <c r="AN499" s="1">
        <f t="shared" si="381"/>
        <v>0</v>
      </c>
      <c r="AO499" s="1">
        <f t="shared" si="381"/>
        <v>0</v>
      </c>
      <c r="AP499" s="1">
        <f t="shared" si="381"/>
        <v>0</v>
      </c>
      <c r="AQ499" s="1">
        <f t="shared" si="381"/>
        <v>0</v>
      </c>
      <c r="AR499" s="1">
        <f t="shared" si="381"/>
        <v>0</v>
      </c>
      <c r="AS499" s="1">
        <f t="shared" si="381"/>
        <v>1</v>
      </c>
      <c r="AT499" s="39">
        <f t="shared" si="350"/>
        <v>253896.68061057045</v>
      </c>
      <c r="AU499" s="39">
        <f t="shared" si="368"/>
        <v>253896.68061057045</v>
      </c>
      <c r="AV499" s="39">
        <f t="shared" si="378"/>
        <v>0</v>
      </c>
      <c r="AW499" s="3">
        <f t="shared" si="351"/>
        <v>425</v>
      </c>
      <c r="AX499" s="69">
        <f t="shared" si="369"/>
        <v>0</v>
      </c>
      <c r="AY499" s="75">
        <f t="shared" si="352"/>
        <v>0</v>
      </c>
      <c r="AZ499" s="75">
        <f t="shared" si="353"/>
        <v>0</v>
      </c>
      <c r="BA499" s="75">
        <f t="shared" si="354"/>
        <v>0</v>
      </c>
      <c r="BB499" s="75">
        <f t="shared" si="355"/>
        <v>0</v>
      </c>
      <c r="BD499" s="214">
        <f t="shared" si="370"/>
        <v>385762.07213368564</v>
      </c>
      <c r="BE499" s="214">
        <f t="shared" si="356"/>
        <v>1877.7163923022274</v>
      </c>
      <c r="BF499" s="214">
        <f t="shared" si="357"/>
        <v>-638.31719466554557</v>
      </c>
      <c r="BG499" s="224">
        <f t="shared" si="374"/>
        <v>0</v>
      </c>
      <c r="BH499" s="19">
        <f t="shared" si="371"/>
        <v>775884.39352163184</v>
      </c>
      <c r="BI499" s="214">
        <f t="shared" si="358"/>
        <v>3776.6565183270673</v>
      </c>
      <c r="BJ499" s="214">
        <f t="shared" si="359"/>
        <v>0</v>
      </c>
      <c r="BK499" s="19">
        <f t="shared" si="375"/>
        <v>0</v>
      </c>
    </row>
    <row r="500" spans="1:63">
      <c r="A500" s="165">
        <f t="shared" si="360"/>
        <v>97.472792607802873</v>
      </c>
      <c r="B500" s="69">
        <f t="shared" si="361"/>
        <v>36</v>
      </c>
      <c r="C500" s="70">
        <f t="shared" si="362"/>
        <v>426</v>
      </c>
      <c r="D500" s="13">
        <f t="shared" si="331"/>
        <v>4.8675505653430484E-3</v>
      </c>
      <c r="E500" s="15">
        <f t="shared" si="332"/>
        <v>1</v>
      </c>
      <c r="F500" s="15">
        <f t="shared" si="363"/>
        <v>0</v>
      </c>
      <c r="G500" s="15">
        <f t="shared" si="333"/>
        <v>0</v>
      </c>
      <c r="H500" s="73">
        <f t="shared" si="334"/>
        <v>0</v>
      </c>
      <c r="I500" s="189"/>
      <c r="J500" s="189"/>
      <c r="K500" s="5">
        <f t="shared" si="376"/>
        <v>253896.68061057045</v>
      </c>
      <c r="M500" s="5">
        <f t="shared" si="335"/>
        <v>1235.8549312447055</v>
      </c>
      <c r="N500" s="5">
        <f t="shared" si="336"/>
        <v>-420.12066143731533</v>
      </c>
      <c r="O500" s="5">
        <f t="shared" si="337"/>
        <v>0</v>
      </c>
      <c r="P500" s="5">
        <f t="shared" si="338"/>
        <v>0</v>
      </c>
      <c r="Q500" s="5">
        <f t="shared" si="372"/>
        <v>0</v>
      </c>
      <c r="R500" s="5">
        <f t="shared" si="364"/>
        <v>0</v>
      </c>
      <c r="S500" s="5">
        <f t="shared" si="339"/>
        <v>0</v>
      </c>
      <c r="T500" s="5">
        <f t="shared" si="340"/>
        <v>0</v>
      </c>
      <c r="U500" s="74">
        <f t="shared" si="341"/>
        <v>0</v>
      </c>
      <c r="V500" s="75">
        <f t="shared" si="342"/>
        <v>0</v>
      </c>
      <c r="W500" s="5">
        <f t="shared" si="343"/>
        <v>0</v>
      </c>
      <c r="X500" s="5">
        <f t="shared" si="344"/>
        <v>254712.41488037785</v>
      </c>
      <c r="Y500" s="5">
        <f t="shared" si="365"/>
        <v>100000</v>
      </c>
      <c r="Z500" s="215">
        <f t="shared" si="345"/>
        <v>1</v>
      </c>
      <c r="AA500" s="216">
        <f t="shared" si="366"/>
        <v>0</v>
      </c>
      <c r="AB500" s="72">
        <f t="shared" si="373"/>
        <v>75146.698411840829</v>
      </c>
      <c r="AC500" s="72">
        <f t="shared" si="346"/>
        <v>0</v>
      </c>
      <c r="AD500" s="72">
        <f t="shared" si="347"/>
        <v>0</v>
      </c>
      <c r="AE500" s="72">
        <f t="shared" si="367"/>
        <v>-53.040917633088533</v>
      </c>
      <c r="AF500" s="70">
        <f t="shared" si="348"/>
        <v>0</v>
      </c>
      <c r="AG500" s="70">
        <f t="shared" si="349"/>
        <v>12199.764639202258</v>
      </c>
      <c r="AH500" s="1">
        <f t="shared" si="381"/>
        <v>0</v>
      </c>
      <c r="AI500" s="1">
        <f t="shared" si="381"/>
        <v>0</v>
      </c>
      <c r="AJ500" s="1">
        <f t="shared" si="381"/>
        <v>0</v>
      </c>
      <c r="AK500" s="1">
        <f t="shared" si="381"/>
        <v>0</v>
      </c>
      <c r="AL500" s="1">
        <f t="shared" si="381"/>
        <v>0</v>
      </c>
      <c r="AM500" s="1">
        <f t="shared" si="381"/>
        <v>0</v>
      </c>
      <c r="AN500" s="1">
        <f t="shared" si="381"/>
        <v>0</v>
      </c>
      <c r="AO500" s="1">
        <f t="shared" si="381"/>
        <v>0</v>
      </c>
      <c r="AP500" s="1">
        <f t="shared" si="381"/>
        <v>0</v>
      </c>
      <c r="AQ500" s="1">
        <f t="shared" si="381"/>
        <v>0</v>
      </c>
      <c r="AR500" s="1">
        <f t="shared" si="381"/>
        <v>0</v>
      </c>
      <c r="AS500" s="1">
        <f t="shared" si="381"/>
        <v>1</v>
      </c>
      <c r="AT500" s="39">
        <f t="shared" si="350"/>
        <v>254712.41488037785</v>
      </c>
      <c r="AU500" s="39">
        <f t="shared" si="368"/>
        <v>254712.41488037785</v>
      </c>
      <c r="AV500" s="39">
        <f t="shared" si="378"/>
        <v>0</v>
      </c>
      <c r="AW500" s="3">
        <f t="shared" si="351"/>
        <v>426</v>
      </c>
      <c r="AX500" s="69">
        <f t="shared" si="369"/>
        <v>0</v>
      </c>
      <c r="AY500" s="75">
        <f t="shared" si="352"/>
        <v>0</v>
      </c>
      <c r="AZ500" s="75">
        <f t="shared" si="353"/>
        <v>0</v>
      </c>
      <c r="BA500" s="75">
        <f t="shared" si="354"/>
        <v>0</v>
      </c>
      <c r="BB500" s="75">
        <f t="shared" si="355"/>
        <v>0</v>
      </c>
      <c r="BD500" s="214">
        <f t="shared" si="370"/>
        <v>387001.47133132233</v>
      </c>
      <c r="BE500" s="214">
        <f t="shared" si="356"/>
        <v>1883.7492305673695</v>
      </c>
      <c r="BF500" s="214">
        <f t="shared" si="357"/>
        <v>-640.36801789586059</v>
      </c>
      <c r="BG500" s="224">
        <f t="shared" si="374"/>
        <v>0</v>
      </c>
      <c r="BH500" s="19">
        <f t="shared" si="371"/>
        <v>779661.05003995891</v>
      </c>
      <c r="BI500" s="214">
        <f t="shared" si="358"/>
        <v>3795.039584897957</v>
      </c>
      <c r="BJ500" s="214">
        <f t="shared" si="359"/>
        <v>0</v>
      </c>
      <c r="BK500" s="19">
        <f t="shared" si="375"/>
        <v>0</v>
      </c>
    </row>
    <row r="501" spans="1:63">
      <c r="A501" s="165">
        <f t="shared" si="360"/>
        <v>97.556125941136202</v>
      </c>
      <c r="B501" s="69">
        <f t="shared" si="361"/>
        <v>36</v>
      </c>
      <c r="C501" s="70">
        <f t="shared" si="362"/>
        <v>427</v>
      </c>
      <c r="D501" s="13">
        <f t="shared" si="331"/>
        <v>4.8675505653430484E-3</v>
      </c>
      <c r="E501" s="15">
        <f t="shared" si="332"/>
        <v>1</v>
      </c>
      <c r="F501" s="15">
        <f t="shared" si="363"/>
        <v>0</v>
      </c>
      <c r="G501" s="15">
        <f t="shared" si="333"/>
        <v>0</v>
      </c>
      <c r="H501" s="73">
        <f t="shared" si="334"/>
        <v>0</v>
      </c>
      <c r="I501" s="189"/>
      <c r="J501" s="189"/>
      <c r="K501" s="5">
        <f t="shared" si="376"/>
        <v>254712.41488037785</v>
      </c>
      <c r="M501" s="5">
        <f t="shared" si="335"/>
        <v>1239.8255590508763</v>
      </c>
      <c r="N501" s="5">
        <f t="shared" si="336"/>
        <v>-421.47044994248381</v>
      </c>
      <c r="O501" s="5">
        <f t="shared" si="337"/>
        <v>0</v>
      </c>
      <c r="P501" s="5">
        <f t="shared" si="338"/>
        <v>0</v>
      </c>
      <c r="Q501" s="5">
        <f t="shared" si="372"/>
        <v>0</v>
      </c>
      <c r="R501" s="5">
        <f t="shared" si="364"/>
        <v>0</v>
      </c>
      <c r="S501" s="5">
        <f t="shared" si="339"/>
        <v>0</v>
      </c>
      <c r="T501" s="5">
        <f t="shared" si="340"/>
        <v>0</v>
      </c>
      <c r="U501" s="74">
        <f t="shared" si="341"/>
        <v>0</v>
      </c>
      <c r="V501" s="75">
        <f t="shared" si="342"/>
        <v>0</v>
      </c>
      <c r="W501" s="5">
        <f t="shared" si="343"/>
        <v>0</v>
      </c>
      <c r="X501" s="5">
        <f t="shared" si="344"/>
        <v>255530.76998948623</v>
      </c>
      <c r="Y501" s="5">
        <f t="shared" si="365"/>
        <v>100000</v>
      </c>
      <c r="Z501" s="215">
        <f t="shared" si="345"/>
        <v>1</v>
      </c>
      <c r="AA501" s="216">
        <f t="shared" si="366"/>
        <v>0</v>
      </c>
      <c r="AB501" s="72">
        <f t="shared" si="373"/>
        <v>75146.698411840829</v>
      </c>
      <c r="AC501" s="72">
        <f t="shared" si="346"/>
        <v>0</v>
      </c>
      <c r="AD501" s="72">
        <f t="shared" si="347"/>
        <v>0</v>
      </c>
      <c r="AE501" s="72">
        <f t="shared" si="367"/>
        <v>-53.211330629868542</v>
      </c>
      <c r="AF501" s="70">
        <f t="shared" si="348"/>
        <v>0</v>
      </c>
      <c r="AG501" s="70">
        <f t="shared" si="349"/>
        <v>12510.739580663445</v>
      </c>
      <c r="AH501" s="1">
        <f t="shared" si="381"/>
        <v>0</v>
      </c>
      <c r="AI501" s="1">
        <f t="shared" si="381"/>
        <v>0</v>
      </c>
      <c r="AJ501" s="1">
        <f t="shared" si="381"/>
        <v>0</v>
      </c>
      <c r="AK501" s="1">
        <f t="shared" si="381"/>
        <v>0</v>
      </c>
      <c r="AL501" s="1">
        <f t="shared" si="381"/>
        <v>0</v>
      </c>
      <c r="AM501" s="1">
        <f t="shared" si="381"/>
        <v>0</v>
      </c>
      <c r="AN501" s="1">
        <f t="shared" si="381"/>
        <v>0</v>
      </c>
      <c r="AO501" s="1">
        <f t="shared" si="381"/>
        <v>0</v>
      </c>
      <c r="AP501" s="1">
        <f t="shared" si="381"/>
        <v>0</v>
      </c>
      <c r="AQ501" s="1">
        <f t="shared" si="381"/>
        <v>0</v>
      </c>
      <c r="AR501" s="1">
        <f t="shared" si="381"/>
        <v>0</v>
      </c>
      <c r="AS501" s="1">
        <f t="shared" si="381"/>
        <v>1</v>
      </c>
      <c r="AT501" s="39">
        <f t="shared" si="350"/>
        <v>255530.76998948623</v>
      </c>
      <c r="AU501" s="39">
        <f t="shared" si="368"/>
        <v>255530.76998948623</v>
      </c>
      <c r="AV501" s="39">
        <f t="shared" si="378"/>
        <v>0</v>
      </c>
      <c r="AW501" s="3">
        <f t="shared" si="351"/>
        <v>427</v>
      </c>
      <c r="AX501" s="69">
        <f t="shared" si="369"/>
        <v>0</v>
      </c>
      <c r="AY501" s="75">
        <f t="shared" si="352"/>
        <v>0</v>
      </c>
      <c r="AZ501" s="75">
        <f t="shared" si="353"/>
        <v>0</v>
      </c>
      <c r="BA501" s="75">
        <f t="shared" si="354"/>
        <v>0</v>
      </c>
      <c r="BB501" s="75">
        <f t="shared" si="355"/>
        <v>0</v>
      </c>
      <c r="BD501" s="214">
        <f t="shared" si="370"/>
        <v>388244.85254399385</v>
      </c>
      <c r="BE501" s="214">
        <f t="shared" si="356"/>
        <v>1889.8014514920458</v>
      </c>
      <c r="BF501" s="214">
        <f t="shared" si="357"/>
        <v>-642.4254301323266</v>
      </c>
      <c r="BG501" s="224">
        <f t="shared" si="374"/>
        <v>0</v>
      </c>
      <c r="BH501" s="19">
        <f t="shared" si="371"/>
        <v>783456.08962485683</v>
      </c>
      <c r="BI501" s="214">
        <f t="shared" si="358"/>
        <v>3813.512131974926</v>
      </c>
      <c r="BJ501" s="214">
        <f t="shared" si="359"/>
        <v>0</v>
      </c>
      <c r="BK501" s="19">
        <f t="shared" si="375"/>
        <v>0</v>
      </c>
    </row>
    <row r="502" spans="1:63">
      <c r="A502" s="165">
        <f t="shared" si="360"/>
        <v>97.639459274469544</v>
      </c>
      <c r="B502" s="69">
        <f t="shared" si="361"/>
        <v>36</v>
      </c>
      <c r="C502" s="70">
        <f t="shared" si="362"/>
        <v>428</v>
      </c>
      <c r="D502" s="13">
        <f t="shared" si="331"/>
        <v>4.8675505653430484E-3</v>
      </c>
      <c r="E502" s="15">
        <f t="shared" si="332"/>
        <v>1</v>
      </c>
      <c r="F502" s="15">
        <f t="shared" si="363"/>
        <v>0</v>
      </c>
      <c r="G502" s="15">
        <f t="shared" si="333"/>
        <v>0</v>
      </c>
      <c r="H502" s="73">
        <f t="shared" si="334"/>
        <v>0</v>
      </c>
      <c r="I502" s="189"/>
      <c r="J502" s="189"/>
      <c r="K502" s="5">
        <f t="shared" si="376"/>
        <v>255530.76998948623</v>
      </c>
      <c r="M502" s="5">
        <f t="shared" si="335"/>
        <v>1243.8089439248681</v>
      </c>
      <c r="N502" s="5">
        <f t="shared" si="336"/>
        <v>-422.8245751279822</v>
      </c>
      <c r="O502" s="5">
        <f t="shared" si="337"/>
        <v>0</v>
      </c>
      <c r="P502" s="5">
        <f t="shared" si="338"/>
        <v>0</v>
      </c>
      <c r="Q502" s="5">
        <f t="shared" si="372"/>
        <v>0</v>
      </c>
      <c r="R502" s="5">
        <f t="shared" si="364"/>
        <v>0</v>
      </c>
      <c r="S502" s="5">
        <f t="shared" si="339"/>
        <v>0</v>
      </c>
      <c r="T502" s="5">
        <f t="shared" si="340"/>
        <v>0</v>
      </c>
      <c r="U502" s="74">
        <f t="shared" si="341"/>
        <v>0</v>
      </c>
      <c r="V502" s="75">
        <f t="shared" si="342"/>
        <v>0</v>
      </c>
      <c r="W502" s="5">
        <f t="shared" si="343"/>
        <v>0</v>
      </c>
      <c r="X502" s="5">
        <f t="shared" si="344"/>
        <v>256351.75435828313</v>
      </c>
      <c r="Y502" s="5">
        <f t="shared" si="365"/>
        <v>100000</v>
      </c>
      <c r="Z502" s="215">
        <f t="shared" si="345"/>
        <v>1</v>
      </c>
      <c r="AA502" s="216">
        <f t="shared" si="366"/>
        <v>0</v>
      </c>
      <c r="AB502" s="72">
        <f t="shared" si="373"/>
        <v>75146.698411840829</v>
      </c>
      <c r="AC502" s="72">
        <f t="shared" si="346"/>
        <v>0</v>
      </c>
      <c r="AD502" s="72">
        <f t="shared" si="347"/>
        <v>0</v>
      </c>
      <c r="AE502" s="72">
        <f t="shared" si="367"/>
        <v>-53.382291139602067</v>
      </c>
      <c r="AF502" s="70">
        <f t="shared" si="348"/>
        <v>0</v>
      </c>
      <c r="AG502" s="70">
        <f t="shared" si="349"/>
        <v>12822.71364080628</v>
      </c>
      <c r="AH502" s="1">
        <f t="shared" si="381"/>
        <v>0</v>
      </c>
      <c r="AI502" s="1">
        <f t="shared" si="381"/>
        <v>0</v>
      </c>
      <c r="AJ502" s="1">
        <f t="shared" si="381"/>
        <v>0</v>
      </c>
      <c r="AK502" s="1">
        <f t="shared" si="381"/>
        <v>0</v>
      </c>
      <c r="AL502" s="1">
        <f t="shared" si="381"/>
        <v>0</v>
      </c>
      <c r="AM502" s="1">
        <f t="shared" si="381"/>
        <v>0</v>
      </c>
      <c r="AN502" s="1">
        <f t="shared" si="381"/>
        <v>0</v>
      </c>
      <c r="AO502" s="1">
        <f t="shared" si="381"/>
        <v>0</v>
      </c>
      <c r="AP502" s="1">
        <f t="shared" si="381"/>
        <v>0</v>
      </c>
      <c r="AQ502" s="1">
        <f t="shared" si="381"/>
        <v>0</v>
      </c>
      <c r="AR502" s="1">
        <f t="shared" si="381"/>
        <v>0</v>
      </c>
      <c r="AS502" s="1">
        <f t="shared" si="381"/>
        <v>1</v>
      </c>
      <c r="AT502" s="39">
        <f t="shared" si="350"/>
        <v>256351.75435828313</v>
      </c>
      <c r="AU502" s="39">
        <f t="shared" si="368"/>
        <v>256351.75435828313</v>
      </c>
      <c r="AV502" s="39">
        <f t="shared" si="378"/>
        <v>0</v>
      </c>
      <c r="AW502" s="3">
        <f t="shared" si="351"/>
        <v>428</v>
      </c>
      <c r="AX502" s="69">
        <f t="shared" si="369"/>
        <v>0</v>
      </c>
      <c r="AY502" s="75">
        <f t="shared" si="352"/>
        <v>0</v>
      </c>
      <c r="AZ502" s="75">
        <f t="shared" si="353"/>
        <v>0</v>
      </c>
      <c r="BA502" s="75">
        <f t="shared" si="354"/>
        <v>0</v>
      </c>
      <c r="BB502" s="75">
        <f t="shared" si="355"/>
        <v>0</v>
      </c>
      <c r="BD502" s="214">
        <f t="shared" si="370"/>
        <v>389492.22856535361</v>
      </c>
      <c r="BE502" s="214">
        <f t="shared" si="356"/>
        <v>1895.8731173500107</v>
      </c>
      <c r="BF502" s="214">
        <f t="shared" si="357"/>
        <v>-644.48945254449234</v>
      </c>
      <c r="BG502" s="224">
        <f t="shared" si="374"/>
        <v>0</v>
      </c>
      <c r="BH502" s="19">
        <f t="shared" si="371"/>
        <v>787269.60175683175</v>
      </c>
      <c r="BI502" s="214">
        <f t="shared" si="358"/>
        <v>3832.0745951088629</v>
      </c>
      <c r="BJ502" s="214">
        <f t="shared" si="359"/>
        <v>0</v>
      </c>
      <c r="BK502" s="19">
        <f t="shared" si="375"/>
        <v>0</v>
      </c>
    </row>
    <row r="503" spans="1:63">
      <c r="A503" s="165">
        <f t="shared" si="360"/>
        <v>97.722792607802873</v>
      </c>
      <c r="B503" s="69">
        <f t="shared" si="361"/>
        <v>36</v>
      </c>
      <c r="C503" s="70">
        <f t="shared" si="362"/>
        <v>429</v>
      </c>
      <c r="D503" s="13">
        <f t="shared" si="331"/>
        <v>4.8675505653430484E-3</v>
      </c>
      <c r="E503" s="15">
        <f t="shared" si="332"/>
        <v>1</v>
      </c>
      <c r="F503" s="15">
        <f t="shared" si="363"/>
        <v>0</v>
      </c>
      <c r="G503" s="15">
        <f t="shared" si="333"/>
        <v>0</v>
      </c>
      <c r="H503" s="73">
        <f t="shared" si="334"/>
        <v>0</v>
      </c>
      <c r="I503" s="189"/>
      <c r="J503" s="189"/>
      <c r="K503" s="5">
        <f t="shared" si="376"/>
        <v>256351.75435828313</v>
      </c>
      <c r="M503" s="5">
        <f t="shared" si="335"/>
        <v>1247.8051268533434</v>
      </c>
      <c r="N503" s="5">
        <f t="shared" si="336"/>
        <v>-424.18305092695368</v>
      </c>
      <c r="O503" s="5">
        <f t="shared" si="337"/>
        <v>0</v>
      </c>
      <c r="P503" s="5">
        <f t="shared" si="338"/>
        <v>0</v>
      </c>
      <c r="Q503" s="5">
        <f t="shared" si="372"/>
        <v>0</v>
      </c>
      <c r="R503" s="5">
        <f t="shared" si="364"/>
        <v>0</v>
      </c>
      <c r="S503" s="5">
        <f t="shared" si="339"/>
        <v>0</v>
      </c>
      <c r="T503" s="5">
        <f t="shared" si="340"/>
        <v>0</v>
      </c>
      <c r="U503" s="74">
        <f t="shared" si="341"/>
        <v>0</v>
      </c>
      <c r="V503" s="75">
        <f t="shared" si="342"/>
        <v>0</v>
      </c>
      <c r="W503" s="5">
        <f t="shared" si="343"/>
        <v>0</v>
      </c>
      <c r="X503" s="5">
        <f t="shared" si="344"/>
        <v>257175.37643420952</v>
      </c>
      <c r="Y503" s="5">
        <f t="shared" si="365"/>
        <v>100000</v>
      </c>
      <c r="Z503" s="215">
        <f t="shared" si="345"/>
        <v>1</v>
      </c>
      <c r="AA503" s="216">
        <f t="shared" si="366"/>
        <v>0</v>
      </c>
      <c r="AB503" s="72">
        <f t="shared" si="373"/>
        <v>75146.698411840829</v>
      </c>
      <c r="AC503" s="72">
        <f t="shared" si="346"/>
        <v>0</v>
      </c>
      <c r="AD503" s="72">
        <f t="shared" si="347"/>
        <v>0</v>
      </c>
      <c r="AE503" s="72">
        <f t="shared" si="367"/>
        <v>-53.553800921371142</v>
      </c>
      <c r="AF503" s="70">
        <f t="shared" si="348"/>
        <v>0</v>
      </c>
      <c r="AG503" s="70">
        <f t="shared" si="349"/>
        <v>13135.690029658304</v>
      </c>
      <c r="AH503" s="1">
        <f t="shared" si="381"/>
        <v>0</v>
      </c>
      <c r="AI503" s="1">
        <f t="shared" si="381"/>
        <v>0</v>
      </c>
      <c r="AJ503" s="1">
        <f t="shared" si="381"/>
        <v>0</v>
      </c>
      <c r="AK503" s="1">
        <f t="shared" si="381"/>
        <v>0</v>
      </c>
      <c r="AL503" s="1">
        <f t="shared" si="381"/>
        <v>0</v>
      </c>
      <c r="AM503" s="1">
        <f t="shared" si="381"/>
        <v>0</v>
      </c>
      <c r="AN503" s="1">
        <f t="shared" si="381"/>
        <v>0</v>
      </c>
      <c r="AO503" s="1">
        <f t="shared" si="381"/>
        <v>0</v>
      </c>
      <c r="AP503" s="1">
        <f t="shared" si="381"/>
        <v>0</v>
      </c>
      <c r="AQ503" s="1">
        <f t="shared" si="381"/>
        <v>0</v>
      </c>
      <c r="AR503" s="1">
        <f t="shared" si="381"/>
        <v>0</v>
      </c>
      <c r="AS503" s="1">
        <f t="shared" si="381"/>
        <v>1</v>
      </c>
      <c r="AT503" s="39">
        <f t="shared" si="350"/>
        <v>257175.37643420952</v>
      </c>
      <c r="AU503" s="39">
        <f t="shared" si="368"/>
        <v>257175.37643420952</v>
      </c>
      <c r="AV503" s="39">
        <f t="shared" si="378"/>
        <v>0</v>
      </c>
      <c r="AW503" s="3">
        <f t="shared" si="351"/>
        <v>429</v>
      </c>
      <c r="AX503" s="69">
        <f t="shared" si="369"/>
        <v>0</v>
      </c>
      <c r="AY503" s="75">
        <f t="shared" si="352"/>
        <v>0</v>
      </c>
      <c r="AZ503" s="75">
        <f t="shared" si="353"/>
        <v>0</v>
      </c>
      <c r="BA503" s="75">
        <f t="shared" si="354"/>
        <v>0</v>
      </c>
      <c r="BB503" s="75">
        <f t="shared" si="355"/>
        <v>0</v>
      </c>
      <c r="BD503" s="214">
        <f t="shared" si="370"/>
        <v>390743.61223015911</v>
      </c>
      <c r="BE503" s="214">
        <f t="shared" si="356"/>
        <v>1901.9642906150959</v>
      </c>
      <c r="BF503" s="214">
        <f t="shared" si="357"/>
        <v>-646.56010636992107</v>
      </c>
      <c r="BG503" s="224">
        <f t="shared" si="374"/>
        <v>0</v>
      </c>
      <c r="BH503" s="19">
        <f t="shared" si="371"/>
        <v>791101.67635194061</v>
      </c>
      <c r="BI503" s="214">
        <f t="shared" si="358"/>
        <v>3850.7274119707217</v>
      </c>
      <c r="BJ503" s="214">
        <f t="shared" si="359"/>
        <v>0</v>
      </c>
      <c r="BK503" s="19">
        <f t="shared" si="375"/>
        <v>0</v>
      </c>
    </row>
    <row r="504" spans="1:63">
      <c r="A504" s="165">
        <f t="shared" si="360"/>
        <v>97.806125941136202</v>
      </c>
      <c r="B504" s="69">
        <f t="shared" si="361"/>
        <v>36</v>
      </c>
      <c r="C504" s="70">
        <f t="shared" si="362"/>
        <v>430</v>
      </c>
      <c r="D504" s="13">
        <f t="shared" si="331"/>
        <v>4.8675505653430484E-3</v>
      </c>
      <c r="E504" s="15">
        <f t="shared" si="332"/>
        <v>1</v>
      </c>
      <c r="F504" s="15">
        <f t="shared" si="363"/>
        <v>0</v>
      </c>
      <c r="G504" s="15">
        <f t="shared" si="333"/>
        <v>0</v>
      </c>
      <c r="H504" s="73">
        <f t="shared" si="334"/>
        <v>0</v>
      </c>
      <c r="I504" s="189"/>
      <c r="J504" s="189"/>
      <c r="K504" s="5">
        <f t="shared" si="376"/>
        <v>257175.37643420952</v>
      </c>
      <c r="M504" s="5">
        <f t="shared" si="335"/>
        <v>1251.8141489546479</v>
      </c>
      <c r="N504" s="5">
        <f t="shared" si="336"/>
        <v>-425.54589131730643</v>
      </c>
      <c r="O504" s="5">
        <f t="shared" si="337"/>
        <v>0</v>
      </c>
      <c r="P504" s="5">
        <f t="shared" si="338"/>
        <v>0</v>
      </c>
      <c r="Q504" s="5">
        <f t="shared" si="372"/>
        <v>0</v>
      </c>
      <c r="R504" s="5">
        <f t="shared" si="364"/>
        <v>0</v>
      </c>
      <c r="S504" s="5">
        <f t="shared" si="339"/>
        <v>0</v>
      </c>
      <c r="T504" s="5">
        <f t="shared" si="340"/>
        <v>0</v>
      </c>
      <c r="U504" s="74">
        <f t="shared" si="341"/>
        <v>0</v>
      </c>
      <c r="V504" s="75">
        <f t="shared" si="342"/>
        <v>0</v>
      </c>
      <c r="W504" s="5">
        <f t="shared" si="343"/>
        <v>0</v>
      </c>
      <c r="X504" s="5">
        <f t="shared" si="344"/>
        <v>258001.64469184686</v>
      </c>
      <c r="Y504" s="5">
        <f t="shared" si="365"/>
        <v>100000</v>
      </c>
      <c r="Z504" s="215">
        <f t="shared" si="345"/>
        <v>1</v>
      </c>
      <c r="AA504" s="216">
        <f t="shared" si="366"/>
        <v>0</v>
      </c>
      <c r="AB504" s="72">
        <f t="shared" si="373"/>
        <v>75146.698411840829</v>
      </c>
      <c r="AC504" s="72">
        <f t="shared" si="346"/>
        <v>0</v>
      </c>
      <c r="AD504" s="72">
        <f t="shared" si="347"/>
        <v>0</v>
      </c>
      <c r="AE504" s="72">
        <f t="shared" si="367"/>
        <v>-53.725861739909412</v>
      </c>
      <c r="AF504" s="70">
        <f t="shared" si="348"/>
        <v>0</v>
      </c>
      <c r="AG504" s="70">
        <f t="shared" si="349"/>
        <v>13449.671967560498</v>
      </c>
      <c r="AH504" s="1">
        <f t="shared" si="381"/>
        <v>0</v>
      </c>
      <c r="AI504" s="1">
        <f t="shared" si="381"/>
        <v>0</v>
      </c>
      <c r="AJ504" s="1">
        <f t="shared" si="381"/>
        <v>0</v>
      </c>
      <c r="AK504" s="1">
        <f t="shared" si="381"/>
        <v>0</v>
      </c>
      <c r="AL504" s="1">
        <f t="shared" si="381"/>
        <v>0</v>
      </c>
      <c r="AM504" s="1">
        <f t="shared" si="381"/>
        <v>0</v>
      </c>
      <c r="AN504" s="1">
        <f t="shared" si="381"/>
        <v>0</v>
      </c>
      <c r="AO504" s="1">
        <f t="shared" si="381"/>
        <v>0</v>
      </c>
      <c r="AP504" s="1">
        <f t="shared" si="381"/>
        <v>0</v>
      </c>
      <c r="AQ504" s="1">
        <f t="shared" si="381"/>
        <v>0</v>
      </c>
      <c r="AR504" s="1">
        <f t="shared" si="381"/>
        <v>0</v>
      </c>
      <c r="AS504" s="1">
        <f t="shared" si="381"/>
        <v>1</v>
      </c>
      <c r="AT504" s="39">
        <f t="shared" si="350"/>
        <v>258001.64469184686</v>
      </c>
      <c r="AU504" s="39">
        <f t="shared" si="368"/>
        <v>258001.64469184686</v>
      </c>
      <c r="AV504" s="39">
        <f t="shared" si="378"/>
        <v>0</v>
      </c>
      <c r="AW504" s="3">
        <f t="shared" si="351"/>
        <v>430</v>
      </c>
      <c r="AX504" s="69">
        <f t="shared" si="369"/>
        <v>0</v>
      </c>
      <c r="AY504" s="75">
        <f t="shared" si="352"/>
        <v>0</v>
      </c>
      <c r="AZ504" s="75">
        <f t="shared" si="353"/>
        <v>0</v>
      </c>
      <c r="BA504" s="75">
        <f t="shared" si="354"/>
        <v>0</v>
      </c>
      <c r="BB504" s="75">
        <f t="shared" si="355"/>
        <v>0</v>
      </c>
      <c r="BD504" s="214">
        <f t="shared" si="370"/>
        <v>391999.01641440432</v>
      </c>
      <c r="BE504" s="214">
        <f t="shared" si="356"/>
        <v>1908.0750339618526</v>
      </c>
      <c r="BF504" s="214">
        <f t="shared" si="357"/>
        <v>-648.63741291440965</v>
      </c>
      <c r="BG504" s="224">
        <f t="shared" si="374"/>
        <v>0</v>
      </c>
      <c r="BH504" s="19">
        <f t="shared" si="371"/>
        <v>794952.40376391134</v>
      </c>
      <c r="BI504" s="214">
        <f t="shared" si="358"/>
        <v>3869.4710223618417</v>
      </c>
      <c r="BJ504" s="214">
        <f t="shared" si="359"/>
        <v>0</v>
      </c>
      <c r="BK504" s="19">
        <f t="shared" si="375"/>
        <v>0</v>
      </c>
    </row>
    <row r="505" spans="1:63">
      <c r="A505" s="165">
        <f t="shared" si="360"/>
        <v>97.889459274469544</v>
      </c>
      <c r="B505" s="69">
        <f t="shared" si="361"/>
        <v>36</v>
      </c>
      <c r="C505" s="70">
        <f t="shared" si="362"/>
        <v>431</v>
      </c>
      <c r="D505" s="13">
        <f t="shared" si="331"/>
        <v>4.8675505653430484E-3</v>
      </c>
      <c r="E505" s="15">
        <f t="shared" si="332"/>
        <v>1</v>
      </c>
      <c r="F505" s="15">
        <f t="shared" si="363"/>
        <v>0</v>
      </c>
      <c r="G505" s="15">
        <f t="shared" si="333"/>
        <v>0</v>
      </c>
      <c r="H505" s="73">
        <f t="shared" si="334"/>
        <v>0</v>
      </c>
      <c r="I505" s="189"/>
      <c r="J505" s="189"/>
      <c r="K505" s="5">
        <f t="shared" si="376"/>
        <v>258001.64469184686</v>
      </c>
      <c r="M505" s="5">
        <f t="shared" si="335"/>
        <v>1255.8360514792355</v>
      </c>
      <c r="N505" s="5">
        <f t="shared" si="336"/>
        <v>-426.91311032185763</v>
      </c>
      <c r="O505" s="5">
        <f t="shared" si="337"/>
        <v>0</v>
      </c>
      <c r="P505" s="5">
        <f t="shared" si="338"/>
        <v>0</v>
      </c>
      <c r="Q505" s="5">
        <f t="shared" si="372"/>
        <v>0</v>
      </c>
      <c r="R505" s="5">
        <f t="shared" si="364"/>
        <v>0</v>
      </c>
      <c r="S505" s="5">
        <f t="shared" si="339"/>
        <v>0</v>
      </c>
      <c r="T505" s="5">
        <f t="shared" si="340"/>
        <v>0</v>
      </c>
      <c r="U505" s="74">
        <f t="shared" si="341"/>
        <v>0</v>
      </c>
      <c r="V505" s="75">
        <f t="shared" si="342"/>
        <v>0</v>
      </c>
      <c r="W505" s="5">
        <f t="shared" si="343"/>
        <v>0</v>
      </c>
      <c r="X505" s="5">
        <f t="shared" si="344"/>
        <v>258830.56763300425</v>
      </c>
      <c r="Y505" s="5">
        <f t="shared" si="365"/>
        <v>100000</v>
      </c>
      <c r="Z505" s="215">
        <f t="shared" si="345"/>
        <v>1</v>
      </c>
      <c r="AA505" s="216">
        <f t="shared" si="366"/>
        <v>0</v>
      </c>
      <c r="AB505" s="72">
        <f t="shared" si="373"/>
        <v>75146.698411840829</v>
      </c>
      <c r="AC505" s="72">
        <f t="shared" si="346"/>
        <v>0</v>
      </c>
      <c r="AD505" s="72">
        <f t="shared" si="347"/>
        <v>0</v>
      </c>
      <c r="AE505" s="72">
        <f t="shared" si="367"/>
        <v>-53.898475365620406</v>
      </c>
      <c r="AF505" s="70">
        <f t="shared" si="348"/>
        <v>0</v>
      </c>
      <c r="AG505" s="70">
        <f t="shared" si="349"/>
        <v>13764.66268520031</v>
      </c>
      <c r="AH505" s="1">
        <f t="shared" ref="AH505:AS514" si="382">IF($B505&lt;=AH$74,1,0)</f>
        <v>0</v>
      </c>
      <c r="AI505" s="1">
        <f t="shared" si="382"/>
        <v>0</v>
      </c>
      <c r="AJ505" s="1">
        <f t="shared" si="382"/>
        <v>0</v>
      </c>
      <c r="AK505" s="1">
        <f t="shared" si="382"/>
        <v>0</v>
      </c>
      <c r="AL505" s="1">
        <f t="shared" si="382"/>
        <v>0</v>
      </c>
      <c r="AM505" s="1">
        <f t="shared" si="382"/>
        <v>0</v>
      </c>
      <c r="AN505" s="1">
        <f t="shared" si="382"/>
        <v>0</v>
      </c>
      <c r="AO505" s="1">
        <f t="shared" si="382"/>
        <v>0</v>
      </c>
      <c r="AP505" s="1">
        <f t="shared" si="382"/>
        <v>0</v>
      </c>
      <c r="AQ505" s="1">
        <f t="shared" si="382"/>
        <v>0</v>
      </c>
      <c r="AR505" s="1">
        <f t="shared" si="382"/>
        <v>0</v>
      </c>
      <c r="AS505" s="1">
        <f t="shared" si="382"/>
        <v>1</v>
      </c>
      <c r="AT505" s="39">
        <f t="shared" si="350"/>
        <v>258830.56763300425</v>
      </c>
      <c r="AU505" s="39">
        <f t="shared" si="368"/>
        <v>258830.56763300425</v>
      </c>
      <c r="AV505" s="39">
        <f t="shared" si="378"/>
        <v>0</v>
      </c>
      <c r="AW505" s="3">
        <f t="shared" si="351"/>
        <v>431</v>
      </c>
      <c r="AX505" s="69">
        <f t="shared" si="369"/>
        <v>0</v>
      </c>
      <c r="AY505" s="75">
        <f t="shared" si="352"/>
        <v>0</v>
      </c>
      <c r="AZ505" s="75">
        <f t="shared" si="353"/>
        <v>0</v>
      </c>
      <c r="BA505" s="75">
        <f t="shared" si="354"/>
        <v>0</v>
      </c>
      <c r="BB505" s="75">
        <f t="shared" si="355"/>
        <v>0</v>
      </c>
      <c r="BD505" s="214">
        <f t="shared" si="370"/>
        <v>393258.45403545175</v>
      </c>
      <c r="BE505" s="214">
        <f t="shared" si="356"/>
        <v>1914.2054102661964</v>
      </c>
      <c r="BF505" s="214">
        <f t="shared" si="357"/>
        <v>-650.72139355220713</v>
      </c>
      <c r="BG505" s="224">
        <f t="shared" si="374"/>
        <v>0</v>
      </c>
      <c r="BH505" s="19">
        <f t="shared" si="371"/>
        <v>798821.87478627323</v>
      </c>
      <c r="BI505" s="214">
        <f t="shared" si="358"/>
        <v>3888.3058682243181</v>
      </c>
      <c r="BJ505" s="214">
        <f t="shared" si="359"/>
        <v>0</v>
      </c>
      <c r="BK505" s="19">
        <f t="shared" si="375"/>
        <v>0</v>
      </c>
    </row>
    <row r="506" spans="1:63">
      <c r="A506" s="165">
        <f t="shared" si="360"/>
        <v>97.972792607802873</v>
      </c>
      <c r="B506" s="69">
        <f t="shared" si="361"/>
        <v>36</v>
      </c>
      <c r="C506" s="70">
        <f t="shared" si="362"/>
        <v>432</v>
      </c>
      <c r="D506" s="13">
        <f t="shared" si="331"/>
        <v>4.8675505653430484E-3</v>
      </c>
      <c r="E506" s="15">
        <f t="shared" si="332"/>
        <v>1</v>
      </c>
      <c r="F506" s="15">
        <f t="shared" si="363"/>
        <v>0</v>
      </c>
      <c r="G506" s="15">
        <f t="shared" si="333"/>
        <v>0</v>
      </c>
      <c r="H506" s="73">
        <f t="shared" si="334"/>
        <v>0</v>
      </c>
      <c r="I506" s="189"/>
      <c r="J506" s="189"/>
      <c r="K506" s="5">
        <f t="shared" si="376"/>
        <v>258830.56763300425</v>
      </c>
      <c r="M506" s="5">
        <f t="shared" si="335"/>
        <v>1259.870875810092</v>
      </c>
      <c r="N506" s="5">
        <f t="shared" si="336"/>
        <v>-428.28472200847818</v>
      </c>
      <c r="O506" s="5">
        <f t="shared" si="337"/>
        <v>0</v>
      </c>
      <c r="P506" s="5">
        <f t="shared" si="338"/>
        <v>0</v>
      </c>
      <c r="Q506" s="5">
        <f t="shared" si="372"/>
        <v>0</v>
      </c>
      <c r="R506" s="5">
        <f t="shared" si="364"/>
        <v>0</v>
      </c>
      <c r="S506" s="5">
        <f t="shared" si="339"/>
        <v>0</v>
      </c>
      <c r="T506" s="5">
        <f t="shared" si="340"/>
        <v>0</v>
      </c>
      <c r="U506" s="74">
        <f t="shared" si="341"/>
        <v>0</v>
      </c>
      <c r="V506" s="75">
        <f t="shared" si="342"/>
        <v>0</v>
      </c>
      <c r="W506" s="5">
        <f t="shared" si="343"/>
        <v>0</v>
      </c>
      <c r="X506" s="5">
        <f t="shared" si="344"/>
        <v>259662.15378680587</v>
      </c>
      <c r="Y506" s="5">
        <f t="shared" si="365"/>
        <v>100000</v>
      </c>
      <c r="Z506" s="215">
        <f t="shared" si="345"/>
        <v>1</v>
      </c>
      <c r="AA506" s="216">
        <f t="shared" si="366"/>
        <v>0</v>
      </c>
      <c r="AB506" s="72">
        <f t="shared" si="373"/>
        <v>75146.698411840829</v>
      </c>
      <c r="AC506" s="72">
        <f t="shared" si="346"/>
        <v>0</v>
      </c>
      <c r="AD506" s="72">
        <f t="shared" si="347"/>
        <v>0</v>
      </c>
      <c r="AE506" s="72">
        <f t="shared" si="367"/>
        <v>-54.071643574595711</v>
      </c>
      <c r="AF506" s="70">
        <f t="shared" si="348"/>
        <v>0</v>
      </c>
      <c r="AG506" s="70">
        <f t="shared" si="349"/>
        <v>14080.66542364491</v>
      </c>
      <c r="AH506" s="1">
        <f t="shared" si="382"/>
        <v>0</v>
      </c>
      <c r="AI506" s="1">
        <f t="shared" si="382"/>
        <v>0</v>
      </c>
      <c r="AJ506" s="1">
        <f t="shared" si="382"/>
        <v>0</v>
      </c>
      <c r="AK506" s="1">
        <f t="shared" si="382"/>
        <v>0</v>
      </c>
      <c r="AL506" s="1">
        <f t="shared" si="382"/>
        <v>0</v>
      </c>
      <c r="AM506" s="1">
        <f t="shared" si="382"/>
        <v>0</v>
      </c>
      <c r="AN506" s="1">
        <f t="shared" si="382"/>
        <v>0</v>
      </c>
      <c r="AO506" s="1">
        <f t="shared" si="382"/>
        <v>0</v>
      </c>
      <c r="AP506" s="1">
        <f t="shared" si="382"/>
        <v>0</v>
      </c>
      <c r="AQ506" s="1">
        <f t="shared" si="382"/>
        <v>0</v>
      </c>
      <c r="AR506" s="1">
        <f t="shared" si="382"/>
        <v>0</v>
      </c>
      <c r="AS506" s="1">
        <f t="shared" si="382"/>
        <v>1</v>
      </c>
      <c r="AT506" s="39">
        <f t="shared" si="350"/>
        <v>259662.15378680587</v>
      </c>
      <c r="AU506" s="39">
        <f t="shared" si="368"/>
        <v>259662.15378680587</v>
      </c>
      <c r="AV506" s="39">
        <f t="shared" si="378"/>
        <v>0</v>
      </c>
      <c r="AW506" s="3">
        <f t="shared" si="351"/>
        <v>432</v>
      </c>
      <c r="AX506" s="69">
        <f t="shared" si="369"/>
        <v>0</v>
      </c>
      <c r="AY506" s="75">
        <f t="shared" si="352"/>
        <v>0</v>
      </c>
      <c r="AZ506" s="75">
        <f t="shared" si="353"/>
        <v>0</v>
      </c>
      <c r="BA506" s="75">
        <f t="shared" si="354"/>
        <v>0</v>
      </c>
      <c r="BB506" s="75">
        <f t="shared" si="355"/>
        <v>0</v>
      </c>
      <c r="BD506" s="214">
        <f t="shared" si="370"/>
        <v>394521.93805216573</v>
      </c>
      <c r="BE506" s="214">
        <f t="shared" si="356"/>
        <v>1920.3554826060545</v>
      </c>
      <c r="BF506" s="214">
        <f t="shared" si="357"/>
        <v>-652.81206972623534</v>
      </c>
      <c r="BG506" s="224">
        <f t="shared" si="374"/>
        <v>0</v>
      </c>
      <c r="BH506" s="19">
        <f t="shared" si="371"/>
        <v>802710.18065449758</v>
      </c>
      <c r="BI506" s="214">
        <f t="shared" si="358"/>
        <v>3907.2323936514204</v>
      </c>
      <c r="BJ506" s="214">
        <f t="shared" si="359"/>
        <v>0</v>
      </c>
      <c r="BK506" s="19">
        <f t="shared" si="375"/>
        <v>0</v>
      </c>
    </row>
    <row r="507" spans="1:63">
      <c r="A507" s="165">
        <f t="shared" si="360"/>
        <v>98.056125941136202</v>
      </c>
      <c r="B507" s="69">
        <f t="shared" si="361"/>
        <v>37</v>
      </c>
      <c r="C507" s="70">
        <f t="shared" si="362"/>
        <v>433</v>
      </c>
      <c r="D507" s="13">
        <f t="shared" si="331"/>
        <v>4.8675505653430484E-3</v>
      </c>
      <c r="E507" s="15">
        <f t="shared" si="332"/>
        <v>1</v>
      </c>
      <c r="F507" s="15">
        <f t="shared" si="363"/>
        <v>0</v>
      </c>
      <c r="G507" s="15">
        <f t="shared" si="333"/>
        <v>0</v>
      </c>
      <c r="H507" s="73">
        <f t="shared" si="334"/>
        <v>0</v>
      </c>
      <c r="I507" s="189"/>
      <c r="J507" s="189"/>
      <c r="K507" s="5">
        <f t="shared" si="376"/>
        <v>259662.15378680587</v>
      </c>
      <c r="M507" s="5">
        <f t="shared" si="335"/>
        <v>1263.9186634631606</v>
      </c>
      <c r="N507" s="5">
        <f t="shared" si="336"/>
        <v>-429.66074049023655</v>
      </c>
      <c r="O507" s="5">
        <f t="shared" si="337"/>
        <v>0</v>
      </c>
      <c r="P507" s="5">
        <f t="shared" si="338"/>
        <v>0</v>
      </c>
      <c r="Q507" s="5">
        <f t="shared" si="372"/>
        <v>0</v>
      </c>
      <c r="R507" s="5">
        <f t="shared" si="364"/>
        <v>0</v>
      </c>
      <c r="S507" s="5">
        <f t="shared" si="339"/>
        <v>0</v>
      </c>
      <c r="T507" s="5">
        <f t="shared" si="340"/>
        <v>0</v>
      </c>
      <c r="U507" s="74">
        <f t="shared" si="341"/>
        <v>0</v>
      </c>
      <c r="V507" s="75">
        <f t="shared" si="342"/>
        <v>0</v>
      </c>
      <c r="W507" s="5">
        <f t="shared" si="343"/>
        <v>0</v>
      </c>
      <c r="X507" s="5">
        <f t="shared" si="344"/>
        <v>260496.41170977877</v>
      </c>
      <c r="Y507" s="5">
        <f t="shared" si="365"/>
        <v>100000</v>
      </c>
      <c r="Z507" s="215">
        <f t="shared" si="345"/>
        <v>1</v>
      </c>
      <c r="AA507" s="216">
        <f t="shared" si="366"/>
        <v>0</v>
      </c>
      <c r="AB507" s="72">
        <f t="shared" si="373"/>
        <v>75146.698411840829</v>
      </c>
      <c r="AC507" s="72">
        <f t="shared" si="346"/>
        <v>0</v>
      </c>
      <c r="AD507" s="72">
        <f t="shared" si="347"/>
        <v>0</v>
      </c>
      <c r="AE507" s="72">
        <f t="shared" si="367"/>
        <v>-54.245368148633212</v>
      </c>
      <c r="AF507" s="70">
        <f t="shared" si="348"/>
        <v>0</v>
      </c>
      <c r="AG507" s="70">
        <f t="shared" si="349"/>
        <v>14397.683434374616</v>
      </c>
      <c r="AH507" s="1">
        <f t="shared" si="382"/>
        <v>0</v>
      </c>
      <c r="AI507" s="1">
        <f t="shared" si="382"/>
        <v>0</v>
      </c>
      <c r="AJ507" s="1">
        <f t="shared" si="382"/>
        <v>0</v>
      </c>
      <c r="AK507" s="1">
        <f t="shared" si="382"/>
        <v>0</v>
      </c>
      <c r="AL507" s="1">
        <f t="shared" si="382"/>
        <v>0</v>
      </c>
      <c r="AM507" s="1">
        <f t="shared" si="382"/>
        <v>0</v>
      </c>
      <c r="AN507" s="1">
        <f t="shared" si="382"/>
        <v>0</v>
      </c>
      <c r="AO507" s="1">
        <f t="shared" si="382"/>
        <v>0</v>
      </c>
      <c r="AP507" s="1">
        <f t="shared" si="382"/>
        <v>0</v>
      </c>
      <c r="AQ507" s="1">
        <f t="shared" si="382"/>
        <v>0</v>
      </c>
      <c r="AR507" s="1">
        <f t="shared" si="382"/>
        <v>0</v>
      </c>
      <c r="AS507" s="1">
        <f t="shared" si="382"/>
        <v>1</v>
      </c>
      <c r="AT507" s="39">
        <f t="shared" si="350"/>
        <v>260496.41170977877</v>
      </c>
      <c r="AU507" s="39">
        <f t="shared" si="368"/>
        <v>260496.41170977877</v>
      </c>
      <c r="AV507" s="39">
        <f t="shared" si="378"/>
        <v>0</v>
      </c>
      <c r="AW507" s="3">
        <f t="shared" si="351"/>
        <v>433</v>
      </c>
      <c r="AX507" s="69">
        <f t="shared" si="369"/>
        <v>0</v>
      </c>
      <c r="AY507" s="75">
        <f t="shared" si="352"/>
        <v>0</v>
      </c>
      <c r="AZ507" s="75">
        <f t="shared" si="353"/>
        <v>0</v>
      </c>
      <c r="BA507" s="75">
        <f t="shared" si="354"/>
        <v>0</v>
      </c>
      <c r="BB507" s="75">
        <f t="shared" si="355"/>
        <v>0</v>
      </c>
      <c r="BD507" s="214">
        <f t="shared" si="370"/>
        <v>395789.48146504554</v>
      </c>
      <c r="BE507" s="214">
        <f t="shared" si="356"/>
        <v>1926.5253142620145</v>
      </c>
      <c r="BF507" s="214">
        <f t="shared" si="357"/>
        <v>-654.90946294830883</v>
      </c>
      <c r="BG507" s="224">
        <f t="shared" si="374"/>
        <v>0</v>
      </c>
      <c r="BH507" s="19">
        <f t="shared" si="371"/>
        <v>806617.41304814897</v>
      </c>
      <c r="BI507" s="214">
        <f t="shared" si="358"/>
        <v>3926.2510448980647</v>
      </c>
      <c r="BJ507" s="214">
        <f t="shared" si="359"/>
        <v>0</v>
      </c>
      <c r="BK507" s="19">
        <f t="shared" si="375"/>
        <v>0</v>
      </c>
    </row>
    <row r="508" spans="1:63">
      <c r="A508" s="165">
        <f t="shared" si="360"/>
        <v>98.139459274469544</v>
      </c>
      <c r="B508" s="69">
        <f t="shared" si="361"/>
        <v>37</v>
      </c>
      <c r="C508" s="70">
        <f t="shared" si="362"/>
        <v>434</v>
      </c>
      <c r="D508" s="13">
        <f t="shared" si="331"/>
        <v>4.8675505653430484E-3</v>
      </c>
      <c r="E508" s="15">
        <f t="shared" si="332"/>
        <v>1</v>
      </c>
      <c r="F508" s="15">
        <f t="shared" si="363"/>
        <v>0</v>
      </c>
      <c r="G508" s="15">
        <f t="shared" si="333"/>
        <v>0</v>
      </c>
      <c r="H508" s="73">
        <f t="shared" si="334"/>
        <v>0</v>
      </c>
      <c r="I508" s="189"/>
      <c r="J508" s="189"/>
      <c r="K508" s="5">
        <f t="shared" si="376"/>
        <v>260496.41170977877</v>
      </c>
      <c r="M508" s="5">
        <f t="shared" si="335"/>
        <v>1267.9794560877692</v>
      </c>
      <c r="N508" s="5">
        <f t="shared" si="336"/>
        <v>-431.04117992554478</v>
      </c>
      <c r="O508" s="5">
        <f t="shared" si="337"/>
        <v>0</v>
      </c>
      <c r="P508" s="5">
        <f t="shared" si="338"/>
        <v>0</v>
      </c>
      <c r="Q508" s="5">
        <f t="shared" si="372"/>
        <v>0</v>
      </c>
      <c r="R508" s="5">
        <f t="shared" si="364"/>
        <v>0</v>
      </c>
      <c r="S508" s="5">
        <f t="shared" si="339"/>
        <v>0</v>
      </c>
      <c r="T508" s="5">
        <f t="shared" si="340"/>
        <v>0</v>
      </c>
      <c r="U508" s="74">
        <f t="shared" si="341"/>
        <v>0</v>
      </c>
      <c r="V508" s="75">
        <f t="shared" si="342"/>
        <v>0</v>
      </c>
      <c r="W508" s="5">
        <f t="shared" si="343"/>
        <v>0</v>
      </c>
      <c r="X508" s="5">
        <f t="shared" si="344"/>
        <v>261333.34998594099</v>
      </c>
      <c r="Y508" s="5">
        <f t="shared" si="365"/>
        <v>100000</v>
      </c>
      <c r="Z508" s="215">
        <f t="shared" si="345"/>
        <v>1</v>
      </c>
      <c r="AA508" s="216">
        <f t="shared" si="366"/>
        <v>0</v>
      </c>
      <c r="AB508" s="72">
        <f t="shared" si="373"/>
        <v>75146.698411840829</v>
      </c>
      <c r="AC508" s="72">
        <f t="shared" si="346"/>
        <v>0</v>
      </c>
      <c r="AD508" s="72">
        <f t="shared" si="347"/>
        <v>0</v>
      </c>
      <c r="AE508" s="72">
        <f t="shared" si="367"/>
        <v>-54.419650875255499</v>
      </c>
      <c r="AF508" s="70">
        <f t="shared" si="348"/>
        <v>0</v>
      </c>
      <c r="AG508" s="70">
        <f t="shared" si="349"/>
        <v>14715.719979316258</v>
      </c>
      <c r="AH508" s="1">
        <f t="shared" si="382"/>
        <v>0</v>
      </c>
      <c r="AI508" s="1">
        <f t="shared" si="382"/>
        <v>0</v>
      </c>
      <c r="AJ508" s="1">
        <f t="shared" si="382"/>
        <v>0</v>
      </c>
      <c r="AK508" s="1">
        <f t="shared" si="382"/>
        <v>0</v>
      </c>
      <c r="AL508" s="1">
        <f t="shared" si="382"/>
        <v>0</v>
      </c>
      <c r="AM508" s="1">
        <f t="shared" si="382"/>
        <v>0</v>
      </c>
      <c r="AN508" s="1">
        <f t="shared" si="382"/>
        <v>0</v>
      </c>
      <c r="AO508" s="1">
        <f t="shared" si="382"/>
        <v>0</v>
      </c>
      <c r="AP508" s="1">
        <f t="shared" si="382"/>
        <v>0</v>
      </c>
      <c r="AQ508" s="1">
        <f t="shared" si="382"/>
        <v>0</v>
      </c>
      <c r="AR508" s="1">
        <f t="shared" si="382"/>
        <v>0</v>
      </c>
      <c r="AS508" s="1">
        <f t="shared" si="382"/>
        <v>1</v>
      </c>
      <c r="AT508" s="39">
        <f t="shared" si="350"/>
        <v>261333.34998594099</v>
      </c>
      <c r="AU508" s="39">
        <f t="shared" si="368"/>
        <v>261333.34998594099</v>
      </c>
      <c r="AV508" s="39">
        <f t="shared" si="378"/>
        <v>0</v>
      </c>
      <c r="AW508" s="3">
        <f t="shared" si="351"/>
        <v>434</v>
      </c>
      <c r="AX508" s="69">
        <f t="shared" si="369"/>
        <v>0</v>
      </c>
      <c r="AY508" s="75">
        <f t="shared" si="352"/>
        <v>0</v>
      </c>
      <c r="AZ508" s="75">
        <f t="shared" si="353"/>
        <v>0</v>
      </c>
      <c r="BA508" s="75">
        <f t="shared" si="354"/>
        <v>0</v>
      </c>
      <c r="BB508" s="75">
        <f t="shared" si="355"/>
        <v>0</v>
      </c>
      <c r="BD508" s="214">
        <f t="shared" si="370"/>
        <v>397061.09731635923</v>
      </c>
      <c r="BE508" s="214">
        <f t="shared" si="356"/>
        <v>1932.7149687179756</v>
      </c>
      <c r="BF508" s="214">
        <f t="shared" si="357"/>
        <v>-657.01359479935695</v>
      </c>
      <c r="BG508" s="224">
        <f t="shared" si="374"/>
        <v>0</v>
      </c>
      <c r="BH508" s="19">
        <f t="shared" si="371"/>
        <v>810543.66409304703</v>
      </c>
      <c r="BI508" s="214">
        <f t="shared" si="358"/>
        <v>3945.362270391337</v>
      </c>
      <c r="BJ508" s="214">
        <f t="shared" si="359"/>
        <v>0</v>
      </c>
      <c r="BK508" s="19">
        <f t="shared" si="375"/>
        <v>0</v>
      </c>
    </row>
    <row r="509" spans="1:63">
      <c r="A509" s="165">
        <f t="shared" si="360"/>
        <v>98.222792607802873</v>
      </c>
      <c r="B509" s="69">
        <f t="shared" si="361"/>
        <v>37</v>
      </c>
      <c r="C509" s="70">
        <f t="shared" si="362"/>
        <v>435</v>
      </c>
      <c r="D509" s="13">
        <f t="shared" si="331"/>
        <v>4.8675505653430484E-3</v>
      </c>
      <c r="E509" s="15">
        <f t="shared" si="332"/>
        <v>1</v>
      </c>
      <c r="F509" s="15">
        <f t="shared" si="363"/>
        <v>0</v>
      </c>
      <c r="G509" s="15">
        <f t="shared" si="333"/>
        <v>0</v>
      </c>
      <c r="H509" s="73">
        <f t="shared" si="334"/>
        <v>0</v>
      </c>
      <c r="I509" s="189"/>
      <c r="J509" s="189"/>
      <c r="K509" s="5">
        <f t="shared" si="376"/>
        <v>261333.34998594099</v>
      </c>
      <c r="M509" s="5">
        <f t="shared" si="335"/>
        <v>1272.0532954670598</v>
      </c>
      <c r="N509" s="5">
        <f t="shared" si="336"/>
        <v>-432.426054518304</v>
      </c>
      <c r="O509" s="5">
        <f t="shared" si="337"/>
        <v>0</v>
      </c>
      <c r="P509" s="5">
        <f t="shared" si="338"/>
        <v>0</v>
      </c>
      <c r="Q509" s="5">
        <f t="shared" si="372"/>
        <v>0</v>
      </c>
      <c r="R509" s="5">
        <f t="shared" si="364"/>
        <v>0</v>
      </c>
      <c r="S509" s="5">
        <f t="shared" si="339"/>
        <v>0</v>
      </c>
      <c r="T509" s="5">
        <f t="shared" si="340"/>
        <v>0</v>
      </c>
      <c r="U509" s="74">
        <f t="shared" si="341"/>
        <v>0</v>
      </c>
      <c r="V509" s="75">
        <f t="shared" si="342"/>
        <v>0</v>
      </c>
      <c r="W509" s="5">
        <f t="shared" si="343"/>
        <v>0</v>
      </c>
      <c r="X509" s="5">
        <f t="shared" si="344"/>
        <v>262172.97722688975</v>
      </c>
      <c r="Y509" s="5">
        <f t="shared" si="365"/>
        <v>100000</v>
      </c>
      <c r="Z509" s="215">
        <f t="shared" si="345"/>
        <v>1</v>
      </c>
      <c r="AA509" s="216">
        <f t="shared" si="366"/>
        <v>0</v>
      </c>
      <c r="AB509" s="72">
        <f t="shared" si="373"/>
        <v>75146.698411840829</v>
      </c>
      <c r="AC509" s="72">
        <f t="shared" si="346"/>
        <v>0</v>
      </c>
      <c r="AD509" s="72">
        <f t="shared" si="347"/>
        <v>0</v>
      </c>
      <c r="AE509" s="72">
        <f t="shared" si="367"/>
        <v>-54.594493547728199</v>
      </c>
      <c r="AF509" s="70">
        <f t="shared" si="348"/>
        <v>0</v>
      </c>
      <c r="AG509" s="70">
        <f t="shared" si="349"/>
        <v>15034.778330876798</v>
      </c>
      <c r="AH509" s="1">
        <f t="shared" si="382"/>
        <v>0</v>
      </c>
      <c r="AI509" s="1">
        <f t="shared" si="382"/>
        <v>0</v>
      </c>
      <c r="AJ509" s="1">
        <f t="shared" si="382"/>
        <v>0</v>
      </c>
      <c r="AK509" s="1">
        <f t="shared" si="382"/>
        <v>0</v>
      </c>
      <c r="AL509" s="1">
        <f t="shared" si="382"/>
        <v>0</v>
      </c>
      <c r="AM509" s="1">
        <f t="shared" si="382"/>
        <v>0</v>
      </c>
      <c r="AN509" s="1">
        <f t="shared" si="382"/>
        <v>0</v>
      </c>
      <c r="AO509" s="1">
        <f t="shared" si="382"/>
        <v>0</v>
      </c>
      <c r="AP509" s="1">
        <f t="shared" si="382"/>
        <v>0</v>
      </c>
      <c r="AQ509" s="1">
        <f t="shared" si="382"/>
        <v>0</v>
      </c>
      <c r="AR509" s="1">
        <f t="shared" si="382"/>
        <v>0</v>
      </c>
      <c r="AS509" s="1">
        <f t="shared" si="382"/>
        <v>1</v>
      </c>
      <c r="AT509" s="39">
        <f t="shared" si="350"/>
        <v>262172.97722688975</v>
      </c>
      <c r="AU509" s="39">
        <f t="shared" si="368"/>
        <v>262172.97722688975</v>
      </c>
      <c r="AV509" s="39">
        <f t="shared" si="378"/>
        <v>0</v>
      </c>
      <c r="AW509" s="3">
        <f t="shared" si="351"/>
        <v>435</v>
      </c>
      <c r="AX509" s="69">
        <f t="shared" si="369"/>
        <v>0</v>
      </c>
      <c r="AY509" s="75">
        <f t="shared" si="352"/>
        <v>0</v>
      </c>
      <c r="AZ509" s="75">
        <f t="shared" si="353"/>
        <v>0</v>
      </c>
      <c r="BA509" s="75">
        <f t="shared" si="354"/>
        <v>0</v>
      </c>
      <c r="BB509" s="75">
        <f t="shared" si="355"/>
        <v>0</v>
      </c>
      <c r="BD509" s="214">
        <f t="shared" si="370"/>
        <v>398336.79869027779</v>
      </c>
      <c r="BE509" s="214">
        <f t="shared" si="356"/>
        <v>1938.9245096618017</v>
      </c>
      <c r="BF509" s="214">
        <f t="shared" si="357"/>
        <v>-659.12448692964517</v>
      </c>
      <c r="BG509" s="224">
        <f t="shared" si="374"/>
        <v>0</v>
      </c>
      <c r="BH509" s="19">
        <f t="shared" si="371"/>
        <v>814489.02636343834</v>
      </c>
      <c r="BI509" s="214">
        <f t="shared" si="358"/>
        <v>3964.5665207410634</v>
      </c>
      <c r="BJ509" s="214">
        <f t="shared" si="359"/>
        <v>0</v>
      </c>
      <c r="BK509" s="19">
        <f t="shared" si="375"/>
        <v>0</v>
      </c>
    </row>
    <row r="510" spans="1:63">
      <c r="A510" s="165">
        <f t="shared" si="360"/>
        <v>98.306125941136202</v>
      </c>
      <c r="B510" s="69">
        <f t="shared" si="361"/>
        <v>37</v>
      </c>
      <c r="C510" s="70">
        <f t="shared" si="362"/>
        <v>436</v>
      </c>
      <c r="D510" s="13">
        <f t="shared" si="331"/>
        <v>4.8675505653430484E-3</v>
      </c>
      <c r="E510" s="15">
        <f t="shared" si="332"/>
        <v>1</v>
      </c>
      <c r="F510" s="15">
        <f t="shared" si="363"/>
        <v>0</v>
      </c>
      <c r="G510" s="15">
        <f t="shared" si="333"/>
        <v>0</v>
      </c>
      <c r="H510" s="73">
        <f t="shared" si="334"/>
        <v>0</v>
      </c>
      <c r="I510" s="189"/>
      <c r="J510" s="189"/>
      <c r="K510" s="5">
        <f t="shared" si="376"/>
        <v>262172.97722688975</v>
      </c>
      <c r="M510" s="5">
        <f t="shared" si="335"/>
        <v>1276.1402235184173</v>
      </c>
      <c r="N510" s="5">
        <f t="shared" si="336"/>
        <v>-433.81537851805024</v>
      </c>
      <c r="O510" s="5">
        <f t="shared" si="337"/>
        <v>0</v>
      </c>
      <c r="P510" s="5">
        <f t="shared" si="338"/>
        <v>0</v>
      </c>
      <c r="Q510" s="5">
        <f t="shared" si="372"/>
        <v>0</v>
      </c>
      <c r="R510" s="5">
        <f t="shared" si="364"/>
        <v>0</v>
      </c>
      <c r="S510" s="5">
        <f t="shared" si="339"/>
        <v>0</v>
      </c>
      <c r="T510" s="5">
        <f t="shared" si="340"/>
        <v>0</v>
      </c>
      <c r="U510" s="74">
        <f t="shared" si="341"/>
        <v>0</v>
      </c>
      <c r="V510" s="75">
        <f t="shared" si="342"/>
        <v>0</v>
      </c>
      <c r="W510" s="5">
        <f t="shared" si="343"/>
        <v>0</v>
      </c>
      <c r="X510" s="5">
        <f t="shared" si="344"/>
        <v>263015.3020718901</v>
      </c>
      <c r="Y510" s="5">
        <f t="shared" si="365"/>
        <v>100000</v>
      </c>
      <c r="Z510" s="215">
        <f t="shared" si="345"/>
        <v>1</v>
      </c>
      <c r="AA510" s="216">
        <f t="shared" si="366"/>
        <v>0</v>
      </c>
      <c r="AB510" s="72">
        <f t="shared" si="373"/>
        <v>75146.698411840829</v>
      </c>
      <c r="AC510" s="72">
        <f t="shared" si="346"/>
        <v>0</v>
      </c>
      <c r="AD510" s="72">
        <f t="shared" si="347"/>
        <v>0</v>
      </c>
      <c r="AE510" s="72">
        <f t="shared" si="367"/>
        <v>-54.769897965078442</v>
      </c>
      <c r="AF510" s="70">
        <f t="shared" si="348"/>
        <v>0</v>
      </c>
      <c r="AG510" s="70">
        <f t="shared" si="349"/>
        <v>15354.861771976925</v>
      </c>
      <c r="AH510" s="1">
        <f t="shared" si="382"/>
        <v>0</v>
      </c>
      <c r="AI510" s="1">
        <f t="shared" si="382"/>
        <v>0</v>
      </c>
      <c r="AJ510" s="1">
        <f t="shared" si="382"/>
        <v>0</v>
      </c>
      <c r="AK510" s="1">
        <f t="shared" si="382"/>
        <v>0</v>
      </c>
      <c r="AL510" s="1">
        <f t="shared" si="382"/>
        <v>0</v>
      </c>
      <c r="AM510" s="1">
        <f t="shared" si="382"/>
        <v>0</v>
      </c>
      <c r="AN510" s="1">
        <f t="shared" si="382"/>
        <v>0</v>
      </c>
      <c r="AO510" s="1">
        <f t="shared" si="382"/>
        <v>0</v>
      </c>
      <c r="AP510" s="1">
        <f t="shared" si="382"/>
        <v>0</v>
      </c>
      <c r="AQ510" s="1">
        <f t="shared" si="382"/>
        <v>0</v>
      </c>
      <c r="AR510" s="1">
        <f t="shared" si="382"/>
        <v>0</v>
      </c>
      <c r="AS510" s="1">
        <f t="shared" si="382"/>
        <v>1</v>
      </c>
      <c r="AT510" s="39">
        <f t="shared" si="350"/>
        <v>263015.3020718901</v>
      </c>
      <c r="AU510" s="39">
        <f t="shared" si="368"/>
        <v>263015.3020718901</v>
      </c>
      <c r="AV510" s="39">
        <f t="shared" si="378"/>
        <v>0</v>
      </c>
      <c r="AW510" s="3">
        <f t="shared" si="351"/>
        <v>436</v>
      </c>
      <c r="AX510" s="69">
        <f t="shared" si="369"/>
        <v>0</v>
      </c>
      <c r="AY510" s="75">
        <f t="shared" si="352"/>
        <v>0</v>
      </c>
      <c r="AZ510" s="75">
        <f t="shared" si="353"/>
        <v>0</v>
      </c>
      <c r="BA510" s="75">
        <f t="shared" si="354"/>
        <v>0</v>
      </c>
      <c r="BB510" s="75">
        <f t="shared" si="355"/>
        <v>0</v>
      </c>
      <c r="BD510" s="214">
        <f t="shared" si="370"/>
        <v>399616.59871300997</v>
      </c>
      <c r="BE510" s="214">
        <f t="shared" si="356"/>
        <v>1945.1540009859777</v>
      </c>
      <c r="BF510" s="214">
        <f t="shared" si="357"/>
        <v>-661.2421610589987</v>
      </c>
      <c r="BG510" s="224">
        <f t="shared" si="374"/>
        <v>0</v>
      </c>
      <c r="BH510" s="19">
        <f t="shared" si="371"/>
        <v>818453.59288417944</v>
      </c>
      <c r="BI510" s="214">
        <f t="shared" si="358"/>
        <v>3983.8642487504367</v>
      </c>
      <c r="BJ510" s="214">
        <f t="shared" si="359"/>
        <v>0</v>
      </c>
      <c r="BK510" s="19">
        <f t="shared" si="375"/>
        <v>0</v>
      </c>
    </row>
    <row r="511" spans="1:63">
      <c r="A511" s="165">
        <f t="shared" si="360"/>
        <v>98.389459274469544</v>
      </c>
      <c r="B511" s="69">
        <f t="shared" si="361"/>
        <v>37</v>
      </c>
      <c r="C511" s="70">
        <f t="shared" si="362"/>
        <v>437</v>
      </c>
      <c r="D511" s="13">
        <f t="shared" si="331"/>
        <v>4.8675505653430484E-3</v>
      </c>
      <c r="E511" s="15">
        <f t="shared" si="332"/>
        <v>1</v>
      </c>
      <c r="F511" s="15">
        <f t="shared" si="363"/>
        <v>0</v>
      </c>
      <c r="G511" s="15">
        <f t="shared" si="333"/>
        <v>0</v>
      </c>
      <c r="H511" s="73">
        <f t="shared" si="334"/>
        <v>0</v>
      </c>
      <c r="I511" s="189"/>
      <c r="J511" s="189"/>
      <c r="K511" s="5">
        <f t="shared" si="376"/>
        <v>263015.3020718901</v>
      </c>
      <c r="M511" s="5">
        <f t="shared" si="335"/>
        <v>1280.2402822939014</v>
      </c>
      <c r="N511" s="5">
        <f t="shared" si="336"/>
        <v>-435.20916622010145</v>
      </c>
      <c r="O511" s="5">
        <f t="shared" si="337"/>
        <v>0</v>
      </c>
      <c r="P511" s="5">
        <f t="shared" si="338"/>
        <v>0</v>
      </c>
      <c r="Q511" s="5">
        <f t="shared" si="372"/>
        <v>0</v>
      </c>
      <c r="R511" s="5">
        <f t="shared" si="364"/>
        <v>0</v>
      </c>
      <c r="S511" s="5">
        <f t="shared" si="339"/>
        <v>0</v>
      </c>
      <c r="T511" s="5">
        <f t="shared" si="340"/>
        <v>0</v>
      </c>
      <c r="U511" s="74">
        <f t="shared" si="341"/>
        <v>0</v>
      </c>
      <c r="V511" s="75">
        <f t="shared" si="342"/>
        <v>0</v>
      </c>
      <c r="W511" s="5">
        <f t="shared" si="343"/>
        <v>0</v>
      </c>
      <c r="X511" s="5">
        <f t="shared" si="344"/>
        <v>263860.33318796387</v>
      </c>
      <c r="Y511" s="5">
        <f t="shared" si="365"/>
        <v>100000</v>
      </c>
      <c r="Z511" s="215">
        <f t="shared" si="345"/>
        <v>1</v>
      </c>
      <c r="AA511" s="216">
        <f t="shared" si="366"/>
        <v>0</v>
      </c>
      <c r="AB511" s="72">
        <f t="shared" si="373"/>
        <v>75146.698411840829</v>
      </c>
      <c r="AC511" s="72">
        <f t="shared" si="346"/>
        <v>0</v>
      </c>
      <c r="AD511" s="72">
        <f t="shared" si="347"/>
        <v>0</v>
      </c>
      <c r="AE511" s="72">
        <f t="shared" si="367"/>
        <v>-54.945865932113406</v>
      </c>
      <c r="AF511" s="70">
        <f t="shared" si="348"/>
        <v>0</v>
      </c>
      <c r="AG511" s="70">
        <f t="shared" si="349"/>
        <v>15675.973596084965</v>
      </c>
      <c r="AH511" s="1">
        <f t="shared" si="382"/>
        <v>0</v>
      </c>
      <c r="AI511" s="1">
        <f t="shared" si="382"/>
        <v>0</v>
      </c>
      <c r="AJ511" s="1">
        <f t="shared" si="382"/>
        <v>0</v>
      </c>
      <c r="AK511" s="1">
        <f t="shared" si="382"/>
        <v>0</v>
      </c>
      <c r="AL511" s="1">
        <f t="shared" si="382"/>
        <v>0</v>
      </c>
      <c r="AM511" s="1">
        <f t="shared" si="382"/>
        <v>0</v>
      </c>
      <c r="AN511" s="1">
        <f t="shared" si="382"/>
        <v>0</v>
      </c>
      <c r="AO511" s="1">
        <f t="shared" si="382"/>
        <v>0</v>
      </c>
      <c r="AP511" s="1">
        <f t="shared" si="382"/>
        <v>0</v>
      </c>
      <c r="AQ511" s="1">
        <f t="shared" si="382"/>
        <v>0</v>
      </c>
      <c r="AR511" s="1">
        <f t="shared" si="382"/>
        <v>0</v>
      </c>
      <c r="AS511" s="1">
        <f t="shared" si="382"/>
        <v>1</v>
      </c>
      <c r="AT511" s="39">
        <f t="shared" si="350"/>
        <v>263860.33318796387</v>
      </c>
      <c r="AU511" s="39">
        <f t="shared" si="368"/>
        <v>263860.33318796387</v>
      </c>
      <c r="AV511" s="39">
        <f t="shared" si="378"/>
        <v>0</v>
      </c>
      <c r="AW511" s="3">
        <f t="shared" si="351"/>
        <v>437</v>
      </c>
      <c r="AX511" s="69">
        <f t="shared" si="369"/>
        <v>0</v>
      </c>
      <c r="AY511" s="75">
        <f t="shared" si="352"/>
        <v>0</v>
      </c>
      <c r="AZ511" s="75">
        <f t="shared" si="353"/>
        <v>0</v>
      </c>
      <c r="BA511" s="75">
        <f t="shared" si="354"/>
        <v>0</v>
      </c>
      <c r="BB511" s="75">
        <f t="shared" si="355"/>
        <v>0</v>
      </c>
      <c r="BD511" s="214">
        <f t="shared" si="370"/>
        <v>400900.51055293693</v>
      </c>
      <c r="BE511" s="214">
        <f t="shared" si="356"/>
        <v>1951.4035067882648</v>
      </c>
      <c r="BF511" s="214">
        <f t="shared" si="357"/>
        <v>-663.36663897702499</v>
      </c>
      <c r="BG511" s="224">
        <f t="shared" si="374"/>
        <v>0</v>
      </c>
      <c r="BH511" s="19">
        <f t="shared" si="371"/>
        <v>822437.45713292982</v>
      </c>
      <c r="BI511" s="214">
        <f t="shared" si="358"/>
        <v>4003.2559094266917</v>
      </c>
      <c r="BJ511" s="214">
        <f t="shared" si="359"/>
        <v>0</v>
      </c>
      <c r="BK511" s="19">
        <f t="shared" si="375"/>
        <v>0</v>
      </c>
    </row>
    <row r="512" spans="1:63">
      <c r="A512" s="165">
        <f t="shared" si="360"/>
        <v>98.472792607802873</v>
      </c>
      <c r="B512" s="69">
        <f t="shared" si="361"/>
        <v>37</v>
      </c>
      <c r="C512" s="70">
        <f t="shared" si="362"/>
        <v>438</v>
      </c>
      <c r="D512" s="13">
        <f t="shared" si="331"/>
        <v>4.8675505653430484E-3</v>
      </c>
      <c r="E512" s="15">
        <f t="shared" si="332"/>
        <v>1</v>
      </c>
      <c r="F512" s="15">
        <f t="shared" si="363"/>
        <v>0</v>
      </c>
      <c r="G512" s="15">
        <f t="shared" si="333"/>
        <v>0</v>
      </c>
      <c r="H512" s="73">
        <f t="shared" si="334"/>
        <v>0</v>
      </c>
      <c r="I512" s="189"/>
      <c r="J512" s="189"/>
      <c r="K512" s="5">
        <f t="shared" si="376"/>
        <v>263860.33318796387</v>
      </c>
      <c r="M512" s="5">
        <f t="shared" si="335"/>
        <v>1284.3535139806786</v>
      </c>
      <c r="N512" s="5">
        <f t="shared" si="336"/>
        <v>-436.60743196570428</v>
      </c>
      <c r="O512" s="5">
        <f t="shared" si="337"/>
        <v>0</v>
      </c>
      <c r="P512" s="5">
        <f t="shared" si="338"/>
        <v>0</v>
      </c>
      <c r="Q512" s="5">
        <f t="shared" si="372"/>
        <v>0</v>
      </c>
      <c r="R512" s="5">
        <f t="shared" si="364"/>
        <v>0</v>
      </c>
      <c r="S512" s="5">
        <f t="shared" si="339"/>
        <v>0</v>
      </c>
      <c r="T512" s="5">
        <f t="shared" si="340"/>
        <v>0</v>
      </c>
      <c r="U512" s="74">
        <f t="shared" si="341"/>
        <v>0</v>
      </c>
      <c r="V512" s="75">
        <f t="shared" si="342"/>
        <v>0</v>
      </c>
      <c r="W512" s="5">
        <f t="shared" si="343"/>
        <v>0</v>
      </c>
      <c r="X512" s="5">
        <f t="shared" si="344"/>
        <v>264708.07926997886</v>
      </c>
      <c r="Y512" s="5">
        <f t="shared" si="365"/>
        <v>100000</v>
      </c>
      <c r="Z512" s="215">
        <f t="shared" si="345"/>
        <v>1</v>
      </c>
      <c r="AA512" s="216">
        <f t="shared" si="366"/>
        <v>0</v>
      </c>
      <c r="AB512" s="72">
        <f t="shared" si="373"/>
        <v>75146.698411840829</v>
      </c>
      <c r="AC512" s="72">
        <f t="shared" si="346"/>
        <v>0</v>
      </c>
      <c r="AD512" s="72">
        <f t="shared" si="347"/>
        <v>0</v>
      </c>
      <c r="AE512" s="72">
        <f t="shared" si="367"/>
        <v>-55.122399259438851</v>
      </c>
      <c r="AF512" s="70">
        <f t="shared" si="348"/>
        <v>0</v>
      </c>
      <c r="AG512" s="70">
        <f t="shared" si="349"/>
        <v>15998.117107250655</v>
      </c>
      <c r="AH512" s="1">
        <f t="shared" si="382"/>
        <v>0</v>
      </c>
      <c r="AI512" s="1">
        <f t="shared" si="382"/>
        <v>0</v>
      </c>
      <c r="AJ512" s="1">
        <f t="shared" si="382"/>
        <v>0</v>
      </c>
      <c r="AK512" s="1">
        <f t="shared" si="382"/>
        <v>0</v>
      </c>
      <c r="AL512" s="1">
        <f t="shared" si="382"/>
        <v>0</v>
      </c>
      <c r="AM512" s="1">
        <f t="shared" si="382"/>
        <v>0</v>
      </c>
      <c r="AN512" s="1">
        <f t="shared" si="382"/>
        <v>0</v>
      </c>
      <c r="AO512" s="1">
        <f t="shared" si="382"/>
        <v>0</v>
      </c>
      <c r="AP512" s="1">
        <f t="shared" si="382"/>
        <v>0</v>
      </c>
      <c r="AQ512" s="1">
        <f t="shared" si="382"/>
        <v>0</v>
      </c>
      <c r="AR512" s="1">
        <f t="shared" si="382"/>
        <v>0</v>
      </c>
      <c r="AS512" s="1">
        <f t="shared" si="382"/>
        <v>1</v>
      </c>
      <c r="AT512" s="39">
        <f t="shared" si="350"/>
        <v>264708.07926997886</v>
      </c>
      <c r="AU512" s="39">
        <f t="shared" si="368"/>
        <v>264708.07926997886</v>
      </c>
      <c r="AV512" s="39">
        <f t="shared" si="378"/>
        <v>0</v>
      </c>
      <c r="AW512" s="3">
        <f t="shared" si="351"/>
        <v>438</v>
      </c>
      <c r="AX512" s="69">
        <f t="shared" si="369"/>
        <v>0</v>
      </c>
      <c r="AY512" s="75">
        <f t="shared" si="352"/>
        <v>0</v>
      </c>
      <c r="AZ512" s="75">
        <f t="shared" si="353"/>
        <v>0</v>
      </c>
      <c r="BA512" s="75">
        <f t="shared" si="354"/>
        <v>0</v>
      </c>
      <c r="BB512" s="75">
        <f t="shared" si="355"/>
        <v>0</v>
      </c>
      <c r="BD512" s="214">
        <f t="shared" si="370"/>
        <v>402188.54742074816</v>
      </c>
      <c r="BE512" s="214">
        <f t="shared" si="356"/>
        <v>1957.6730913723623</v>
      </c>
      <c r="BF512" s="214">
        <f t="shared" si="357"/>
        <v>-665.49794254333858</v>
      </c>
      <c r="BG512" s="224">
        <f t="shared" si="374"/>
        <v>0</v>
      </c>
      <c r="BH512" s="19">
        <f t="shared" si="371"/>
        <v>826440.71304235654</v>
      </c>
      <c r="BI512" s="214">
        <f t="shared" si="358"/>
        <v>4022.7419599918348</v>
      </c>
      <c r="BJ512" s="214">
        <f t="shared" si="359"/>
        <v>0</v>
      </c>
      <c r="BK512" s="19">
        <f t="shared" si="375"/>
        <v>0</v>
      </c>
    </row>
    <row r="513" spans="1:63">
      <c r="A513" s="165">
        <f t="shared" si="360"/>
        <v>98.556125941136202</v>
      </c>
      <c r="B513" s="69">
        <f t="shared" si="361"/>
        <v>37</v>
      </c>
      <c r="C513" s="70">
        <f t="shared" si="362"/>
        <v>439</v>
      </c>
      <c r="D513" s="13">
        <f t="shared" si="331"/>
        <v>4.8675505653430484E-3</v>
      </c>
      <c r="E513" s="15">
        <f t="shared" si="332"/>
        <v>1</v>
      </c>
      <c r="F513" s="15">
        <f t="shared" si="363"/>
        <v>0</v>
      </c>
      <c r="G513" s="15">
        <f t="shared" si="333"/>
        <v>0</v>
      </c>
      <c r="H513" s="73">
        <f t="shared" si="334"/>
        <v>0</v>
      </c>
      <c r="I513" s="189"/>
      <c r="J513" s="189"/>
      <c r="K513" s="5">
        <f t="shared" si="376"/>
        <v>264708.07926997886</v>
      </c>
      <c r="M513" s="5">
        <f t="shared" si="335"/>
        <v>1288.4799609014581</v>
      </c>
      <c r="N513" s="5">
        <f t="shared" si="336"/>
        <v>-438.01019014218201</v>
      </c>
      <c r="O513" s="5">
        <f t="shared" si="337"/>
        <v>0</v>
      </c>
      <c r="P513" s="5">
        <f t="shared" si="338"/>
        <v>0</v>
      </c>
      <c r="Q513" s="5">
        <f t="shared" si="372"/>
        <v>0</v>
      </c>
      <c r="R513" s="5">
        <f t="shared" si="364"/>
        <v>0</v>
      </c>
      <c r="S513" s="5">
        <f t="shared" si="339"/>
        <v>0</v>
      </c>
      <c r="T513" s="5">
        <f t="shared" si="340"/>
        <v>0</v>
      </c>
      <c r="U513" s="74">
        <f t="shared" si="341"/>
        <v>0</v>
      </c>
      <c r="V513" s="75">
        <f t="shared" si="342"/>
        <v>0</v>
      </c>
      <c r="W513" s="5">
        <f t="shared" si="343"/>
        <v>0</v>
      </c>
      <c r="X513" s="5">
        <f t="shared" si="344"/>
        <v>265558.54904073809</v>
      </c>
      <c r="Y513" s="5">
        <f t="shared" si="365"/>
        <v>100000</v>
      </c>
      <c r="Z513" s="215">
        <f t="shared" si="345"/>
        <v>1</v>
      </c>
      <c r="AA513" s="216">
        <f t="shared" si="366"/>
        <v>0</v>
      </c>
      <c r="AB513" s="72">
        <f t="shared" si="373"/>
        <v>75146.698411840829</v>
      </c>
      <c r="AC513" s="72">
        <f t="shared" si="346"/>
        <v>0</v>
      </c>
      <c r="AD513" s="72">
        <f t="shared" si="347"/>
        <v>0</v>
      </c>
      <c r="AE513" s="72">
        <f t="shared" si="367"/>
        <v>-55.299499763477719</v>
      </c>
      <c r="AF513" s="70">
        <f t="shared" si="348"/>
        <v>0</v>
      </c>
      <c r="AG513" s="70">
        <f t="shared" si="349"/>
        <v>16321.295620139164</v>
      </c>
      <c r="AH513" s="1">
        <f t="shared" si="382"/>
        <v>0</v>
      </c>
      <c r="AI513" s="1">
        <f t="shared" si="382"/>
        <v>0</v>
      </c>
      <c r="AJ513" s="1">
        <f t="shared" si="382"/>
        <v>0</v>
      </c>
      <c r="AK513" s="1">
        <f t="shared" si="382"/>
        <v>0</v>
      </c>
      <c r="AL513" s="1">
        <f t="shared" si="382"/>
        <v>0</v>
      </c>
      <c r="AM513" s="1">
        <f t="shared" si="382"/>
        <v>0</v>
      </c>
      <c r="AN513" s="1">
        <f t="shared" si="382"/>
        <v>0</v>
      </c>
      <c r="AO513" s="1">
        <f t="shared" si="382"/>
        <v>0</v>
      </c>
      <c r="AP513" s="1">
        <f t="shared" si="382"/>
        <v>0</v>
      </c>
      <c r="AQ513" s="1">
        <f t="shared" si="382"/>
        <v>0</v>
      </c>
      <c r="AR513" s="1">
        <f t="shared" si="382"/>
        <v>0</v>
      </c>
      <c r="AS513" s="1">
        <f t="shared" si="382"/>
        <v>1</v>
      </c>
      <c r="AT513" s="39">
        <f t="shared" si="350"/>
        <v>265558.54904073809</v>
      </c>
      <c r="AU513" s="39">
        <f t="shared" si="368"/>
        <v>265558.54904073809</v>
      </c>
      <c r="AV513" s="39">
        <f t="shared" si="378"/>
        <v>0</v>
      </c>
      <c r="AW513" s="3">
        <f t="shared" si="351"/>
        <v>439</v>
      </c>
      <c r="AX513" s="69">
        <f t="shared" si="369"/>
        <v>0</v>
      </c>
      <c r="AY513" s="75">
        <f t="shared" si="352"/>
        <v>0</v>
      </c>
      <c r="AZ513" s="75">
        <f t="shared" si="353"/>
        <v>0</v>
      </c>
      <c r="BA513" s="75">
        <f t="shared" si="354"/>
        <v>0</v>
      </c>
      <c r="BB513" s="75">
        <f t="shared" si="355"/>
        <v>0</v>
      </c>
      <c r="BD513" s="214">
        <f t="shared" si="370"/>
        <v>403480.72256957716</v>
      </c>
      <c r="BE513" s="214">
        <f t="shared" si="356"/>
        <v>1963.962819248567</v>
      </c>
      <c r="BF513" s="214">
        <f t="shared" si="357"/>
        <v>-667.636093687786</v>
      </c>
      <c r="BG513" s="224">
        <f t="shared" si="374"/>
        <v>0</v>
      </c>
      <c r="BH513" s="19">
        <f t="shared" si="371"/>
        <v>830463.4550023484</v>
      </c>
      <c r="BI513" s="214">
        <f t="shared" si="358"/>
        <v>4042.3228598934224</v>
      </c>
      <c r="BJ513" s="214">
        <f t="shared" si="359"/>
        <v>0</v>
      </c>
      <c r="BK513" s="19">
        <f t="shared" si="375"/>
        <v>0</v>
      </c>
    </row>
    <row r="514" spans="1:63">
      <c r="A514" s="165">
        <f t="shared" si="360"/>
        <v>98.639459274469544</v>
      </c>
      <c r="B514" s="69">
        <f t="shared" si="361"/>
        <v>37</v>
      </c>
      <c r="C514" s="70">
        <f t="shared" si="362"/>
        <v>440</v>
      </c>
      <c r="D514" s="13">
        <f t="shared" si="331"/>
        <v>4.8675505653430484E-3</v>
      </c>
      <c r="E514" s="15">
        <f t="shared" si="332"/>
        <v>1</v>
      </c>
      <c r="F514" s="15">
        <f t="shared" si="363"/>
        <v>0</v>
      </c>
      <c r="G514" s="15">
        <f t="shared" si="333"/>
        <v>0</v>
      </c>
      <c r="H514" s="73">
        <f t="shared" si="334"/>
        <v>0</v>
      </c>
      <c r="I514" s="189"/>
      <c r="J514" s="189"/>
      <c r="K514" s="5">
        <f t="shared" si="376"/>
        <v>265558.54904073809</v>
      </c>
      <c r="M514" s="5">
        <f t="shared" si="335"/>
        <v>1292.6196655149242</v>
      </c>
      <c r="N514" s="5">
        <f t="shared" si="336"/>
        <v>-439.41745518308204</v>
      </c>
      <c r="O514" s="5">
        <f t="shared" si="337"/>
        <v>0</v>
      </c>
      <c r="P514" s="5">
        <f t="shared" si="338"/>
        <v>0</v>
      </c>
      <c r="Q514" s="5">
        <f t="shared" si="372"/>
        <v>0</v>
      </c>
      <c r="R514" s="5">
        <f t="shared" si="364"/>
        <v>0</v>
      </c>
      <c r="S514" s="5">
        <f t="shared" si="339"/>
        <v>0</v>
      </c>
      <c r="T514" s="5">
        <f t="shared" si="340"/>
        <v>0</v>
      </c>
      <c r="U514" s="74">
        <f t="shared" si="341"/>
        <v>0</v>
      </c>
      <c r="V514" s="75">
        <f t="shared" si="342"/>
        <v>0</v>
      </c>
      <c r="W514" s="5">
        <f t="shared" si="343"/>
        <v>0</v>
      </c>
      <c r="X514" s="5">
        <f t="shared" si="344"/>
        <v>266411.75125106989</v>
      </c>
      <c r="Y514" s="5">
        <f t="shared" si="365"/>
        <v>100000</v>
      </c>
      <c r="Z514" s="215">
        <f t="shared" si="345"/>
        <v>1</v>
      </c>
      <c r="AA514" s="216">
        <f t="shared" si="366"/>
        <v>0</v>
      </c>
      <c r="AB514" s="72">
        <f t="shared" si="373"/>
        <v>75146.698411840829</v>
      </c>
      <c r="AC514" s="72">
        <f t="shared" si="346"/>
        <v>0</v>
      </c>
      <c r="AD514" s="72">
        <f t="shared" si="347"/>
        <v>0</v>
      </c>
      <c r="AE514" s="72">
        <f t="shared" si="367"/>
        <v>-55.477169266488914</v>
      </c>
      <c r="AF514" s="70">
        <f t="shared" si="348"/>
        <v>0</v>
      </c>
      <c r="AG514" s="70">
        <f t="shared" si="349"/>
        <v>16645.512460065249</v>
      </c>
      <c r="AH514" s="1">
        <f t="shared" si="382"/>
        <v>0</v>
      </c>
      <c r="AI514" s="1">
        <f t="shared" si="382"/>
        <v>0</v>
      </c>
      <c r="AJ514" s="1">
        <f t="shared" si="382"/>
        <v>0</v>
      </c>
      <c r="AK514" s="1">
        <f t="shared" si="382"/>
        <v>0</v>
      </c>
      <c r="AL514" s="1">
        <f t="shared" si="382"/>
        <v>0</v>
      </c>
      <c r="AM514" s="1">
        <f t="shared" si="382"/>
        <v>0</v>
      </c>
      <c r="AN514" s="1">
        <f t="shared" si="382"/>
        <v>0</v>
      </c>
      <c r="AO514" s="1">
        <f t="shared" si="382"/>
        <v>0</v>
      </c>
      <c r="AP514" s="1">
        <f t="shared" si="382"/>
        <v>0</v>
      </c>
      <c r="AQ514" s="1">
        <f t="shared" si="382"/>
        <v>0</v>
      </c>
      <c r="AR514" s="1">
        <f t="shared" si="382"/>
        <v>0</v>
      </c>
      <c r="AS514" s="1">
        <f t="shared" si="382"/>
        <v>1</v>
      </c>
      <c r="AT514" s="39">
        <f t="shared" si="350"/>
        <v>266411.75125106989</v>
      </c>
      <c r="AU514" s="39">
        <f t="shared" si="368"/>
        <v>266411.75125106989</v>
      </c>
      <c r="AV514" s="39">
        <f t="shared" si="378"/>
        <v>0</v>
      </c>
      <c r="AW514" s="3">
        <f t="shared" si="351"/>
        <v>440</v>
      </c>
      <c r="AX514" s="69">
        <f t="shared" si="369"/>
        <v>0</v>
      </c>
      <c r="AY514" s="75">
        <f t="shared" si="352"/>
        <v>0</v>
      </c>
      <c r="AZ514" s="75">
        <f t="shared" si="353"/>
        <v>0</v>
      </c>
      <c r="BA514" s="75">
        <f t="shared" si="354"/>
        <v>0</v>
      </c>
      <c r="BB514" s="75">
        <f t="shared" si="355"/>
        <v>0</v>
      </c>
      <c r="BD514" s="214">
        <f t="shared" si="370"/>
        <v>404777.04929513793</v>
      </c>
      <c r="BE514" s="214">
        <f t="shared" si="356"/>
        <v>1970.2727551344396</v>
      </c>
      <c r="BF514" s="214">
        <f t="shared" si="357"/>
        <v>-669.78111441067119</v>
      </c>
      <c r="BG514" s="224">
        <f t="shared" si="374"/>
        <v>0</v>
      </c>
      <c r="BH514" s="19">
        <f t="shared" si="371"/>
        <v>834505.77786224184</v>
      </c>
      <c r="BI514" s="214">
        <f t="shared" si="358"/>
        <v>4061.9990708153955</v>
      </c>
      <c r="BJ514" s="214">
        <f t="shared" si="359"/>
        <v>0</v>
      </c>
      <c r="BK514" s="19">
        <f t="shared" si="375"/>
        <v>0</v>
      </c>
    </row>
    <row r="515" spans="1:63">
      <c r="A515" s="165">
        <f t="shared" si="360"/>
        <v>98.722792607802873</v>
      </c>
      <c r="B515" s="69">
        <f t="shared" si="361"/>
        <v>37</v>
      </c>
      <c r="C515" s="70">
        <f t="shared" si="362"/>
        <v>441</v>
      </c>
      <c r="D515" s="13">
        <f t="shared" si="331"/>
        <v>4.8675505653430484E-3</v>
      </c>
      <c r="E515" s="15">
        <f t="shared" si="332"/>
        <v>1</v>
      </c>
      <c r="F515" s="15">
        <f t="shared" si="363"/>
        <v>0</v>
      </c>
      <c r="G515" s="15">
        <f t="shared" si="333"/>
        <v>0</v>
      </c>
      <c r="H515" s="73">
        <f t="shared" si="334"/>
        <v>0</v>
      </c>
      <c r="I515" s="189"/>
      <c r="J515" s="189"/>
      <c r="K515" s="5">
        <f t="shared" si="376"/>
        <v>266411.75125106989</v>
      </c>
      <c r="M515" s="5">
        <f t="shared" si="335"/>
        <v>1296.7726704161769</v>
      </c>
      <c r="N515" s="5">
        <f t="shared" si="336"/>
        <v>-440.82924156832496</v>
      </c>
      <c r="O515" s="5">
        <f t="shared" si="337"/>
        <v>0</v>
      </c>
      <c r="P515" s="5">
        <f t="shared" si="338"/>
        <v>0</v>
      </c>
      <c r="Q515" s="5">
        <f t="shared" si="372"/>
        <v>0</v>
      </c>
      <c r="R515" s="5">
        <f t="shared" si="364"/>
        <v>0</v>
      </c>
      <c r="S515" s="5">
        <f t="shared" si="339"/>
        <v>0</v>
      </c>
      <c r="T515" s="5">
        <f t="shared" si="340"/>
        <v>0</v>
      </c>
      <c r="U515" s="74">
        <f t="shared" si="341"/>
        <v>0</v>
      </c>
      <c r="V515" s="75">
        <f t="shared" si="342"/>
        <v>0</v>
      </c>
      <c r="W515" s="5">
        <f t="shared" si="343"/>
        <v>0</v>
      </c>
      <c r="X515" s="5">
        <f t="shared" si="344"/>
        <v>267267.69467991771</v>
      </c>
      <c r="Y515" s="5">
        <f t="shared" si="365"/>
        <v>100000</v>
      </c>
      <c r="Z515" s="215">
        <f t="shared" si="345"/>
        <v>1</v>
      </c>
      <c r="AA515" s="216">
        <f t="shared" si="366"/>
        <v>0</v>
      </c>
      <c r="AB515" s="72">
        <f t="shared" si="373"/>
        <v>75146.698411840829</v>
      </c>
      <c r="AC515" s="72">
        <f t="shared" si="346"/>
        <v>0</v>
      </c>
      <c r="AD515" s="72">
        <f t="shared" si="347"/>
        <v>0</v>
      </c>
      <c r="AE515" s="72">
        <f t="shared" si="367"/>
        <v>-55.655409596585983</v>
      </c>
      <c r="AF515" s="70">
        <f t="shared" si="348"/>
        <v>0</v>
      </c>
      <c r="AG515" s="70">
        <f t="shared" si="349"/>
        <v>16970.770963027418</v>
      </c>
      <c r="AH515" s="1">
        <f t="shared" ref="AH515:AS524" si="383">IF($B515&lt;=AH$74,1,0)</f>
        <v>0</v>
      </c>
      <c r="AI515" s="1">
        <f t="shared" si="383"/>
        <v>0</v>
      </c>
      <c r="AJ515" s="1">
        <f t="shared" si="383"/>
        <v>0</v>
      </c>
      <c r="AK515" s="1">
        <f t="shared" si="383"/>
        <v>0</v>
      </c>
      <c r="AL515" s="1">
        <f t="shared" si="383"/>
        <v>0</v>
      </c>
      <c r="AM515" s="1">
        <f t="shared" si="383"/>
        <v>0</v>
      </c>
      <c r="AN515" s="1">
        <f t="shared" si="383"/>
        <v>0</v>
      </c>
      <c r="AO515" s="1">
        <f t="shared" si="383"/>
        <v>0</v>
      </c>
      <c r="AP515" s="1">
        <f t="shared" si="383"/>
        <v>0</v>
      </c>
      <c r="AQ515" s="1">
        <f t="shared" si="383"/>
        <v>0</v>
      </c>
      <c r="AR515" s="1">
        <f t="shared" si="383"/>
        <v>0</v>
      </c>
      <c r="AS515" s="1">
        <f t="shared" si="383"/>
        <v>1</v>
      </c>
      <c r="AT515" s="39">
        <f t="shared" si="350"/>
        <v>267267.69467991771</v>
      </c>
      <c r="AU515" s="39">
        <f t="shared" si="368"/>
        <v>267267.69467991771</v>
      </c>
      <c r="AV515" s="39">
        <f t="shared" si="378"/>
        <v>0</v>
      </c>
      <c r="AW515" s="3">
        <f t="shared" si="351"/>
        <v>441</v>
      </c>
      <c r="AX515" s="69">
        <f t="shared" si="369"/>
        <v>0</v>
      </c>
      <c r="AY515" s="75">
        <f t="shared" si="352"/>
        <v>0</v>
      </c>
      <c r="AZ515" s="75">
        <f t="shared" si="353"/>
        <v>0</v>
      </c>
      <c r="BA515" s="75">
        <f t="shared" si="354"/>
        <v>0</v>
      </c>
      <c r="BB515" s="75">
        <f t="shared" si="355"/>
        <v>0</v>
      </c>
      <c r="BD515" s="214">
        <f t="shared" si="370"/>
        <v>406077.5409358617</v>
      </c>
      <c r="BE515" s="214">
        <f t="shared" si="356"/>
        <v>1976.6029639554686</v>
      </c>
      <c r="BF515" s="214">
        <f t="shared" si="357"/>
        <v>-671.93302678298221</v>
      </c>
      <c r="BG515" s="224">
        <f t="shared" si="374"/>
        <v>0</v>
      </c>
      <c r="BH515" s="19">
        <f t="shared" si="371"/>
        <v>838567.77693305723</v>
      </c>
      <c r="BI515" s="214">
        <f t="shared" si="358"/>
        <v>4081.7710566889659</v>
      </c>
      <c r="BJ515" s="214">
        <f t="shared" si="359"/>
        <v>0</v>
      </c>
      <c r="BK515" s="19">
        <f t="shared" si="375"/>
        <v>0</v>
      </c>
    </row>
    <row r="516" spans="1:63">
      <c r="A516" s="165">
        <f t="shared" si="360"/>
        <v>98.806125941136202</v>
      </c>
      <c r="B516" s="69">
        <f t="shared" si="361"/>
        <v>37</v>
      </c>
      <c r="C516" s="70">
        <f t="shared" si="362"/>
        <v>442</v>
      </c>
      <c r="D516" s="13">
        <f t="shared" si="331"/>
        <v>4.8675505653430484E-3</v>
      </c>
      <c r="E516" s="15">
        <f t="shared" si="332"/>
        <v>1</v>
      </c>
      <c r="F516" s="15">
        <f t="shared" si="363"/>
        <v>0</v>
      </c>
      <c r="G516" s="15">
        <f t="shared" si="333"/>
        <v>0</v>
      </c>
      <c r="H516" s="73">
        <f t="shared" si="334"/>
        <v>0</v>
      </c>
      <c r="I516" s="189"/>
      <c r="J516" s="189"/>
      <c r="K516" s="5">
        <f t="shared" si="376"/>
        <v>267267.69467991771</v>
      </c>
      <c r="M516" s="5">
        <f t="shared" si="335"/>
        <v>1300.9390183371668</v>
      </c>
      <c r="N516" s="5">
        <f t="shared" si="336"/>
        <v>-442.24556382435333</v>
      </c>
      <c r="O516" s="5">
        <f t="shared" si="337"/>
        <v>0</v>
      </c>
      <c r="P516" s="5">
        <f t="shared" si="338"/>
        <v>0</v>
      </c>
      <c r="Q516" s="5">
        <f t="shared" si="372"/>
        <v>0</v>
      </c>
      <c r="R516" s="5">
        <f t="shared" si="364"/>
        <v>0</v>
      </c>
      <c r="S516" s="5">
        <f t="shared" si="339"/>
        <v>0</v>
      </c>
      <c r="T516" s="5">
        <f t="shared" si="340"/>
        <v>0</v>
      </c>
      <c r="U516" s="74">
        <f t="shared" si="341"/>
        <v>0</v>
      </c>
      <c r="V516" s="75">
        <f t="shared" si="342"/>
        <v>0</v>
      </c>
      <c r="W516" s="5">
        <f t="shared" si="343"/>
        <v>0</v>
      </c>
      <c r="X516" s="5">
        <f t="shared" si="344"/>
        <v>268126.38813443051</v>
      </c>
      <c r="Y516" s="5">
        <f t="shared" si="365"/>
        <v>100000</v>
      </c>
      <c r="Z516" s="215">
        <f t="shared" si="345"/>
        <v>1</v>
      </c>
      <c r="AA516" s="216">
        <f t="shared" si="366"/>
        <v>0</v>
      </c>
      <c r="AB516" s="72">
        <f t="shared" si="373"/>
        <v>75146.698411840829</v>
      </c>
      <c r="AC516" s="72">
        <f t="shared" si="346"/>
        <v>0</v>
      </c>
      <c r="AD516" s="72">
        <f t="shared" si="347"/>
        <v>0</v>
      </c>
      <c r="AE516" s="72">
        <f t="shared" si="367"/>
        <v>-55.83422258775596</v>
      </c>
      <c r="AF516" s="70">
        <f t="shared" si="348"/>
        <v>0</v>
      </c>
      <c r="AG516" s="70">
        <f t="shared" si="349"/>
        <v>17297.07447574228</v>
      </c>
      <c r="AH516" s="1">
        <f t="shared" si="383"/>
        <v>0</v>
      </c>
      <c r="AI516" s="1">
        <f t="shared" si="383"/>
        <v>0</v>
      </c>
      <c r="AJ516" s="1">
        <f t="shared" si="383"/>
        <v>0</v>
      </c>
      <c r="AK516" s="1">
        <f t="shared" si="383"/>
        <v>0</v>
      </c>
      <c r="AL516" s="1">
        <f t="shared" si="383"/>
        <v>0</v>
      </c>
      <c r="AM516" s="1">
        <f t="shared" si="383"/>
        <v>0</v>
      </c>
      <c r="AN516" s="1">
        <f t="shared" si="383"/>
        <v>0</v>
      </c>
      <c r="AO516" s="1">
        <f t="shared" si="383"/>
        <v>0</v>
      </c>
      <c r="AP516" s="1">
        <f t="shared" si="383"/>
        <v>0</v>
      </c>
      <c r="AQ516" s="1">
        <f t="shared" si="383"/>
        <v>0</v>
      </c>
      <c r="AR516" s="1">
        <f t="shared" si="383"/>
        <v>0</v>
      </c>
      <c r="AS516" s="1">
        <f t="shared" si="383"/>
        <v>1</v>
      </c>
      <c r="AT516" s="39">
        <f t="shared" si="350"/>
        <v>268126.38813443051</v>
      </c>
      <c r="AU516" s="39">
        <f t="shared" si="368"/>
        <v>268126.38813443051</v>
      </c>
      <c r="AV516" s="39">
        <f t="shared" si="378"/>
        <v>0</v>
      </c>
      <c r="AW516" s="3">
        <f t="shared" si="351"/>
        <v>442</v>
      </c>
      <c r="AX516" s="69">
        <f t="shared" si="369"/>
        <v>0</v>
      </c>
      <c r="AY516" s="75">
        <f t="shared" si="352"/>
        <v>0</v>
      </c>
      <c r="AZ516" s="75">
        <f t="shared" si="353"/>
        <v>0</v>
      </c>
      <c r="BA516" s="75">
        <f t="shared" si="354"/>
        <v>0</v>
      </c>
      <c r="BB516" s="75">
        <f t="shared" si="355"/>
        <v>0</v>
      </c>
      <c r="BD516" s="214">
        <f t="shared" si="370"/>
        <v>407382.2108730342</v>
      </c>
      <c r="BE516" s="214">
        <f t="shared" si="356"/>
        <v>1982.9535108457385</v>
      </c>
      <c r="BF516" s="214">
        <f t="shared" si="357"/>
        <v>-674.09185294661768</v>
      </c>
      <c r="BG516" s="224">
        <f t="shared" si="374"/>
        <v>0</v>
      </c>
      <c r="BH516" s="19">
        <f t="shared" si="371"/>
        <v>842649.54798974621</v>
      </c>
      <c r="BI516" s="214">
        <f t="shared" si="358"/>
        <v>4101.6392837035537</v>
      </c>
      <c r="BJ516" s="214">
        <f t="shared" si="359"/>
        <v>0</v>
      </c>
      <c r="BK516" s="19">
        <f t="shared" si="375"/>
        <v>0</v>
      </c>
    </row>
    <row r="517" spans="1:63">
      <c r="A517" s="165">
        <f t="shared" si="360"/>
        <v>98.889459274469544</v>
      </c>
      <c r="B517" s="69">
        <f t="shared" si="361"/>
        <v>37</v>
      </c>
      <c r="C517" s="70">
        <f t="shared" si="362"/>
        <v>443</v>
      </c>
      <c r="D517" s="13">
        <f t="shared" si="331"/>
        <v>4.8675505653430484E-3</v>
      </c>
      <c r="E517" s="15">
        <f t="shared" si="332"/>
        <v>1</v>
      </c>
      <c r="F517" s="15">
        <f t="shared" si="363"/>
        <v>0</v>
      </c>
      <c r="G517" s="15">
        <f t="shared" si="333"/>
        <v>0</v>
      </c>
      <c r="H517" s="73">
        <f t="shared" si="334"/>
        <v>0</v>
      </c>
      <c r="I517" s="189"/>
      <c r="J517" s="189"/>
      <c r="K517" s="5">
        <f t="shared" si="376"/>
        <v>268126.38813443051</v>
      </c>
      <c r="M517" s="5">
        <f t="shared" si="335"/>
        <v>1305.1187521471368</v>
      </c>
      <c r="N517" s="5">
        <f t="shared" si="336"/>
        <v>-443.66643652428098</v>
      </c>
      <c r="O517" s="5">
        <f t="shared" si="337"/>
        <v>0</v>
      </c>
      <c r="P517" s="5">
        <f t="shared" si="338"/>
        <v>0</v>
      </c>
      <c r="Q517" s="5">
        <f t="shared" si="372"/>
        <v>0</v>
      </c>
      <c r="R517" s="5">
        <f t="shared" si="364"/>
        <v>0</v>
      </c>
      <c r="S517" s="5">
        <f t="shared" si="339"/>
        <v>0</v>
      </c>
      <c r="T517" s="5">
        <f t="shared" si="340"/>
        <v>0</v>
      </c>
      <c r="U517" s="74">
        <f t="shared" si="341"/>
        <v>0</v>
      </c>
      <c r="V517" s="75">
        <f t="shared" si="342"/>
        <v>0</v>
      </c>
      <c r="W517" s="5">
        <f t="shared" si="343"/>
        <v>0</v>
      </c>
      <c r="X517" s="5">
        <f t="shared" si="344"/>
        <v>268987.84045005334</v>
      </c>
      <c r="Y517" s="5">
        <f t="shared" si="365"/>
        <v>100000</v>
      </c>
      <c r="Z517" s="215">
        <f t="shared" si="345"/>
        <v>1</v>
      </c>
      <c r="AA517" s="216">
        <f t="shared" si="366"/>
        <v>0</v>
      </c>
      <c r="AB517" s="72">
        <f t="shared" si="373"/>
        <v>75146.698411840829</v>
      </c>
      <c r="AC517" s="72">
        <f t="shared" si="346"/>
        <v>0</v>
      </c>
      <c r="AD517" s="72">
        <f t="shared" si="347"/>
        <v>0</v>
      </c>
      <c r="AE517" s="72">
        <f t="shared" si="367"/>
        <v>-56.013610079878177</v>
      </c>
      <c r="AF517" s="70">
        <f t="shared" si="348"/>
        <v>0</v>
      </c>
      <c r="AG517" s="70">
        <f t="shared" si="349"/>
        <v>17624.426355678952</v>
      </c>
      <c r="AH517" s="1">
        <f t="shared" si="383"/>
        <v>0</v>
      </c>
      <c r="AI517" s="1">
        <f t="shared" si="383"/>
        <v>0</v>
      </c>
      <c r="AJ517" s="1">
        <f t="shared" si="383"/>
        <v>0</v>
      </c>
      <c r="AK517" s="1">
        <f t="shared" si="383"/>
        <v>0</v>
      </c>
      <c r="AL517" s="1">
        <f t="shared" si="383"/>
        <v>0</v>
      </c>
      <c r="AM517" s="1">
        <f t="shared" si="383"/>
        <v>0</v>
      </c>
      <c r="AN517" s="1">
        <f t="shared" si="383"/>
        <v>0</v>
      </c>
      <c r="AO517" s="1">
        <f t="shared" si="383"/>
        <v>0</v>
      </c>
      <c r="AP517" s="1">
        <f t="shared" si="383"/>
        <v>0</v>
      </c>
      <c r="AQ517" s="1">
        <f t="shared" si="383"/>
        <v>0</v>
      </c>
      <c r="AR517" s="1">
        <f t="shared" si="383"/>
        <v>0</v>
      </c>
      <c r="AS517" s="1">
        <f t="shared" si="383"/>
        <v>1</v>
      </c>
      <c r="AT517" s="39">
        <f t="shared" si="350"/>
        <v>268987.84045005334</v>
      </c>
      <c r="AU517" s="39">
        <f t="shared" si="368"/>
        <v>268987.84045005334</v>
      </c>
      <c r="AV517" s="39">
        <f t="shared" si="378"/>
        <v>0</v>
      </c>
      <c r="AW517" s="3">
        <f t="shared" si="351"/>
        <v>443</v>
      </c>
      <c r="AX517" s="69">
        <f t="shared" si="369"/>
        <v>0</v>
      </c>
      <c r="AY517" s="75">
        <f t="shared" si="352"/>
        <v>0</v>
      </c>
      <c r="AZ517" s="75">
        <f t="shared" si="353"/>
        <v>0</v>
      </c>
      <c r="BA517" s="75">
        <f t="shared" si="354"/>
        <v>0</v>
      </c>
      <c r="BB517" s="75">
        <f t="shared" si="355"/>
        <v>0</v>
      </c>
      <c r="BD517" s="214">
        <f t="shared" si="370"/>
        <v>408691.07253093331</v>
      </c>
      <c r="BE517" s="214">
        <f t="shared" si="356"/>
        <v>1989.3244611486011</v>
      </c>
      <c r="BF517" s="214">
        <f t="shared" si="357"/>
        <v>-676.25761511461519</v>
      </c>
      <c r="BG517" s="224">
        <f t="shared" si="374"/>
        <v>0</v>
      </c>
      <c r="BH517" s="19">
        <f t="shared" si="371"/>
        <v>846751.18727344973</v>
      </c>
      <c r="BI517" s="214">
        <f t="shared" si="358"/>
        <v>4121.6042203177776</v>
      </c>
      <c r="BJ517" s="214">
        <f t="shared" si="359"/>
        <v>0</v>
      </c>
      <c r="BK517" s="19">
        <f t="shared" si="375"/>
        <v>0</v>
      </c>
    </row>
    <row r="518" spans="1:63">
      <c r="A518" s="165">
        <f t="shared" si="360"/>
        <v>98.972792607802873</v>
      </c>
      <c r="B518" s="69">
        <f t="shared" si="361"/>
        <v>37</v>
      </c>
      <c r="C518" s="70">
        <f t="shared" si="362"/>
        <v>444</v>
      </c>
      <c r="D518" s="13">
        <f t="shared" si="331"/>
        <v>4.8675505653430484E-3</v>
      </c>
      <c r="E518" s="15">
        <f t="shared" si="332"/>
        <v>1</v>
      </c>
      <c r="F518" s="15">
        <f t="shared" si="363"/>
        <v>0</v>
      </c>
      <c r="G518" s="15">
        <f t="shared" si="333"/>
        <v>0</v>
      </c>
      <c r="H518" s="73">
        <f t="shared" si="334"/>
        <v>0</v>
      </c>
      <c r="I518" s="189"/>
      <c r="J518" s="189"/>
      <c r="K518" s="5">
        <f t="shared" si="376"/>
        <v>268987.84045005334</v>
      </c>
      <c r="M518" s="5">
        <f t="shared" si="335"/>
        <v>1309.3119148530627</v>
      </c>
      <c r="N518" s="5">
        <f t="shared" si="336"/>
        <v>-445.09187428804313</v>
      </c>
      <c r="O518" s="5">
        <f t="shared" si="337"/>
        <v>0</v>
      </c>
      <c r="P518" s="5">
        <f t="shared" si="338"/>
        <v>0</v>
      </c>
      <c r="Q518" s="5">
        <f t="shared" si="372"/>
        <v>0</v>
      </c>
      <c r="R518" s="5">
        <f t="shared" si="364"/>
        <v>0</v>
      </c>
      <c r="S518" s="5">
        <f t="shared" si="339"/>
        <v>0</v>
      </c>
      <c r="T518" s="5">
        <f t="shared" si="340"/>
        <v>0</v>
      </c>
      <c r="U518" s="74">
        <f t="shared" si="341"/>
        <v>0</v>
      </c>
      <c r="V518" s="75">
        <f t="shared" si="342"/>
        <v>0</v>
      </c>
      <c r="W518" s="5">
        <f t="shared" si="343"/>
        <v>0</v>
      </c>
      <c r="X518" s="5">
        <f t="shared" si="344"/>
        <v>269852.06049061834</v>
      </c>
      <c r="Y518" s="5">
        <f t="shared" si="365"/>
        <v>100000</v>
      </c>
      <c r="Z518" s="215">
        <f t="shared" si="345"/>
        <v>1</v>
      </c>
      <c r="AA518" s="216">
        <f t="shared" si="366"/>
        <v>0</v>
      </c>
      <c r="AB518" s="72">
        <f t="shared" si="373"/>
        <v>75146.698411840829</v>
      </c>
      <c r="AC518" s="72">
        <f t="shared" si="346"/>
        <v>0</v>
      </c>
      <c r="AD518" s="72">
        <f t="shared" si="347"/>
        <v>0</v>
      </c>
      <c r="AE518" s="72">
        <f t="shared" si="367"/>
        <v>-56.193573918743262</v>
      </c>
      <c r="AF518" s="70">
        <f t="shared" si="348"/>
        <v>0</v>
      </c>
      <c r="AG518" s="70">
        <f t="shared" si="349"/>
        <v>17952.829971093655</v>
      </c>
      <c r="AH518" s="1">
        <f t="shared" si="383"/>
        <v>0</v>
      </c>
      <c r="AI518" s="1">
        <f t="shared" si="383"/>
        <v>0</v>
      </c>
      <c r="AJ518" s="1">
        <f t="shared" si="383"/>
        <v>0</v>
      </c>
      <c r="AK518" s="1">
        <f t="shared" si="383"/>
        <v>0</v>
      </c>
      <c r="AL518" s="1">
        <f t="shared" si="383"/>
        <v>0</v>
      </c>
      <c r="AM518" s="1">
        <f t="shared" si="383"/>
        <v>0</v>
      </c>
      <c r="AN518" s="1">
        <f t="shared" si="383"/>
        <v>0</v>
      </c>
      <c r="AO518" s="1">
        <f t="shared" si="383"/>
        <v>0</v>
      </c>
      <c r="AP518" s="1">
        <f t="shared" si="383"/>
        <v>0</v>
      </c>
      <c r="AQ518" s="1">
        <f t="shared" si="383"/>
        <v>0</v>
      </c>
      <c r="AR518" s="1">
        <f t="shared" si="383"/>
        <v>0</v>
      </c>
      <c r="AS518" s="1">
        <f t="shared" si="383"/>
        <v>1</v>
      </c>
      <c r="AT518" s="39">
        <f t="shared" si="350"/>
        <v>269852.06049061834</v>
      </c>
      <c r="AU518" s="39">
        <f t="shared" si="368"/>
        <v>269852.06049061834</v>
      </c>
      <c r="AV518" s="39">
        <f t="shared" si="378"/>
        <v>0</v>
      </c>
      <c r="AW518" s="3">
        <f t="shared" si="351"/>
        <v>444</v>
      </c>
      <c r="AX518" s="69">
        <f t="shared" si="369"/>
        <v>0</v>
      </c>
      <c r="AY518" s="75">
        <f t="shared" si="352"/>
        <v>0</v>
      </c>
      <c r="AZ518" s="75">
        <f t="shared" si="353"/>
        <v>0</v>
      </c>
      <c r="BA518" s="75">
        <f t="shared" si="354"/>
        <v>0</v>
      </c>
      <c r="BB518" s="75">
        <f t="shared" si="355"/>
        <v>0</v>
      </c>
      <c r="BD518" s="214">
        <f t="shared" si="370"/>
        <v>410004.13937696727</v>
      </c>
      <c r="BE518" s="214">
        <f t="shared" si="356"/>
        <v>1995.7158804173471</v>
      </c>
      <c r="BF518" s="214">
        <f t="shared" si="357"/>
        <v>-678.43033557137971</v>
      </c>
      <c r="BG518" s="224">
        <f t="shared" si="374"/>
        <v>0</v>
      </c>
      <c r="BH518" s="19">
        <f t="shared" si="371"/>
        <v>850872.79149376752</v>
      </c>
      <c r="BI518" s="214">
        <f t="shared" si="358"/>
        <v>4141.6663372705061</v>
      </c>
      <c r="BJ518" s="214">
        <f t="shared" si="359"/>
        <v>0</v>
      </c>
      <c r="BK518" s="19">
        <f t="shared" si="375"/>
        <v>0</v>
      </c>
    </row>
    <row r="519" spans="1:63">
      <c r="A519" s="165">
        <f t="shared" si="360"/>
        <v>99.056125941136202</v>
      </c>
      <c r="B519" s="69">
        <f t="shared" si="361"/>
        <v>38</v>
      </c>
      <c r="C519" s="70">
        <f t="shared" si="362"/>
        <v>445</v>
      </c>
      <c r="D519" s="13">
        <f t="shared" si="331"/>
        <v>4.8675505653430484E-3</v>
      </c>
      <c r="E519" s="15">
        <f t="shared" si="332"/>
        <v>1</v>
      </c>
      <c r="F519" s="15">
        <f t="shared" si="363"/>
        <v>0</v>
      </c>
      <c r="G519" s="15">
        <f t="shared" si="333"/>
        <v>0</v>
      </c>
      <c r="H519" s="73">
        <f t="shared" si="334"/>
        <v>0</v>
      </c>
      <c r="I519" s="189"/>
      <c r="J519" s="189"/>
      <c r="K519" s="5">
        <f t="shared" si="376"/>
        <v>269852.06049061834</v>
      </c>
      <c r="M519" s="5">
        <f t="shared" si="335"/>
        <v>1313.5185496000959</v>
      </c>
      <c r="N519" s="5">
        <f t="shared" si="336"/>
        <v>-446.52189178254696</v>
      </c>
      <c r="O519" s="5">
        <f t="shared" si="337"/>
        <v>0</v>
      </c>
      <c r="P519" s="5">
        <f t="shared" si="338"/>
        <v>0</v>
      </c>
      <c r="Q519" s="5">
        <f t="shared" si="372"/>
        <v>0</v>
      </c>
      <c r="R519" s="5">
        <f t="shared" si="364"/>
        <v>0</v>
      </c>
      <c r="S519" s="5">
        <f t="shared" si="339"/>
        <v>0</v>
      </c>
      <c r="T519" s="5">
        <f t="shared" si="340"/>
        <v>0</v>
      </c>
      <c r="U519" s="74">
        <f t="shared" si="341"/>
        <v>0</v>
      </c>
      <c r="V519" s="75">
        <f t="shared" si="342"/>
        <v>0</v>
      </c>
      <c r="W519" s="5">
        <f t="shared" si="343"/>
        <v>0</v>
      </c>
      <c r="X519" s="5">
        <f t="shared" si="344"/>
        <v>270719.05714843591</v>
      </c>
      <c r="Y519" s="5">
        <f t="shared" si="365"/>
        <v>100000</v>
      </c>
      <c r="Z519" s="215">
        <f t="shared" si="345"/>
        <v>1</v>
      </c>
      <c r="AA519" s="216">
        <f t="shared" si="366"/>
        <v>0</v>
      </c>
      <c r="AB519" s="72">
        <f t="shared" si="373"/>
        <v>75146.698411840829</v>
      </c>
      <c r="AC519" s="72">
        <f t="shared" si="346"/>
        <v>0</v>
      </c>
      <c r="AD519" s="72">
        <f t="shared" si="347"/>
        <v>0</v>
      </c>
      <c r="AE519" s="72">
        <f t="shared" si="367"/>
        <v>-56.374115956072153</v>
      </c>
      <c r="AF519" s="70">
        <f t="shared" si="348"/>
        <v>0</v>
      </c>
      <c r="AG519" s="70">
        <f t="shared" si="349"/>
        <v>18282.288701064332</v>
      </c>
      <c r="AH519" s="1">
        <f t="shared" si="383"/>
        <v>0</v>
      </c>
      <c r="AI519" s="1">
        <f t="shared" si="383"/>
        <v>0</v>
      </c>
      <c r="AJ519" s="1">
        <f t="shared" si="383"/>
        <v>0</v>
      </c>
      <c r="AK519" s="1">
        <f t="shared" si="383"/>
        <v>0</v>
      </c>
      <c r="AL519" s="1">
        <f t="shared" si="383"/>
        <v>0</v>
      </c>
      <c r="AM519" s="1">
        <f t="shared" si="383"/>
        <v>0</v>
      </c>
      <c r="AN519" s="1">
        <f t="shared" si="383"/>
        <v>0</v>
      </c>
      <c r="AO519" s="1">
        <f t="shared" si="383"/>
        <v>0</v>
      </c>
      <c r="AP519" s="1">
        <f t="shared" si="383"/>
        <v>0</v>
      </c>
      <c r="AQ519" s="1">
        <f t="shared" si="383"/>
        <v>0</v>
      </c>
      <c r="AR519" s="1">
        <f t="shared" si="383"/>
        <v>0</v>
      </c>
      <c r="AS519" s="1">
        <f t="shared" si="383"/>
        <v>1</v>
      </c>
      <c r="AT519" s="39">
        <f t="shared" si="350"/>
        <v>270719.05714843591</v>
      </c>
      <c r="AU519" s="39">
        <f t="shared" si="368"/>
        <v>270719.05714843591</v>
      </c>
      <c r="AV519" s="39">
        <f t="shared" si="378"/>
        <v>0</v>
      </c>
      <c r="AW519" s="3">
        <f t="shared" si="351"/>
        <v>445</v>
      </c>
      <c r="AX519" s="69">
        <f t="shared" si="369"/>
        <v>0</v>
      </c>
      <c r="AY519" s="75">
        <f t="shared" si="352"/>
        <v>0</v>
      </c>
      <c r="AZ519" s="75">
        <f t="shared" si="353"/>
        <v>0</v>
      </c>
      <c r="BA519" s="75">
        <f t="shared" si="354"/>
        <v>0</v>
      </c>
      <c r="BB519" s="75">
        <f t="shared" si="355"/>
        <v>0</v>
      </c>
      <c r="BD519" s="214">
        <f t="shared" si="370"/>
        <v>411321.42492181319</v>
      </c>
      <c r="BE519" s="214">
        <f t="shared" si="356"/>
        <v>2002.12783441588</v>
      </c>
      <c r="BF519" s="214">
        <f t="shared" si="357"/>
        <v>-680.61003667291288</v>
      </c>
      <c r="BG519" s="224">
        <f t="shared" si="374"/>
        <v>0</v>
      </c>
      <c r="BH519" s="19">
        <f t="shared" si="371"/>
        <v>855014.45783103805</v>
      </c>
      <c r="BI519" s="214">
        <f t="shared" si="358"/>
        <v>4161.826107591949</v>
      </c>
      <c r="BJ519" s="214">
        <f t="shared" si="359"/>
        <v>0</v>
      </c>
      <c r="BK519" s="19">
        <f t="shared" si="375"/>
        <v>0</v>
      </c>
    </row>
    <row r="520" spans="1:63">
      <c r="A520" s="165">
        <f t="shared" si="360"/>
        <v>99.139459274469544</v>
      </c>
      <c r="B520" s="69">
        <f t="shared" si="361"/>
        <v>38</v>
      </c>
      <c r="C520" s="70">
        <f t="shared" si="362"/>
        <v>446</v>
      </c>
      <c r="D520" s="13">
        <f t="shared" si="331"/>
        <v>4.8675505653430484E-3</v>
      </c>
      <c r="E520" s="15">
        <f t="shared" si="332"/>
        <v>1</v>
      </c>
      <c r="F520" s="15">
        <f t="shared" si="363"/>
        <v>0</v>
      </c>
      <c r="G520" s="15">
        <f t="shared" si="333"/>
        <v>0</v>
      </c>
      <c r="H520" s="73">
        <f t="shared" si="334"/>
        <v>0</v>
      </c>
      <c r="I520" s="189"/>
      <c r="J520" s="189"/>
      <c r="K520" s="5">
        <f t="shared" si="376"/>
        <v>270719.05714843591</v>
      </c>
      <c r="M520" s="5">
        <f t="shared" si="335"/>
        <v>1317.7386996720063</v>
      </c>
      <c r="N520" s="5">
        <f t="shared" si="336"/>
        <v>-447.95650372182212</v>
      </c>
      <c r="O520" s="5">
        <f t="shared" si="337"/>
        <v>0</v>
      </c>
      <c r="P520" s="5">
        <f t="shared" si="338"/>
        <v>0</v>
      </c>
      <c r="Q520" s="5">
        <f t="shared" si="372"/>
        <v>0</v>
      </c>
      <c r="R520" s="5">
        <f t="shared" si="364"/>
        <v>0</v>
      </c>
      <c r="S520" s="5">
        <f t="shared" si="339"/>
        <v>0</v>
      </c>
      <c r="T520" s="5">
        <f t="shared" si="340"/>
        <v>0</v>
      </c>
      <c r="U520" s="74">
        <f t="shared" si="341"/>
        <v>0</v>
      </c>
      <c r="V520" s="75">
        <f t="shared" si="342"/>
        <v>0</v>
      </c>
      <c r="W520" s="5">
        <f t="shared" si="343"/>
        <v>0</v>
      </c>
      <c r="X520" s="5">
        <f t="shared" si="344"/>
        <v>271588.83934438607</v>
      </c>
      <c r="Y520" s="5">
        <f t="shared" si="365"/>
        <v>100000</v>
      </c>
      <c r="Z520" s="215">
        <f t="shared" si="345"/>
        <v>1</v>
      </c>
      <c r="AA520" s="216">
        <f t="shared" si="366"/>
        <v>0</v>
      </c>
      <c r="AB520" s="72">
        <f t="shared" si="373"/>
        <v>75146.698411840829</v>
      </c>
      <c r="AC520" s="72">
        <f t="shared" si="346"/>
        <v>0</v>
      </c>
      <c r="AD520" s="72">
        <f t="shared" si="347"/>
        <v>0</v>
      </c>
      <c r="AE520" s="72">
        <f t="shared" si="367"/>
        <v>-56.555238049535042</v>
      </c>
      <c r="AF520" s="70">
        <f t="shared" si="348"/>
        <v>0</v>
      </c>
      <c r="AG520" s="70">
        <f t="shared" si="349"/>
        <v>18612.805935525394</v>
      </c>
      <c r="AH520" s="1">
        <f t="shared" si="383"/>
        <v>0</v>
      </c>
      <c r="AI520" s="1">
        <f t="shared" si="383"/>
        <v>0</v>
      </c>
      <c r="AJ520" s="1">
        <f t="shared" si="383"/>
        <v>0</v>
      </c>
      <c r="AK520" s="1">
        <f t="shared" si="383"/>
        <v>0</v>
      </c>
      <c r="AL520" s="1">
        <f t="shared" si="383"/>
        <v>0</v>
      </c>
      <c r="AM520" s="1">
        <f t="shared" si="383"/>
        <v>0</v>
      </c>
      <c r="AN520" s="1">
        <f t="shared" si="383"/>
        <v>0</v>
      </c>
      <c r="AO520" s="1">
        <f t="shared" si="383"/>
        <v>0</v>
      </c>
      <c r="AP520" s="1">
        <f t="shared" si="383"/>
        <v>0</v>
      </c>
      <c r="AQ520" s="1">
        <f t="shared" si="383"/>
        <v>0</v>
      </c>
      <c r="AR520" s="1">
        <f t="shared" si="383"/>
        <v>0</v>
      </c>
      <c r="AS520" s="1">
        <f t="shared" si="383"/>
        <v>1</v>
      </c>
      <c r="AT520" s="39">
        <f t="shared" si="350"/>
        <v>271588.83934438607</v>
      </c>
      <c r="AU520" s="39">
        <f t="shared" si="368"/>
        <v>271588.83934438607</v>
      </c>
      <c r="AV520" s="39">
        <f t="shared" si="378"/>
        <v>0</v>
      </c>
      <c r="AW520" s="3">
        <f t="shared" si="351"/>
        <v>446</v>
      </c>
      <c r="AX520" s="69">
        <f t="shared" si="369"/>
        <v>0</v>
      </c>
      <c r="AY520" s="75">
        <f t="shared" si="352"/>
        <v>0</v>
      </c>
      <c r="AZ520" s="75">
        <f t="shared" si="353"/>
        <v>0</v>
      </c>
      <c r="BA520" s="75">
        <f t="shared" si="354"/>
        <v>0</v>
      </c>
      <c r="BB520" s="75">
        <f t="shared" si="355"/>
        <v>0</v>
      </c>
      <c r="BD520" s="214">
        <f t="shared" si="370"/>
        <v>412642.94271955616</v>
      </c>
      <c r="BE520" s="214">
        <f t="shared" si="356"/>
        <v>2008.5603891193948</v>
      </c>
      <c r="BF520" s="214">
        <f t="shared" si="357"/>
        <v>-682.79674084704322</v>
      </c>
      <c r="BG520" s="224">
        <f t="shared" si="374"/>
        <v>0</v>
      </c>
      <c r="BH520" s="19">
        <f t="shared" si="371"/>
        <v>859176.28393863002</v>
      </c>
      <c r="BI520" s="214">
        <f t="shared" si="358"/>
        <v>4182.0840066148185</v>
      </c>
      <c r="BJ520" s="214">
        <f t="shared" si="359"/>
        <v>0</v>
      </c>
      <c r="BK520" s="19">
        <f t="shared" si="375"/>
        <v>0</v>
      </c>
    </row>
    <row r="521" spans="1:63">
      <c r="A521" s="165">
        <f t="shared" si="360"/>
        <v>99.222792607802873</v>
      </c>
      <c r="B521" s="69">
        <f t="shared" si="361"/>
        <v>38</v>
      </c>
      <c r="C521" s="70">
        <f t="shared" si="362"/>
        <v>447</v>
      </c>
      <c r="D521" s="13">
        <f t="shared" si="331"/>
        <v>4.8675505653430484E-3</v>
      </c>
      <c r="E521" s="15">
        <f t="shared" si="332"/>
        <v>1</v>
      </c>
      <c r="F521" s="15">
        <f t="shared" si="363"/>
        <v>0</v>
      </c>
      <c r="G521" s="15">
        <f t="shared" si="333"/>
        <v>0</v>
      </c>
      <c r="H521" s="73">
        <f t="shared" si="334"/>
        <v>0</v>
      </c>
      <c r="I521" s="189"/>
      <c r="J521" s="189"/>
      <c r="K521" s="5">
        <f t="shared" si="376"/>
        <v>271588.83934438607</v>
      </c>
      <c r="M521" s="5">
        <f t="shared" si="335"/>
        <v>1321.9724084916288</v>
      </c>
      <c r="N521" s="5">
        <f t="shared" si="336"/>
        <v>-449.39572486717236</v>
      </c>
      <c r="O521" s="5">
        <f t="shared" si="337"/>
        <v>0</v>
      </c>
      <c r="P521" s="5">
        <f t="shared" si="338"/>
        <v>0</v>
      </c>
      <c r="Q521" s="5">
        <f t="shared" si="372"/>
        <v>0</v>
      </c>
      <c r="R521" s="5">
        <f t="shared" si="364"/>
        <v>0</v>
      </c>
      <c r="S521" s="5">
        <f t="shared" si="339"/>
        <v>0</v>
      </c>
      <c r="T521" s="5">
        <f t="shared" si="340"/>
        <v>0</v>
      </c>
      <c r="U521" s="74">
        <f t="shared" si="341"/>
        <v>0</v>
      </c>
      <c r="V521" s="75">
        <f t="shared" si="342"/>
        <v>0</v>
      </c>
      <c r="W521" s="5">
        <f t="shared" si="343"/>
        <v>0</v>
      </c>
      <c r="X521" s="5">
        <f t="shared" si="344"/>
        <v>272461.41602801054</v>
      </c>
      <c r="Y521" s="5">
        <f t="shared" si="365"/>
        <v>100000</v>
      </c>
      <c r="Z521" s="215">
        <f t="shared" si="345"/>
        <v>1</v>
      </c>
      <c r="AA521" s="216">
        <f t="shared" si="366"/>
        <v>0</v>
      </c>
      <c r="AB521" s="72">
        <f t="shared" si="373"/>
        <v>75146.698411840829</v>
      </c>
      <c r="AC521" s="72">
        <f t="shared" si="346"/>
        <v>0</v>
      </c>
      <c r="AD521" s="72">
        <f t="shared" si="347"/>
        <v>0</v>
      </c>
      <c r="AE521" s="72">
        <f t="shared" si="367"/>
        <v>-56.736942062770567</v>
      </c>
      <c r="AF521" s="70">
        <f t="shared" si="348"/>
        <v>0</v>
      </c>
      <c r="AG521" s="70">
        <f t="shared" si="349"/>
        <v>18944.385075302693</v>
      </c>
      <c r="AH521" s="1">
        <f t="shared" si="383"/>
        <v>0</v>
      </c>
      <c r="AI521" s="1">
        <f t="shared" si="383"/>
        <v>0</v>
      </c>
      <c r="AJ521" s="1">
        <f t="shared" si="383"/>
        <v>0</v>
      </c>
      <c r="AK521" s="1">
        <f t="shared" si="383"/>
        <v>0</v>
      </c>
      <c r="AL521" s="1">
        <f t="shared" si="383"/>
        <v>0</v>
      </c>
      <c r="AM521" s="1">
        <f t="shared" si="383"/>
        <v>0</v>
      </c>
      <c r="AN521" s="1">
        <f t="shared" si="383"/>
        <v>0</v>
      </c>
      <c r="AO521" s="1">
        <f t="shared" si="383"/>
        <v>0</v>
      </c>
      <c r="AP521" s="1">
        <f t="shared" si="383"/>
        <v>0</v>
      </c>
      <c r="AQ521" s="1">
        <f t="shared" si="383"/>
        <v>0</v>
      </c>
      <c r="AR521" s="1">
        <f t="shared" si="383"/>
        <v>0</v>
      </c>
      <c r="AS521" s="1">
        <f t="shared" si="383"/>
        <v>1</v>
      </c>
      <c r="AT521" s="39">
        <f t="shared" si="350"/>
        <v>272461.41602801054</v>
      </c>
      <c r="AU521" s="39">
        <f t="shared" si="368"/>
        <v>272461.41602801054</v>
      </c>
      <c r="AV521" s="39">
        <f t="shared" si="378"/>
        <v>0</v>
      </c>
      <c r="AW521" s="3">
        <f t="shared" si="351"/>
        <v>447</v>
      </c>
      <c r="AX521" s="69">
        <f t="shared" si="369"/>
        <v>0</v>
      </c>
      <c r="AY521" s="75">
        <f t="shared" si="352"/>
        <v>0</v>
      </c>
      <c r="AZ521" s="75">
        <f t="shared" si="353"/>
        <v>0</v>
      </c>
      <c r="BA521" s="75">
        <f t="shared" si="354"/>
        <v>0</v>
      </c>
      <c r="BB521" s="75">
        <f t="shared" si="355"/>
        <v>0</v>
      </c>
      <c r="BD521" s="214">
        <f t="shared" si="370"/>
        <v>413968.70636782848</v>
      </c>
      <c r="BE521" s="214">
        <f t="shared" si="356"/>
        <v>2015.0136107150538</v>
      </c>
      <c r="BF521" s="214">
        <f t="shared" si="357"/>
        <v>-684.99047059365626</v>
      </c>
      <c r="BG521" s="224">
        <f t="shared" si="374"/>
        <v>0</v>
      </c>
      <c r="BH521" s="19">
        <f t="shared" si="371"/>
        <v>863358.36794524489</v>
      </c>
      <c r="BI521" s="214">
        <f t="shared" si="358"/>
        <v>4202.4405119855282</v>
      </c>
      <c r="BJ521" s="214">
        <f t="shared" si="359"/>
        <v>0</v>
      </c>
      <c r="BK521" s="19">
        <f t="shared" si="375"/>
        <v>0</v>
      </c>
    </row>
    <row r="522" spans="1:63">
      <c r="A522" s="165">
        <f t="shared" si="360"/>
        <v>99.306125941136202</v>
      </c>
      <c r="B522" s="69">
        <f t="shared" si="361"/>
        <v>38</v>
      </c>
      <c r="C522" s="70">
        <f t="shared" si="362"/>
        <v>448</v>
      </c>
      <c r="D522" s="13">
        <f t="shared" si="331"/>
        <v>4.8675505653430484E-3</v>
      </c>
      <c r="E522" s="15">
        <f t="shared" si="332"/>
        <v>1</v>
      </c>
      <c r="F522" s="15">
        <f t="shared" si="363"/>
        <v>0</v>
      </c>
      <c r="G522" s="15">
        <f t="shared" si="333"/>
        <v>0</v>
      </c>
      <c r="H522" s="73">
        <f t="shared" si="334"/>
        <v>0</v>
      </c>
      <c r="I522" s="189"/>
      <c r="J522" s="189"/>
      <c r="K522" s="5">
        <f t="shared" si="376"/>
        <v>272461.41602801054</v>
      </c>
      <c r="M522" s="5">
        <f t="shared" si="335"/>
        <v>1326.2197196213103</v>
      </c>
      <c r="N522" s="5">
        <f t="shared" si="336"/>
        <v>-450.8395700273278</v>
      </c>
      <c r="O522" s="5">
        <f t="shared" si="337"/>
        <v>0</v>
      </c>
      <c r="P522" s="5">
        <f t="shared" si="338"/>
        <v>0</v>
      </c>
      <c r="Q522" s="5">
        <f t="shared" si="372"/>
        <v>0</v>
      </c>
      <c r="R522" s="5">
        <f t="shared" si="364"/>
        <v>0</v>
      </c>
      <c r="S522" s="5">
        <f t="shared" si="339"/>
        <v>0</v>
      </c>
      <c r="T522" s="5">
        <f t="shared" si="340"/>
        <v>0</v>
      </c>
      <c r="U522" s="74">
        <f t="shared" si="341"/>
        <v>0</v>
      </c>
      <c r="V522" s="75">
        <f t="shared" si="342"/>
        <v>0</v>
      </c>
      <c r="W522" s="5">
        <f t="shared" si="343"/>
        <v>0</v>
      </c>
      <c r="X522" s="5">
        <f t="shared" si="344"/>
        <v>273336.79617760453</v>
      </c>
      <c r="Y522" s="5">
        <f t="shared" si="365"/>
        <v>100000</v>
      </c>
      <c r="Z522" s="215">
        <f t="shared" si="345"/>
        <v>1</v>
      </c>
      <c r="AA522" s="216">
        <f t="shared" si="366"/>
        <v>0</v>
      </c>
      <c r="AB522" s="72">
        <f t="shared" si="373"/>
        <v>75146.698411840829</v>
      </c>
      <c r="AC522" s="72">
        <f t="shared" si="346"/>
        <v>0</v>
      </c>
      <c r="AD522" s="72">
        <f t="shared" si="347"/>
        <v>0</v>
      </c>
      <c r="AE522" s="72">
        <f t="shared" si="367"/>
        <v>-56.919229865405008</v>
      </c>
      <c r="AF522" s="70">
        <f t="shared" si="348"/>
        <v>0</v>
      </c>
      <c r="AG522" s="70">
        <f t="shared" si="349"/>
        <v>19277.029532148401</v>
      </c>
      <c r="AH522" s="1">
        <f t="shared" si="383"/>
        <v>0</v>
      </c>
      <c r="AI522" s="1">
        <f t="shared" si="383"/>
        <v>0</v>
      </c>
      <c r="AJ522" s="1">
        <f t="shared" si="383"/>
        <v>0</v>
      </c>
      <c r="AK522" s="1">
        <f t="shared" si="383"/>
        <v>0</v>
      </c>
      <c r="AL522" s="1">
        <f t="shared" si="383"/>
        <v>0</v>
      </c>
      <c r="AM522" s="1">
        <f t="shared" si="383"/>
        <v>0</v>
      </c>
      <c r="AN522" s="1">
        <f t="shared" si="383"/>
        <v>0</v>
      </c>
      <c r="AO522" s="1">
        <f t="shared" si="383"/>
        <v>0</v>
      </c>
      <c r="AP522" s="1">
        <f t="shared" si="383"/>
        <v>0</v>
      </c>
      <c r="AQ522" s="1">
        <f t="shared" si="383"/>
        <v>0</v>
      </c>
      <c r="AR522" s="1">
        <f t="shared" si="383"/>
        <v>0</v>
      </c>
      <c r="AS522" s="1">
        <f t="shared" si="383"/>
        <v>1</v>
      </c>
      <c r="AT522" s="39">
        <f t="shared" si="350"/>
        <v>273336.79617760453</v>
      </c>
      <c r="AU522" s="39">
        <f t="shared" si="368"/>
        <v>273336.79617760453</v>
      </c>
      <c r="AV522" s="39">
        <f t="shared" si="378"/>
        <v>0</v>
      </c>
      <c r="AW522" s="3">
        <f t="shared" si="351"/>
        <v>448</v>
      </c>
      <c r="AX522" s="69">
        <f t="shared" si="369"/>
        <v>0</v>
      </c>
      <c r="AY522" s="75">
        <f t="shared" si="352"/>
        <v>0</v>
      </c>
      <c r="AZ522" s="75">
        <f t="shared" si="353"/>
        <v>0</v>
      </c>
      <c r="BA522" s="75">
        <f t="shared" si="354"/>
        <v>0</v>
      </c>
      <c r="BB522" s="75">
        <f t="shared" si="355"/>
        <v>0</v>
      </c>
      <c r="BD522" s="214">
        <f t="shared" si="370"/>
        <v>415298.72950794984</v>
      </c>
      <c r="BE522" s="214">
        <f t="shared" si="356"/>
        <v>2021.4875656026711</v>
      </c>
      <c r="BF522" s="214">
        <f t="shared" si="357"/>
        <v>-687.19124848492675</v>
      </c>
      <c r="BG522" s="224">
        <f t="shared" si="374"/>
        <v>0</v>
      </c>
      <c r="BH522" s="19">
        <f t="shared" si="371"/>
        <v>867560.80845723045</v>
      </c>
      <c r="BI522" s="214">
        <f t="shared" si="358"/>
        <v>4222.8961036754645</v>
      </c>
      <c r="BJ522" s="214">
        <f t="shared" si="359"/>
        <v>0</v>
      </c>
      <c r="BK522" s="19">
        <f t="shared" si="375"/>
        <v>0</v>
      </c>
    </row>
    <row r="523" spans="1:63">
      <c r="A523" s="165">
        <f t="shared" si="360"/>
        <v>99.389459274469544</v>
      </c>
      <c r="B523" s="69">
        <f t="shared" si="361"/>
        <v>38</v>
      </c>
      <c r="C523" s="70">
        <f t="shared" si="362"/>
        <v>449</v>
      </c>
      <c r="D523" s="13">
        <f t="shared" ref="D523:D586" si="384">Growth_Rate_1_Monthly</f>
        <v>4.8675505653430484E-3</v>
      </c>
      <c r="E523" s="15">
        <f t="shared" ref="E523:E586" si="385">IF(Gtee_Flag="on",1,0)</f>
        <v>1</v>
      </c>
      <c r="F523" s="15">
        <f t="shared" si="363"/>
        <v>0</v>
      </c>
      <c r="G523" s="15">
        <f t="shared" ref="G523:G586" si="386">IF(AND(RP_Flag = "Yes",RP_Allowed="Yes"),IF(RP_PremFreq = "Annual",IF(MOD(C523-1, 12) = 0, 1, 0), IF(RP_PremFreq = "Half-Yearly", IF(MOD(C523-1, 6) = 0, 1, 0), IF(RP_PremFreq = "Quarterly", IF(MOD(C523-1, 3) = 0, 1, 0), IF(RP_PremFreq = "Monthly", IF(MOD(C523-1, 1) = 0, 1, 0), "Error")))),0)</f>
        <v>0</v>
      </c>
      <c r="H523" s="73">
        <f t="shared" ref="H523:H586" si="387">IF(ISERROR(VLOOKUP(Product_Code,Product_Parameters,B523+8,FALSE)),0,VLOOKUP(Product_Code,Product_Parameters,B523+8,FALSE))</f>
        <v>0</v>
      </c>
      <c r="I523" s="189"/>
      <c r="J523" s="189"/>
      <c r="K523" s="5">
        <f t="shared" si="376"/>
        <v>273336.79617760453</v>
      </c>
      <c r="M523" s="5">
        <f t="shared" ref="M523:M586" si="388">(K523+L523)*D523</f>
        <v>1330.4806767633565</v>
      </c>
      <c r="N523" s="5">
        <f t="shared" ref="N523:N586" si="389">-(($K523+(L523)+M523/2)*(External_Fund_Charge_Monthly+Fund_Charge_Monthly+Gtee_Charge_Monthly*$E523))-I523*Government_Levy</f>
        <v>-452.28805405859634</v>
      </c>
      <c r="O523" s="5">
        <f t="shared" ref="O523:O586" si="390">(Reg_Contrib/Contrib_Per_Year)*(1+RP_Escalation_Rate)^(B523-1)*G523</f>
        <v>0</v>
      </c>
      <c r="P523" s="5">
        <f t="shared" ref="P523:P586" si="391">O523*(RP_Allocation_Rate-1)</f>
        <v>0</v>
      </c>
      <c r="Q523" s="5">
        <f t="shared" si="372"/>
        <v>0</v>
      </c>
      <c r="R523" s="5">
        <f t="shared" si="364"/>
        <v>0</v>
      </c>
      <c r="S523" s="5">
        <f t="shared" ref="S523:S586" si="392">(Q523+R523)*D523</f>
        <v>0</v>
      </c>
      <c r="T523" s="5">
        <f t="shared" ref="T523:T586" si="393">-(($Q523+(R523)+S523/2)*(External_Fund_Charge_Monthly+Fund_Charge_Monthly+Gtee_Charge_Monthly*$E523))-O523*Government_Levy</f>
        <v>0</v>
      </c>
      <c r="U523" s="74">
        <f t="shared" ref="U523:U586" si="394">IF(OR(Reg_Income_Flag="No",Income_Type="Fixed Percent"),0,IF(C523&gt;=Regular_Income_Start_Month,
MIN(Regular_Income_Amount/12*(1+Income_Escalation_Rate_Annual)^($B523-1),AU523),0))</f>
        <v>0</v>
      </c>
      <c r="V523" s="75">
        <f t="shared" ref="V523:V586" si="395">IF(Reg_Income_Flag="No",0,MAX(IF(C523&gt;=Regular_Income_Start_Month,
MIN(IF(Income_Type="Fixed Percent",$C$43,0)/12*(K523+L523+M523+N523+Q523+R523+S523+T523),AU523),0),0))</f>
        <v>0</v>
      </c>
      <c r="W523" s="5">
        <f t="shared" ref="W523:W586" si="396">-MAX(U523:V523)</f>
        <v>0</v>
      </c>
      <c r="X523" s="5">
        <f t="shared" ref="X523:X586" si="397">SUM(K523:N523,Q523:T523)</f>
        <v>274214.98880030925</v>
      </c>
      <c r="Y523" s="5">
        <f t="shared" si="365"/>
        <v>100000</v>
      </c>
      <c r="Z523" s="215">
        <f t="shared" ref="Z523:Z586" si="398">IFERROR(SUM(K523:N523)/X523,0)</f>
        <v>1</v>
      </c>
      <c r="AA523" s="216">
        <f t="shared" si="366"/>
        <v>0</v>
      </c>
      <c r="AB523" s="72">
        <f t="shared" si="373"/>
        <v>75146.698411840829</v>
      </c>
      <c r="AC523" s="72">
        <f t="shared" ref="AC523:AC586" si="399">IF(Y523=0,0,-IF(F523=1,1,AA523)*(MAX(X523+AB523-Y523,0)*Exit_Tax_Rate-AB523))</f>
        <v>0</v>
      </c>
      <c r="AD523" s="72">
        <f t="shared" ref="AD523:AD586" si="400">W523-IF(F523=1,AA523,1)*AC523</f>
        <v>0</v>
      </c>
      <c r="AE523" s="72">
        <f t="shared" si="367"/>
        <v>-57.102103333071454</v>
      </c>
      <c r="AF523" s="70">
        <f t="shared" ref="AF523:AF586" si="401">SUM(K523:N523,SUM(AC523:AD523)*Z523)*$H523</f>
        <v>0</v>
      </c>
      <c r="AG523" s="70">
        <f t="shared" ref="AG523:AG586" si="402">IF(F523=1,0,MAX(X523+AB523+AC523+AD523-AF523-Y523,0)*Exit_Tax_Rate-AB523)</f>
        <v>19610.742728776197</v>
      </c>
      <c r="AH523" s="1">
        <f t="shared" si="383"/>
        <v>0</v>
      </c>
      <c r="AI523" s="1">
        <f t="shared" si="383"/>
        <v>0</v>
      </c>
      <c r="AJ523" s="1">
        <f t="shared" si="383"/>
        <v>0</v>
      </c>
      <c r="AK523" s="1">
        <f t="shared" si="383"/>
        <v>0</v>
      </c>
      <c r="AL523" s="1">
        <f t="shared" si="383"/>
        <v>0</v>
      </c>
      <c r="AM523" s="1">
        <f t="shared" si="383"/>
        <v>0</v>
      </c>
      <c r="AN523" s="1">
        <f t="shared" si="383"/>
        <v>0</v>
      </c>
      <c r="AO523" s="1">
        <f t="shared" si="383"/>
        <v>0</v>
      </c>
      <c r="AP523" s="1">
        <f t="shared" si="383"/>
        <v>0</v>
      </c>
      <c r="AQ523" s="1">
        <f t="shared" si="383"/>
        <v>0</v>
      </c>
      <c r="AR523" s="1">
        <f t="shared" si="383"/>
        <v>0</v>
      </c>
      <c r="AS523" s="1">
        <f t="shared" si="383"/>
        <v>1</v>
      </c>
      <c r="AT523" s="39">
        <f t="shared" ref="AT523:AT586" si="403">SUM(K523:N523,Q523:T523,W523,AC523)</f>
        <v>274214.98880030925</v>
      </c>
      <c r="AU523" s="39">
        <f t="shared" si="368"/>
        <v>274214.98880030925</v>
      </c>
      <c r="AV523" s="39">
        <f t="shared" si="378"/>
        <v>0</v>
      </c>
      <c r="AW523" s="3">
        <f t="shared" ref="AW523:AW586" si="404">C523</f>
        <v>449</v>
      </c>
      <c r="AX523" s="69">
        <f t="shared" si="369"/>
        <v>0</v>
      </c>
      <c r="AY523" s="75">
        <f t="shared" ref="AY523:AY586" si="405">IF(OR(AND(B523=Fund_Zero_Year,BD524=0,BD523&gt;0),C523=$C$53*12),-BH523,IF(AND(B523+1=Fund_Zero_Year,BD524=0,BD523&gt;0),-BH523,0))</f>
        <v>0</v>
      </c>
      <c r="AZ523" s="75">
        <f t="shared" ref="AZ523:AZ586" si="406">IF(OR(AND(B523=Fund_Zero_Year,BD524=0,BD523&gt;0),C523=$C$53*12),-BD523,IF(AND(B523+1=Fund_Zero_Year,BD524=0,BD523&gt;0),-BD523,0))</f>
        <v>0</v>
      </c>
      <c r="BA523" s="75">
        <f t="shared" ref="BA523:BA586" si="407">AY523+AX523+IF(OR(B523&gt;Fund_Zero_Year,BD523=0,C523&gt;MAX($C$53,$C$52)*12),0,W523)</f>
        <v>0</v>
      </c>
      <c r="BB523" s="75">
        <f t="shared" ref="BB523:BB586" si="408">AZ523+AX523+IF(OR(B523&gt;Fund_Zero_Year,BD523=0,C523&gt;MAX($C$53,$C$52)*12),0,W523)</f>
        <v>0</v>
      </c>
      <c r="BD523" s="214">
        <f t="shared" si="370"/>
        <v>416633.0258250676</v>
      </c>
      <c r="BE523" s="214">
        <f t="shared" ref="BE523:BE586" si="409">BD523*D523</f>
        <v>2027.9823203953927</v>
      </c>
      <c r="BF523" s="214">
        <f t="shared" ref="BF523:BF586" si="410">-(BD523+BE523/2)*(External_Fund_Charge_Monthly+Fund_Charge_Monthly+Gtee_Charge_Monthly*$E523)-(I523+O523)*Government_Levy</f>
        <v>-689.39909716555087</v>
      </c>
      <c r="BG523" s="224">
        <f t="shared" si="374"/>
        <v>0</v>
      </c>
      <c r="BH523" s="19">
        <f t="shared" si="371"/>
        <v>871783.70456090593</v>
      </c>
      <c r="BI523" s="214">
        <f t="shared" ref="BI523:BI586" si="411">BH523*D523</f>
        <v>4243.451263992295</v>
      </c>
      <c r="BJ523" s="214">
        <f t="shared" ref="BJ523:BJ586" si="412">-(I523+O523)*Government_Levy</f>
        <v>0</v>
      </c>
      <c r="BK523" s="19">
        <f t="shared" si="375"/>
        <v>0</v>
      </c>
    </row>
    <row r="524" spans="1:63">
      <c r="A524" s="165">
        <f t="shared" ref="A524:A587" si="413">$C$35+C523/12</f>
        <v>99.472792607802873</v>
      </c>
      <c r="B524" s="69">
        <f t="shared" ref="B524:B587" si="414">INT((C524-1)/12)+1</f>
        <v>38</v>
      </c>
      <c r="C524" s="70">
        <f t="shared" ref="C524:C587" si="415">C523+1</f>
        <v>450</v>
      </c>
      <c r="D524" s="13">
        <f t="shared" si="384"/>
        <v>4.8675505653430484E-3</v>
      </c>
      <c r="E524" s="15">
        <f t="shared" si="385"/>
        <v>1</v>
      </c>
      <c r="F524" s="15">
        <f t="shared" ref="F524:F587" si="416">IF(MOD(C524,96)=0,1,0)</f>
        <v>0</v>
      </c>
      <c r="G524" s="15">
        <f t="shared" si="386"/>
        <v>0</v>
      </c>
      <c r="H524" s="73">
        <f t="shared" si="387"/>
        <v>0</v>
      </c>
      <c r="I524" s="189"/>
      <c r="J524" s="189"/>
      <c r="K524" s="5">
        <f t="shared" si="376"/>
        <v>274214.98880030925</v>
      </c>
      <c r="M524" s="5">
        <f t="shared" si="388"/>
        <v>1334.755323760483</v>
      </c>
      <c r="N524" s="5">
        <f t="shared" si="389"/>
        <v>-453.74119186501758</v>
      </c>
      <c r="O524" s="5">
        <f t="shared" si="390"/>
        <v>0</v>
      </c>
      <c r="P524" s="5">
        <f t="shared" si="391"/>
        <v>0</v>
      </c>
      <c r="Q524" s="5">
        <f t="shared" si="372"/>
        <v>0</v>
      </c>
      <c r="R524" s="5">
        <f t="shared" ref="R524:R587" si="417">O524+P524</f>
        <v>0</v>
      </c>
      <c r="S524" s="5">
        <f t="shared" si="392"/>
        <v>0</v>
      </c>
      <c r="T524" s="5">
        <f t="shared" si="393"/>
        <v>0</v>
      </c>
      <c r="U524" s="74">
        <f t="shared" si="394"/>
        <v>0</v>
      </c>
      <c r="V524" s="75">
        <f t="shared" si="395"/>
        <v>0</v>
      </c>
      <c r="W524" s="5">
        <f t="shared" si="396"/>
        <v>0</v>
      </c>
      <c r="X524" s="5">
        <f t="shared" si="397"/>
        <v>275096.00293220475</v>
      </c>
      <c r="Y524" s="5">
        <f t="shared" ref="Y524:Y587" si="418">I524+O524+Y523*(1-AA523)</f>
        <v>100000</v>
      </c>
      <c r="Z524" s="215">
        <f t="shared" si="398"/>
        <v>1</v>
      </c>
      <c r="AA524" s="216">
        <f t="shared" ref="AA524:AA587" si="419">IFERROR(-W524/X524,0)</f>
        <v>0</v>
      </c>
      <c r="AB524" s="72">
        <f t="shared" si="373"/>
        <v>75146.698411840829</v>
      </c>
      <c r="AC524" s="72">
        <f t="shared" si="399"/>
        <v>0</v>
      </c>
      <c r="AD524" s="72">
        <f t="shared" si="400"/>
        <v>0</v>
      </c>
      <c r="AE524" s="72">
        <f t="shared" ref="AE524:AE587" si="420">-(($K524+I524+M524/2+N524/2+W524/2+$Q524+O524+S524/2+T524/2))*(Ongoing_Commission_Monthly)</f>
        <v>-57.285564347429137</v>
      </c>
      <c r="AF524" s="70">
        <f t="shared" si="401"/>
        <v>0</v>
      </c>
      <c r="AG524" s="70">
        <f t="shared" si="402"/>
        <v>19945.528098896495</v>
      </c>
      <c r="AH524" s="1">
        <f t="shared" si="383"/>
        <v>0</v>
      </c>
      <c r="AI524" s="1">
        <f t="shared" si="383"/>
        <v>0</v>
      </c>
      <c r="AJ524" s="1">
        <f t="shared" si="383"/>
        <v>0</v>
      </c>
      <c r="AK524" s="1">
        <f t="shared" si="383"/>
        <v>0</v>
      </c>
      <c r="AL524" s="1">
        <f t="shared" si="383"/>
        <v>0</v>
      </c>
      <c r="AM524" s="1">
        <f t="shared" si="383"/>
        <v>0</v>
      </c>
      <c r="AN524" s="1">
        <f t="shared" si="383"/>
        <v>0</v>
      </c>
      <c r="AO524" s="1">
        <f t="shared" si="383"/>
        <v>0</v>
      </c>
      <c r="AP524" s="1">
        <f t="shared" si="383"/>
        <v>0</v>
      </c>
      <c r="AQ524" s="1">
        <f t="shared" si="383"/>
        <v>0</v>
      </c>
      <c r="AR524" s="1">
        <f t="shared" si="383"/>
        <v>0</v>
      </c>
      <c r="AS524" s="1">
        <f t="shared" si="383"/>
        <v>1</v>
      </c>
      <c r="AT524" s="39">
        <f t="shared" si="403"/>
        <v>275096.00293220475</v>
      </c>
      <c r="AU524" s="39">
        <f t="shared" ref="AU524:AU587" si="421">MAX(0,SUM(K524:N524)-$C$51)</f>
        <v>275096.00293220475</v>
      </c>
      <c r="AV524" s="39">
        <f t="shared" si="378"/>
        <v>0</v>
      </c>
      <c r="AW524" s="3">
        <f t="shared" si="404"/>
        <v>450</v>
      </c>
      <c r="AX524" s="69">
        <f t="shared" ref="AX524:AX587" si="422">IF(OR(B524&gt;Fund_Zero_Year,SUM(K524,Q524)=0,C524&gt;$C$53*12),0,I524+O524)</f>
        <v>0</v>
      </c>
      <c r="AY524" s="75">
        <f t="shared" si="405"/>
        <v>0</v>
      </c>
      <c r="AZ524" s="75">
        <f t="shared" si="406"/>
        <v>0</v>
      </c>
      <c r="BA524" s="75">
        <f t="shared" si="407"/>
        <v>0</v>
      </c>
      <c r="BB524" s="75">
        <f t="shared" si="408"/>
        <v>0</v>
      </c>
      <c r="BD524" s="214">
        <f t="shared" ref="BD524:BD587" si="423">SUM(BD523:BG523)+L524+R524</f>
        <v>417971.60904829745</v>
      </c>
      <c r="BE524" s="214">
        <f t="shared" si="409"/>
        <v>2034.4979419203839</v>
      </c>
      <c r="BF524" s="214">
        <f t="shared" si="410"/>
        <v>-691.61403935297858</v>
      </c>
      <c r="BG524" s="224">
        <f t="shared" si="374"/>
        <v>0</v>
      </c>
      <c r="BH524" s="19">
        <f t="shared" ref="BH524:BH587" si="424">SUM(BH523:BK523)+L524+R524</f>
        <v>876027.15582489828</v>
      </c>
      <c r="BI524" s="214">
        <f t="shared" si="411"/>
        <v>4264.1064775913464</v>
      </c>
      <c r="BJ524" s="214">
        <f t="shared" si="412"/>
        <v>0</v>
      </c>
      <c r="BK524" s="19">
        <f t="shared" si="375"/>
        <v>0</v>
      </c>
    </row>
    <row r="525" spans="1:63">
      <c r="A525" s="165">
        <f t="shared" si="413"/>
        <v>99.556125941136202</v>
      </c>
      <c r="B525" s="69">
        <f t="shared" si="414"/>
        <v>38</v>
      </c>
      <c r="C525" s="70">
        <f t="shared" si="415"/>
        <v>451</v>
      </c>
      <c r="D525" s="13">
        <f t="shared" si="384"/>
        <v>4.8675505653430484E-3</v>
      </c>
      <c r="E525" s="15">
        <f t="shared" si="385"/>
        <v>1</v>
      </c>
      <c r="F525" s="15">
        <f t="shared" si="416"/>
        <v>0</v>
      </c>
      <c r="G525" s="15">
        <f t="shared" si="386"/>
        <v>0</v>
      </c>
      <c r="H525" s="73">
        <f t="shared" si="387"/>
        <v>0</v>
      </c>
      <c r="I525" s="189"/>
      <c r="J525" s="189"/>
      <c r="K525" s="5">
        <f t="shared" si="376"/>
        <v>275096.00293220475</v>
      </c>
      <c r="M525" s="5">
        <f t="shared" si="388"/>
        <v>1339.043704596266</v>
      </c>
      <c r="N525" s="5">
        <f t="shared" si="389"/>
        <v>-455.19899839851564</v>
      </c>
      <c r="O525" s="5">
        <f t="shared" si="390"/>
        <v>0</v>
      </c>
      <c r="P525" s="5">
        <f t="shared" si="391"/>
        <v>0</v>
      </c>
      <c r="Q525" s="5">
        <f t="shared" ref="Q525:Q588" si="425">SUM(Q524:T524)+SUM(AC524)*(1-Z524)</f>
        <v>0</v>
      </c>
      <c r="R525" s="5">
        <f t="shared" si="417"/>
        <v>0</v>
      </c>
      <c r="S525" s="5">
        <f t="shared" si="392"/>
        <v>0</v>
      </c>
      <c r="T525" s="5">
        <f t="shared" si="393"/>
        <v>0</v>
      </c>
      <c r="U525" s="74">
        <f t="shared" si="394"/>
        <v>0</v>
      </c>
      <c r="V525" s="75">
        <f t="shared" si="395"/>
        <v>0</v>
      </c>
      <c r="W525" s="5">
        <f t="shared" si="396"/>
        <v>0</v>
      </c>
      <c r="X525" s="5">
        <f t="shared" si="397"/>
        <v>275979.84763840254</v>
      </c>
      <c r="Y525" s="5">
        <f t="shared" si="418"/>
        <v>100000</v>
      </c>
      <c r="Z525" s="215">
        <f t="shared" si="398"/>
        <v>1</v>
      </c>
      <c r="AA525" s="216">
        <f t="shared" si="419"/>
        <v>0</v>
      </c>
      <c r="AB525" s="72">
        <f t="shared" ref="AB525:AB588" si="426">-IF(F524=1,AC524*(1-AA524),0)+AB524*(1-AA524)</f>
        <v>75146.698411840829</v>
      </c>
      <c r="AC525" s="72">
        <f t="shared" si="399"/>
        <v>0</v>
      </c>
      <c r="AD525" s="72">
        <f t="shared" si="400"/>
        <v>0</v>
      </c>
      <c r="AE525" s="72">
        <f t="shared" si="420"/>
        <v>-57.469614796182867</v>
      </c>
      <c r="AF525" s="70">
        <f t="shared" si="401"/>
        <v>0</v>
      </c>
      <c r="AG525" s="70">
        <f t="shared" si="402"/>
        <v>20281.389087251649</v>
      </c>
      <c r="AH525" s="1">
        <f t="shared" ref="AH525:AS534" si="427">IF($B525&lt;=AH$74,1,0)</f>
        <v>0</v>
      </c>
      <c r="AI525" s="1">
        <f t="shared" si="427"/>
        <v>0</v>
      </c>
      <c r="AJ525" s="1">
        <f t="shared" si="427"/>
        <v>0</v>
      </c>
      <c r="AK525" s="1">
        <f t="shared" si="427"/>
        <v>0</v>
      </c>
      <c r="AL525" s="1">
        <f t="shared" si="427"/>
        <v>0</v>
      </c>
      <c r="AM525" s="1">
        <f t="shared" si="427"/>
        <v>0</v>
      </c>
      <c r="AN525" s="1">
        <f t="shared" si="427"/>
        <v>0</v>
      </c>
      <c r="AO525" s="1">
        <f t="shared" si="427"/>
        <v>0</v>
      </c>
      <c r="AP525" s="1">
        <f t="shared" si="427"/>
        <v>0</v>
      </c>
      <c r="AQ525" s="1">
        <f t="shared" si="427"/>
        <v>0</v>
      </c>
      <c r="AR525" s="1">
        <f t="shared" si="427"/>
        <v>0</v>
      </c>
      <c r="AS525" s="1">
        <f t="shared" si="427"/>
        <v>1</v>
      </c>
      <c r="AT525" s="39">
        <f t="shared" si="403"/>
        <v>275979.84763840254</v>
      </c>
      <c r="AU525" s="39">
        <f t="shared" si="421"/>
        <v>275979.84763840254</v>
      </c>
      <c r="AV525" s="39">
        <f t="shared" si="378"/>
        <v>0</v>
      </c>
      <c r="AW525" s="3">
        <f t="shared" si="404"/>
        <v>451</v>
      </c>
      <c r="AX525" s="69">
        <f t="shared" si="422"/>
        <v>0</v>
      </c>
      <c r="AY525" s="75">
        <f t="shared" si="405"/>
        <v>0</v>
      </c>
      <c r="AZ525" s="75">
        <f t="shared" si="406"/>
        <v>0</v>
      </c>
      <c r="BA525" s="75">
        <f t="shared" si="407"/>
        <v>0</v>
      </c>
      <c r="BB525" s="75">
        <f t="shared" si="408"/>
        <v>0</v>
      </c>
      <c r="BD525" s="214">
        <f t="shared" si="423"/>
        <v>419314.49295086483</v>
      </c>
      <c r="BE525" s="214">
        <f t="shared" si="409"/>
        <v>2041.0344972195157</v>
      </c>
      <c r="BF525" s="214">
        <f t="shared" si="410"/>
        <v>-693.83609783764803</v>
      </c>
      <c r="BG525" s="224">
        <f t="shared" ref="BG525:BG588" si="428">W525</f>
        <v>0</v>
      </c>
      <c r="BH525" s="19">
        <f t="shared" si="424"/>
        <v>880291.2623024896</v>
      </c>
      <c r="BI525" s="214">
        <f t="shared" si="411"/>
        <v>4284.862231487029</v>
      </c>
      <c r="BJ525" s="214">
        <f t="shared" si="412"/>
        <v>0</v>
      </c>
      <c r="BK525" s="19">
        <f t="shared" ref="BK525:BK588" si="429">W525</f>
        <v>0</v>
      </c>
    </row>
    <row r="526" spans="1:63">
      <c r="A526" s="165">
        <f t="shared" si="413"/>
        <v>99.639459274469544</v>
      </c>
      <c r="B526" s="69">
        <f t="shared" si="414"/>
        <v>38</v>
      </c>
      <c r="C526" s="70">
        <f t="shared" si="415"/>
        <v>452</v>
      </c>
      <c r="D526" s="13">
        <f t="shared" si="384"/>
        <v>4.8675505653430484E-3</v>
      </c>
      <c r="E526" s="15">
        <f t="shared" si="385"/>
        <v>1</v>
      </c>
      <c r="F526" s="15">
        <f t="shared" si="416"/>
        <v>0</v>
      </c>
      <c r="G526" s="15">
        <f t="shared" si="386"/>
        <v>0</v>
      </c>
      <c r="H526" s="73">
        <f t="shared" si="387"/>
        <v>0</v>
      </c>
      <c r="I526" s="189"/>
      <c r="J526" s="189"/>
      <c r="K526" s="5">
        <f t="shared" ref="K526:K589" si="430">SUM(K525:N525)+AD525+AC525*Z525</f>
        <v>275979.84763840254</v>
      </c>
      <c r="M526" s="5">
        <f t="shared" si="388"/>
        <v>1343.3458633955947</v>
      </c>
      <c r="N526" s="5">
        <f t="shared" si="389"/>
        <v>-456.66148865905291</v>
      </c>
      <c r="O526" s="5">
        <f t="shared" si="390"/>
        <v>0</v>
      </c>
      <c r="P526" s="5">
        <f t="shared" si="391"/>
        <v>0</v>
      </c>
      <c r="Q526" s="5">
        <f t="shared" si="425"/>
        <v>0</v>
      </c>
      <c r="R526" s="5">
        <f t="shared" si="417"/>
        <v>0</v>
      </c>
      <c r="S526" s="5">
        <f t="shared" si="392"/>
        <v>0</v>
      </c>
      <c r="T526" s="5">
        <f t="shared" si="393"/>
        <v>0</v>
      </c>
      <c r="U526" s="74">
        <f t="shared" si="394"/>
        <v>0</v>
      </c>
      <c r="V526" s="75">
        <f t="shared" si="395"/>
        <v>0</v>
      </c>
      <c r="W526" s="5">
        <f t="shared" si="396"/>
        <v>0</v>
      </c>
      <c r="X526" s="5">
        <f t="shared" si="397"/>
        <v>276866.53201313911</v>
      </c>
      <c r="Y526" s="5">
        <f t="shared" si="418"/>
        <v>100000</v>
      </c>
      <c r="Z526" s="215">
        <f t="shared" si="398"/>
        <v>1</v>
      </c>
      <c r="AA526" s="216">
        <f t="shared" si="419"/>
        <v>0</v>
      </c>
      <c r="AB526" s="72">
        <f t="shared" si="426"/>
        <v>75146.698411840829</v>
      </c>
      <c r="AC526" s="72">
        <f t="shared" si="399"/>
        <v>0</v>
      </c>
      <c r="AD526" s="72">
        <f t="shared" si="400"/>
        <v>0</v>
      </c>
      <c r="AE526" s="72">
        <f t="shared" si="420"/>
        <v>-57.654256573102288</v>
      </c>
      <c r="AF526" s="70">
        <f t="shared" si="401"/>
        <v>0</v>
      </c>
      <c r="AG526" s="70">
        <f t="shared" si="402"/>
        <v>20618.329149651545</v>
      </c>
      <c r="AH526" s="1">
        <f t="shared" si="427"/>
        <v>0</v>
      </c>
      <c r="AI526" s="1">
        <f t="shared" si="427"/>
        <v>0</v>
      </c>
      <c r="AJ526" s="1">
        <f t="shared" si="427"/>
        <v>0</v>
      </c>
      <c r="AK526" s="1">
        <f t="shared" si="427"/>
        <v>0</v>
      </c>
      <c r="AL526" s="1">
        <f t="shared" si="427"/>
        <v>0</v>
      </c>
      <c r="AM526" s="1">
        <f t="shared" si="427"/>
        <v>0</v>
      </c>
      <c r="AN526" s="1">
        <f t="shared" si="427"/>
        <v>0</v>
      </c>
      <c r="AO526" s="1">
        <f t="shared" si="427"/>
        <v>0</v>
      </c>
      <c r="AP526" s="1">
        <f t="shared" si="427"/>
        <v>0</v>
      </c>
      <c r="AQ526" s="1">
        <f t="shared" si="427"/>
        <v>0</v>
      </c>
      <c r="AR526" s="1">
        <f t="shared" si="427"/>
        <v>0</v>
      </c>
      <c r="AS526" s="1">
        <f t="shared" si="427"/>
        <v>1</v>
      </c>
      <c r="AT526" s="39">
        <f t="shared" si="403"/>
        <v>276866.53201313911</v>
      </c>
      <c r="AU526" s="39">
        <f t="shared" si="421"/>
        <v>276866.53201313911</v>
      </c>
      <c r="AV526" s="39">
        <f t="shared" si="378"/>
        <v>0</v>
      </c>
      <c r="AW526" s="3">
        <f t="shared" si="404"/>
        <v>452</v>
      </c>
      <c r="AX526" s="69">
        <f t="shared" si="422"/>
        <v>0</v>
      </c>
      <c r="AY526" s="75">
        <f t="shared" si="405"/>
        <v>0</v>
      </c>
      <c r="AZ526" s="75">
        <f t="shared" si="406"/>
        <v>0</v>
      </c>
      <c r="BA526" s="75">
        <f t="shared" si="407"/>
        <v>0</v>
      </c>
      <c r="BB526" s="75">
        <f t="shared" si="408"/>
        <v>0</v>
      </c>
      <c r="BD526" s="214">
        <f t="shared" si="423"/>
        <v>420661.69135024666</v>
      </c>
      <c r="BE526" s="214">
        <f t="shared" si="409"/>
        <v>2047.5920535500561</v>
      </c>
      <c r="BF526" s="214">
        <f t="shared" si="410"/>
        <v>-696.06529548321987</v>
      </c>
      <c r="BG526" s="224">
        <f t="shared" si="428"/>
        <v>0</v>
      </c>
      <c r="BH526" s="19">
        <f t="shared" si="424"/>
        <v>884576.12453397666</v>
      </c>
      <c r="BI526" s="214">
        <f t="shared" si="411"/>
        <v>4305.719015064321</v>
      </c>
      <c r="BJ526" s="214">
        <f t="shared" si="412"/>
        <v>0</v>
      </c>
      <c r="BK526" s="19">
        <f t="shared" si="429"/>
        <v>0</v>
      </c>
    </row>
    <row r="527" spans="1:63">
      <c r="A527" s="165">
        <f t="shared" si="413"/>
        <v>99.722792607802873</v>
      </c>
      <c r="B527" s="69">
        <f t="shared" si="414"/>
        <v>38</v>
      </c>
      <c r="C527" s="70">
        <f t="shared" si="415"/>
        <v>453</v>
      </c>
      <c r="D527" s="13">
        <f t="shared" si="384"/>
        <v>4.8675505653430484E-3</v>
      </c>
      <c r="E527" s="15">
        <f t="shared" si="385"/>
        <v>1</v>
      </c>
      <c r="F527" s="15">
        <f t="shared" si="416"/>
        <v>0</v>
      </c>
      <c r="G527" s="15">
        <f t="shared" si="386"/>
        <v>0</v>
      </c>
      <c r="H527" s="73">
        <f t="shared" si="387"/>
        <v>0</v>
      </c>
      <c r="I527" s="189"/>
      <c r="J527" s="189"/>
      <c r="K527" s="5">
        <f t="shared" si="430"/>
        <v>276866.53201313911</v>
      </c>
      <c r="M527" s="5">
        <f t="shared" si="388"/>
        <v>1347.6618444251244</v>
      </c>
      <c r="N527" s="5">
        <f t="shared" si="389"/>
        <v>-458.12867769478441</v>
      </c>
      <c r="O527" s="5">
        <f t="shared" si="390"/>
        <v>0</v>
      </c>
      <c r="P527" s="5">
        <f t="shared" si="391"/>
        <v>0</v>
      </c>
      <c r="Q527" s="5">
        <f t="shared" si="425"/>
        <v>0</v>
      </c>
      <c r="R527" s="5">
        <f t="shared" si="417"/>
        <v>0</v>
      </c>
      <c r="S527" s="5">
        <f t="shared" si="392"/>
        <v>0</v>
      </c>
      <c r="T527" s="5">
        <f t="shared" si="393"/>
        <v>0</v>
      </c>
      <c r="U527" s="74">
        <f t="shared" si="394"/>
        <v>0</v>
      </c>
      <c r="V527" s="75">
        <f t="shared" si="395"/>
        <v>0</v>
      </c>
      <c r="W527" s="5">
        <f t="shared" si="396"/>
        <v>0</v>
      </c>
      <c r="X527" s="5">
        <f t="shared" si="397"/>
        <v>277756.06517986947</v>
      </c>
      <c r="Y527" s="5">
        <f t="shared" si="418"/>
        <v>100000</v>
      </c>
      <c r="Z527" s="215">
        <f t="shared" si="398"/>
        <v>1</v>
      </c>
      <c r="AA527" s="216">
        <f t="shared" si="419"/>
        <v>0</v>
      </c>
      <c r="AB527" s="72">
        <f t="shared" si="426"/>
        <v>75146.698411840829</v>
      </c>
      <c r="AC527" s="72">
        <f t="shared" si="399"/>
        <v>0</v>
      </c>
      <c r="AD527" s="72">
        <f t="shared" si="400"/>
        <v>0</v>
      </c>
      <c r="AE527" s="72">
        <f t="shared" si="420"/>
        <v>-57.839491578041496</v>
      </c>
      <c r="AF527" s="70">
        <f t="shared" si="401"/>
        <v>0</v>
      </c>
      <c r="AG527" s="70">
        <f t="shared" si="402"/>
        <v>20956.35175300909</v>
      </c>
      <c r="AH527" s="1">
        <f t="shared" si="427"/>
        <v>0</v>
      </c>
      <c r="AI527" s="1">
        <f t="shared" si="427"/>
        <v>0</v>
      </c>
      <c r="AJ527" s="1">
        <f t="shared" si="427"/>
        <v>0</v>
      </c>
      <c r="AK527" s="1">
        <f t="shared" si="427"/>
        <v>0</v>
      </c>
      <c r="AL527" s="1">
        <f t="shared" si="427"/>
        <v>0</v>
      </c>
      <c r="AM527" s="1">
        <f t="shared" si="427"/>
        <v>0</v>
      </c>
      <c r="AN527" s="1">
        <f t="shared" si="427"/>
        <v>0</v>
      </c>
      <c r="AO527" s="1">
        <f t="shared" si="427"/>
        <v>0</v>
      </c>
      <c r="AP527" s="1">
        <f t="shared" si="427"/>
        <v>0</v>
      </c>
      <c r="AQ527" s="1">
        <f t="shared" si="427"/>
        <v>0</v>
      </c>
      <c r="AR527" s="1">
        <f t="shared" si="427"/>
        <v>0</v>
      </c>
      <c r="AS527" s="1">
        <f t="shared" si="427"/>
        <v>1</v>
      </c>
      <c r="AT527" s="39">
        <f t="shared" si="403"/>
        <v>277756.06517986947</v>
      </c>
      <c r="AU527" s="39">
        <f t="shared" si="421"/>
        <v>277756.06517986947</v>
      </c>
      <c r="AV527" s="39">
        <f t="shared" si="378"/>
        <v>0</v>
      </c>
      <c r="AW527" s="3">
        <f t="shared" si="404"/>
        <v>453</v>
      </c>
      <c r="AX527" s="69">
        <f t="shared" si="422"/>
        <v>0</v>
      </c>
      <c r="AY527" s="75">
        <f t="shared" si="405"/>
        <v>0</v>
      </c>
      <c r="AZ527" s="75">
        <f t="shared" si="406"/>
        <v>0</v>
      </c>
      <c r="BA527" s="75">
        <f t="shared" si="407"/>
        <v>0</v>
      </c>
      <c r="BB527" s="75">
        <f t="shared" si="408"/>
        <v>0</v>
      </c>
      <c r="BD527" s="214">
        <f t="shared" si="423"/>
        <v>422013.21810831351</v>
      </c>
      <c r="BE527" s="214">
        <f t="shared" si="409"/>
        <v>2054.1706783853606</v>
      </c>
      <c r="BF527" s="214">
        <f t="shared" si="410"/>
        <v>-698.30165522681261</v>
      </c>
      <c r="BG527" s="224">
        <f t="shared" si="428"/>
        <v>0</v>
      </c>
      <c r="BH527" s="19">
        <f t="shared" si="424"/>
        <v>888881.84354904096</v>
      </c>
      <c r="BI527" s="214">
        <f t="shared" si="411"/>
        <v>4326.6773200903053</v>
      </c>
      <c r="BJ527" s="214">
        <f t="shared" si="412"/>
        <v>0</v>
      </c>
      <c r="BK527" s="19">
        <f t="shared" si="429"/>
        <v>0</v>
      </c>
    </row>
    <row r="528" spans="1:63">
      <c r="A528" s="165">
        <f t="shared" si="413"/>
        <v>99.806125941136202</v>
      </c>
      <c r="B528" s="69">
        <f t="shared" si="414"/>
        <v>38</v>
      </c>
      <c r="C528" s="70">
        <f t="shared" si="415"/>
        <v>454</v>
      </c>
      <c r="D528" s="13">
        <f t="shared" si="384"/>
        <v>4.8675505653430484E-3</v>
      </c>
      <c r="E528" s="15">
        <f t="shared" si="385"/>
        <v>1</v>
      </c>
      <c r="F528" s="15">
        <f t="shared" si="416"/>
        <v>0</v>
      </c>
      <c r="G528" s="15">
        <f t="shared" si="386"/>
        <v>0</v>
      </c>
      <c r="H528" s="73">
        <f t="shared" si="387"/>
        <v>0</v>
      </c>
      <c r="I528" s="189"/>
      <c r="J528" s="189"/>
      <c r="K528" s="5">
        <f t="shared" si="430"/>
        <v>277756.06517986947</v>
      </c>
      <c r="M528" s="5">
        <f t="shared" si="388"/>
        <v>1351.9916920937342</v>
      </c>
      <c r="N528" s="5">
        <f t="shared" si="389"/>
        <v>-459.60058060221314</v>
      </c>
      <c r="O528" s="5">
        <f t="shared" si="390"/>
        <v>0</v>
      </c>
      <c r="P528" s="5">
        <f t="shared" si="391"/>
        <v>0</v>
      </c>
      <c r="Q528" s="5">
        <f t="shared" si="425"/>
        <v>0</v>
      </c>
      <c r="R528" s="5">
        <f t="shared" si="417"/>
        <v>0</v>
      </c>
      <c r="S528" s="5">
        <f t="shared" si="392"/>
        <v>0</v>
      </c>
      <c r="T528" s="5">
        <f t="shared" si="393"/>
        <v>0</v>
      </c>
      <c r="U528" s="74">
        <f t="shared" si="394"/>
        <v>0</v>
      </c>
      <c r="V528" s="75">
        <f t="shared" si="395"/>
        <v>0</v>
      </c>
      <c r="W528" s="5">
        <f t="shared" si="396"/>
        <v>0</v>
      </c>
      <c r="X528" s="5">
        <f t="shared" si="397"/>
        <v>278648.45629136101</v>
      </c>
      <c r="Y528" s="5">
        <f t="shared" si="418"/>
        <v>100000</v>
      </c>
      <c r="Z528" s="215">
        <f t="shared" si="398"/>
        <v>1</v>
      </c>
      <c r="AA528" s="216">
        <f t="shared" si="419"/>
        <v>0</v>
      </c>
      <c r="AB528" s="72">
        <f t="shared" si="426"/>
        <v>75146.698411840829</v>
      </c>
      <c r="AC528" s="72">
        <f t="shared" si="399"/>
        <v>0</v>
      </c>
      <c r="AD528" s="72">
        <f t="shared" si="400"/>
        <v>0</v>
      </c>
      <c r="AE528" s="72">
        <f t="shared" si="420"/>
        <v>-58.02532171695858</v>
      </c>
      <c r="AF528" s="70">
        <f t="shared" si="401"/>
        <v>0</v>
      </c>
      <c r="AG528" s="70">
        <f t="shared" si="402"/>
        <v>21295.460375375871</v>
      </c>
      <c r="AH528" s="1">
        <f t="shared" si="427"/>
        <v>0</v>
      </c>
      <c r="AI528" s="1">
        <f t="shared" si="427"/>
        <v>0</v>
      </c>
      <c r="AJ528" s="1">
        <f t="shared" si="427"/>
        <v>0</v>
      </c>
      <c r="AK528" s="1">
        <f t="shared" si="427"/>
        <v>0</v>
      </c>
      <c r="AL528" s="1">
        <f t="shared" si="427"/>
        <v>0</v>
      </c>
      <c r="AM528" s="1">
        <f t="shared" si="427"/>
        <v>0</v>
      </c>
      <c r="AN528" s="1">
        <f t="shared" si="427"/>
        <v>0</v>
      </c>
      <c r="AO528" s="1">
        <f t="shared" si="427"/>
        <v>0</v>
      </c>
      <c r="AP528" s="1">
        <f t="shared" si="427"/>
        <v>0</v>
      </c>
      <c r="AQ528" s="1">
        <f t="shared" si="427"/>
        <v>0</v>
      </c>
      <c r="AR528" s="1">
        <f t="shared" si="427"/>
        <v>0</v>
      </c>
      <c r="AS528" s="1">
        <f t="shared" si="427"/>
        <v>1</v>
      </c>
      <c r="AT528" s="39">
        <f t="shared" si="403"/>
        <v>278648.45629136101</v>
      </c>
      <c r="AU528" s="39">
        <f t="shared" si="421"/>
        <v>278648.45629136101</v>
      </c>
      <c r="AV528" s="39">
        <f t="shared" si="378"/>
        <v>0</v>
      </c>
      <c r="AW528" s="3">
        <f t="shared" si="404"/>
        <v>454</v>
      </c>
      <c r="AX528" s="69">
        <f t="shared" si="422"/>
        <v>0</v>
      </c>
      <c r="AY528" s="75">
        <f t="shared" si="405"/>
        <v>0</v>
      </c>
      <c r="AZ528" s="75">
        <f t="shared" si="406"/>
        <v>0</v>
      </c>
      <c r="BA528" s="75">
        <f t="shared" si="407"/>
        <v>0</v>
      </c>
      <c r="BB528" s="75">
        <f t="shared" si="408"/>
        <v>0</v>
      </c>
      <c r="BD528" s="214">
        <f t="shared" si="423"/>
        <v>423369.08713147207</v>
      </c>
      <c r="BE528" s="214">
        <f t="shared" si="409"/>
        <v>2060.7704394155671</v>
      </c>
      <c r="BF528" s="214">
        <f t="shared" si="410"/>
        <v>-700.54520007923793</v>
      </c>
      <c r="BG528" s="224">
        <f t="shared" si="428"/>
        <v>0</v>
      </c>
      <c r="BH528" s="19">
        <f t="shared" si="424"/>
        <v>893208.52086913132</v>
      </c>
      <c r="BI528" s="214">
        <f t="shared" si="411"/>
        <v>4347.737640725768</v>
      </c>
      <c r="BJ528" s="214">
        <f t="shared" si="412"/>
        <v>0</v>
      </c>
      <c r="BK528" s="19">
        <f t="shared" si="429"/>
        <v>0</v>
      </c>
    </row>
    <row r="529" spans="1:63">
      <c r="A529" s="165">
        <f t="shared" si="413"/>
        <v>99.889459274469544</v>
      </c>
      <c r="B529" s="69">
        <f t="shared" si="414"/>
        <v>38</v>
      </c>
      <c r="C529" s="70">
        <f t="shared" si="415"/>
        <v>455</v>
      </c>
      <c r="D529" s="13">
        <f t="shared" si="384"/>
        <v>4.8675505653430484E-3</v>
      </c>
      <c r="E529" s="15">
        <f t="shared" si="385"/>
        <v>1</v>
      </c>
      <c r="F529" s="15">
        <f t="shared" si="416"/>
        <v>0</v>
      </c>
      <c r="G529" s="15">
        <f t="shared" si="386"/>
        <v>0</v>
      </c>
      <c r="H529" s="73">
        <f t="shared" si="387"/>
        <v>0</v>
      </c>
      <c r="I529" s="189"/>
      <c r="J529" s="189"/>
      <c r="K529" s="5">
        <f t="shared" si="430"/>
        <v>278648.45629136101</v>
      </c>
      <c r="M529" s="5">
        <f t="shared" si="388"/>
        <v>1356.335450952982</v>
      </c>
      <c r="N529" s="5">
        <f t="shared" si="389"/>
        <v>-461.07721252634468</v>
      </c>
      <c r="O529" s="5">
        <f t="shared" si="390"/>
        <v>0</v>
      </c>
      <c r="P529" s="5">
        <f t="shared" si="391"/>
        <v>0</v>
      </c>
      <c r="Q529" s="5">
        <f t="shared" si="425"/>
        <v>0</v>
      </c>
      <c r="R529" s="5">
        <f t="shared" si="417"/>
        <v>0</v>
      </c>
      <c r="S529" s="5">
        <f t="shared" si="392"/>
        <v>0</v>
      </c>
      <c r="T529" s="5">
        <f t="shared" si="393"/>
        <v>0</v>
      </c>
      <c r="U529" s="74">
        <f t="shared" si="394"/>
        <v>0</v>
      </c>
      <c r="V529" s="75">
        <f t="shared" si="395"/>
        <v>0</v>
      </c>
      <c r="W529" s="5">
        <f t="shared" si="396"/>
        <v>0</v>
      </c>
      <c r="X529" s="5">
        <f t="shared" si="397"/>
        <v>279543.71452978766</v>
      </c>
      <c r="Y529" s="5">
        <f t="shared" si="418"/>
        <v>100000</v>
      </c>
      <c r="Z529" s="215">
        <f t="shared" si="398"/>
        <v>1</v>
      </c>
      <c r="AA529" s="216">
        <f t="shared" si="419"/>
        <v>0</v>
      </c>
      <c r="AB529" s="72">
        <f t="shared" si="426"/>
        <v>75146.698411840829</v>
      </c>
      <c r="AC529" s="72">
        <f t="shared" si="399"/>
        <v>0</v>
      </c>
      <c r="AD529" s="72">
        <f t="shared" si="400"/>
        <v>0</v>
      </c>
      <c r="AE529" s="72">
        <f t="shared" si="420"/>
        <v>-58.211748901935138</v>
      </c>
      <c r="AF529" s="70">
        <f t="shared" si="401"/>
        <v>0</v>
      </c>
      <c r="AG529" s="70">
        <f t="shared" si="402"/>
        <v>21635.65850597799</v>
      </c>
      <c r="AH529" s="1">
        <f t="shared" si="427"/>
        <v>0</v>
      </c>
      <c r="AI529" s="1">
        <f t="shared" si="427"/>
        <v>0</v>
      </c>
      <c r="AJ529" s="1">
        <f t="shared" si="427"/>
        <v>0</v>
      </c>
      <c r="AK529" s="1">
        <f t="shared" si="427"/>
        <v>0</v>
      </c>
      <c r="AL529" s="1">
        <f t="shared" si="427"/>
        <v>0</v>
      </c>
      <c r="AM529" s="1">
        <f t="shared" si="427"/>
        <v>0</v>
      </c>
      <c r="AN529" s="1">
        <f t="shared" si="427"/>
        <v>0</v>
      </c>
      <c r="AO529" s="1">
        <f t="shared" si="427"/>
        <v>0</v>
      </c>
      <c r="AP529" s="1">
        <f t="shared" si="427"/>
        <v>0</v>
      </c>
      <c r="AQ529" s="1">
        <f t="shared" si="427"/>
        <v>0</v>
      </c>
      <c r="AR529" s="1">
        <f t="shared" si="427"/>
        <v>0</v>
      </c>
      <c r="AS529" s="1">
        <f t="shared" si="427"/>
        <v>1</v>
      </c>
      <c r="AT529" s="39">
        <f t="shared" si="403"/>
        <v>279543.71452978766</v>
      </c>
      <c r="AU529" s="39">
        <f t="shared" si="421"/>
        <v>279543.71452978766</v>
      </c>
      <c r="AV529" s="39">
        <f t="shared" si="378"/>
        <v>0</v>
      </c>
      <c r="AW529" s="3">
        <f t="shared" si="404"/>
        <v>455</v>
      </c>
      <c r="AX529" s="69">
        <f t="shared" si="422"/>
        <v>0</v>
      </c>
      <c r="AY529" s="75">
        <f t="shared" si="405"/>
        <v>0</v>
      </c>
      <c r="AZ529" s="75">
        <f t="shared" si="406"/>
        <v>0</v>
      </c>
      <c r="BA529" s="75">
        <f t="shared" si="407"/>
        <v>0</v>
      </c>
      <c r="BB529" s="75">
        <f t="shared" si="408"/>
        <v>0</v>
      </c>
      <c r="BD529" s="214">
        <f t="shared" si="423"/>
        <v>424729.31237080845</v>
      </c>
      <c r="BE529" s="214">
        <f t="shared" si="409"/>
        <v>2067.3914045482929</v>
      </c>
      <c r="BF529" s="214">
        <f t="shared" si="410"/>
        <v>-702.79595312523873</v>
      </c>
      <c r="BG529" s="224">
        <f t="shared" si="428"/>
        <v>0</v>
      </c>
      <c r="BH529" s="19">
        <f t="shared" si="424"/>
        <v>897556.25850985711</v>
      </c>
      <c r="BI529" s="214">
        <f t="shared" si="411"/>
        <v>4368.9004735368462</v>
      </c>
      <c r="BJ529" s="214">
        <f t="shared" si="412"/>
        <v>0</v>
      </c>
      <c r="BK529" s="19">
        <f t="shared" si="429"/>
        <v>0</v>
      </c>
    </row>
    <row r="530" spans="1:63">
      <c r="A530" s="165">
        <f t="shared" si="413"/>
        <v>99.972792607802873</v>
      </c>
      <c r="B530" s="69">
        <f t="shared" si="414"/>
        <v>38</v>
      </c>
      <c r="C530" s="70">
        <f t="shared" si="415"/>
        <v>456</v>
      </c>
      <c r="D530" s="13">
        <f t="shared" si="384"/>
        <v>4.8675505653430484E-3</v>
      </c>
      <c r="E530" s="15">
        <f t="shared" si="385"/>
        <v>1</v>
      </c>
      <c r="F530" s="15">
        <f t="shared" si="416"/>
        <v>0</v>
      </c>
      <c r="G530" s="15">
        <f t="shared" si="386"/>
        <v>0</v>
      </c>
      <c r="H530" s="73">
        <f t="shared" si="387"/>
        <v>0</v>
      </c>
      <c r="I530" s="189"/>
      <c r="J530" s="189"/>
      <c r="K530" s="5">
        <f t="shared" si="430"/>
        <v>279543.71452978766</v>
      </c>
      <c r="M530" s="5">
        <f t="shared" si="388"/>
        <v>1360.6931656975637</v>
      </c>
      <c r="N530" s="5">
        <f t="shared" si="389"/>
        <v>-462.55858866084361</v>
      </c>
      <c r="O530" s="5">
        <f t="shared" si="390"/>
        <v>0</v>
      </c>
      <c r="P530" s="5">
        <f t="shared" si="391"/>
        <v>0</v>
      </c>
      <c r="Q530" s="5">
        <f t="shared" si="425"/>
        <v>0</v>
      </c>
      <c r="R530" s="5">
        <f t="shared" si="417"/>
        <v>0</v>
      </c>
      <c r="S530" s="5">
        <f t="shared" si="392"/>
        <v>0</v>
      </c>
      <c r="T530" s="5">
        <f t="shared" si="393"/>
        <v>0</v>
      </c>
      <c r="U530" s="74">
        <f t="shared" si="394"/>
        <v>0</v>
      </c>
      <c r="V530" s="75">
        <f t="shared" si="395"/>
        <v>0</v>
      </c>
      <c r="W530" s="5">
        <f t="shared" si="396"/>
        <v>0</v>
      </c>
      <c r="X530" s="5">
        <f t="shared" si="397"/>
        <v>280441.84910682437</v>
      </c>
      <c r="Y530" s="5">
        <f t="shared" si="418"/>
        <v>100000</v>
      </c>
      <c r="Z530" s="215">
        <f t="shared" si="398"/>
        <v>1</v>
      </c>
      <c r="AA530" s="216">
        <f t="shared" si="419"/>
        <v>0</v>
      </c>
      <c r="AB530" s="72">
        <f t="shared" si="426"/>
        <v>75146.698411840829</v>
      </c>
      <c r="AC530" s="72">
        <f t="shared" si="399"/>
        <v>0</v>
      </c>
      <c r="AD530" s="72">
        <f t="shared" si="400"/>
        <v>0</v>
      </c>
      <c r="AE530" s="72">
        <f t="shared" si="420"/>
        <v>-58.39877505119609</v>
      </c>
      <c r="AF530" s="70">
        <f t="shared" si="401"/>
        <v>0</v>
      </c>
      <c r="AG530" s="70">
        <f t="shared" si="402"/>
        <v>21976.949645251952</v>
      </c>
      <c r="AH530" s="1">
        <f t="shared" si="427"/>
        <v>0</v>
      </c>
      <c r="AI530" s="1">
        <f t="shared" si="427"/>
        <v>0</v>
      </c>
      <c r="AJ530" s="1">
        <f t="shared" si="427"/>
        <v>0</v>
      </c>
      <c r="AK530" s="1">
        <f t="shared" si="427"/>
        <v>0</v>
      </c>
      <c r="AL530" s="1">
        <f t="shared" si="427"/>
        <v>0</v>
      </c>
      <c r="AM530" s="1">
        <f t="shared" si="427"/>
        <v>0</v>
      </c>
      <c r="AN530" s="1">
        <f t="shared" si="427"/>
        <v>0</v>
      </c>
      <c r="AO530" s="1">
        <f t="shared" si="427"/>
        <v>0</v>
      </c>
      <c r="AP530" s="1">
        <f t="shared" si="427"/>
        <v>0</v>
      </c>
      <c r="AQ530" s="1">
        <f t="shared" si="427"/>
        <v>0</v>
      </c>
      <c r="AR530" s="1">
        <f t="shared" si="427"/>
        <v>0</v>
      </c>
      <c r="AS530" s="1">
        <f t="shared" si="427"/>
        <v>1</v>
      </c>
      <c r="AT530" s="39">
        <f t="shared" si="403"/>
        <v>280441.84910682437</v>
      </c>
      <c r="AU530" s="39">
        <f t="shared" si="421"/>
        <v>280441.84910682437</v>
      </c>
      <c r="AV530" s="39">
        <f t="shared" si="378"/>
        <v>0</v>
      </c>
      <c r="AW530" s="3">
        <f t="shared" si="404"/>
        <v>456</v>
      </c>
      <c r="AX530" s="69">
        <f t="shared" si="422"/>
        <v>0</v>
      </c>
      <c r="AY530" s="75">
        <f t="shared" si="405"/>
        <v>0</v>
      </c>
      <c r="AZ530" s="75">
        <f t="shared" si="406"/>
        <v>0</v>
      </c>
      <c r="BA530" s="75">
        <f t="shared" si="407"/>
        <v>0</v>
      </c>
      <c r="BB530" s="75">
        <f t="shared" si="408"/>
        <v>0</v>
      </c>
      <c r="BD530" s="214">
        <f t="shared" si="423"/>
        <v>426093.90782223153</v>
      </c>
      <c r="BE530" s="214">
        <f t="shared" si="409"/>
        <v>2074.0336419093319</v>
      </c>
      <c r="BF530" s="214">
        <f t="shared" si="410"/>
        <v>-705.05393752372538</v>
      </c>
      <c r="BG530" s="224">
        <f t="shared" si="428"/>
        <v>0</v>
      </c>
      <c r="BH530" s="19">
        <f t="shared" si="424"/>
        <v>901925.15898339392</v>
      </c>
      <c r="BI530" s="214">
        <f t="shared" si="411"/>
        <v>4390.1663175067379</v>
      </c>
      <c r="BJ530" s="214">
        <f t="shared" si="412"/>
        <v>0</v>
      </c>
      <c r="BK530" s="19">
        <f t="shared" si="429"/>
        <v>0</v>
      </c>
    </row>
    <row r="531" spans="1:63">
      <c r="A531" s="165">
        <f t="shared" si="413"/>
        <v>100.0561259411362</v>
      </c>
      <c r="B531" s="69">
        <f t="shared" si="414"/>
        <v>39</v>
      </c>
      <c r="C531" s="70">
        <f t="shared" si="415"/>
        <v>457</v>
      </c>
      <c r="D531" s="13">
        <f t="shared" si="384"/>
        <v>4.8675505653430484E-3</v>
      </c>
      <c r="E531" s="15">
        <f t="shared" si="385"/>
        <v>1</v>
      </c>
      <c r="F531" s="15">
        <f t="shared" si="416"/>
        <v>0</v>
      </c>
      <c r="G531" s="15">
        <f t="shared" si="386"/>
        <v>0</v>
      </c>
      <c r="H531" s="73">
        <f t="shared" si="387"/>
        <v>0</v>
      </c>
      <c r="I531" s="189"/>
      <c r="J531" s="189"/>
      <c r="K531" s="5">
        <f t="shared" si="430"/>
        <v>280441.84910682437</v>
      </c>
      <c r="M531" s="5">
        <f t="shared" si="388"/>
        <v>1365.0648811657729</v>
      </c>
      <c r="N531" s="5">
        <f t="shared" si="389"/>
        <v>-464.04472424818965</v>
      </c>
      <c r="O531" s="5">
        <f t="shared" si="390"/>
        <v>0</v>
      </c>
      <c r="P531" s="5">
        <f t="shared" si="391"/>
        <v>0</v>
      </c>
      <c r="Q531" s="5">
        <f t="shared" si="425"/>
        <v>0</v>
      </c>
      <c r="R531" s="5">
        <f t="shared" si="417"/>
        <v>0</v>
      </c>
      <c r="S531" s="5">
        <f t="shared" si="392"/>
        <v>0</v>
      </c>
      <c r="T531" s="5">
        <f t="shared" si="393"/>
        <v>0</v>
      </c>
      <c r="U531" s="74">
        <f t="shared" si="394"/>
        <v>0</v>
      </c>
      <c r="V531" s="75">
        <f t="shared" si="395"/>
        <v>0</v>
      </c>
      <c r="W531" s="5">
        <f t="shared" si="396"/>
        <v>0</v>
      </c>
      <c r="X531" s="5">
        <f t="shared" si="397"/>
        <v>281342.86926374194</v>
      </c>
      <c r="Y531" s="5">
        <f t="shared" si="418"/>
        <v>100000</v>
      </c>
      <c r="Z531" s="215">
        <f t="shared" si="398"/>
        <v>1</v>
      </c>
      <c r="AA531" s="216">
        <f t="shared" si="419"/>
        <v>0</v>
      </c>
      <c r="AB531" s="72">
        <f t="shared" si="426"/>
        <v>75146.698411840829</v>
      </c>
      <c r="AC531" s="72">
        <f t="shared" si="399"/>
        <v>0</v>
      </c>
      <c r="AD531" s="72">
        <f t="shared" si="400"/>
        <v>0</v>
      </c>
      <c r="AE531" s="72">
        <f t="shared" si="420"/>
        <v>-58.58640208912928</v>
      </c>
      <c r="AF531" s="70">
        <f t="shared" si="401"/>
        <v>0</v>
      </c>
      <c r="AG531" s="70">
        <f t="shared" si="402"/>
        <v>22319.337304880624</v>
      </c>
      <c r="AH531" s="1">
        <f t="shared" si="427"/>
        <v>0</v>
      </c>
      <c r="AI531" s="1">
        <f t="shared" si="427"/>
        <v>0</v>
      </c>
      <c r="AJ531" s="1">
        <f t="shared" si="427"/>
        <v>0</v>
      </c>
      <c r="AK531" s="1">
        <f t="shared" si="427"/>
        <v>0</v>
      </c>
      <c r="AL531" s="1">
        <f t="shared" si="427"/>
        <v>0</v>
      </c>
      <c r="AM531" s="1">
        <f t="shared" si="427"/>
        <v>0</v>
      </c>
      <c r="AN531" s="1">
        <f t="shared" si="427"/>
        <v>0</v>
      </c>
      <c r="AO531" s="1">
        <f t="shared" si="427"/>
        <v>0</v>
      </c>
      <c r="AP531" s="1">
        <f t="shared" si="427"/>
        <v>0</v>
      </c>
      <c r="AQ531" s="1">
        <f t="shared" si="427"/>
        <v>0</v>
      </c>
      <c r="AR531" s="1">
        <f t="shared" si="427"/>
        <v>0</v>
      </c>
      <c r="AS531" s="1">
        <f t="shared" si="427"/>
        <v>1</v>
      </c>
      <c r="AT531" s="39">
        <f t="shared" si="403"/>
        <v>281342.86926374194</v>
      </c>
      <c r="AU531" s="39">
        <f t="shared" si="421"/>
        <v>281342.86926374194</v>
      </c>
      <c r="AV531" s="39">
        <f t="shared" si="378"/>
        <v>0</v>
      </c>
      <c r="AW531" s="3">
        <f t="shared" si="404"/>
        <v>457</v>
      </c>
      <c r="AX531" s="69">
        <f t="shared" si="422"/>
        <v>0</v>
      </c>
      <c r="AY531" s="75">
        <f t="shared" si="405"/>
        <v>0</v>
      </c>
      <c r="AZ531" s="75">
        <f t="shared" si="406"/>
        <v>0</v>
      </c>
      <c r="BA531" s="75">
        <f t="shared" si="407"/>
        <v>0</v>
      </c>
      <c r="BB531" s="75">
        <f t="shared" si="408"/>
        <v>0</v>
      </c>
      <c r="BD531" s="214">
        <f t="shared" si="423"/>
        <v>427462.88752661709</v>
      </c>
      <c r="BE531" s="214">
        <f t="shared" si="409"/>
        <v>2080.6972198433568</v>
      </c>
      <c r="BF531" s="214">
        <f t="shared" si="410"/>
        <v>-707.31917650801472</v>
      </c>
      <c r="BG531" s="224">
        <f t="shared" si="428"/>
        <v>0</v>
      </c>
      <c r="BH531" s="19">
        <f t="shared" si="424"/>
        <v>906315.32530090061</v>
      </c>
      <c r="BI531" s="214">
        <f t="shared" si="411"/>
        <v>4411.5356740474672</v>
      </c>
      <c r="BJ531" s="214">
        <f t="shared" si="412"/>
        <v>0</v>
      </c>
      <c r="BK531" s="19">
        <f t="shared" si="429"/>
        <v>0</v>
      </c>
    </row>
    <row r="532" spans="1:63">
      <c r="A532" s="165">
        <f t="shared" si="413"/>
        <v>100.13945927446954</v>
      </c>
      <c r="B532" s="69">
        <f t="shared" si="414"/>
        <v>39</v>
      </c>
      <c r="C532" s="70">
        <f t="shared" si="415"/>
        <v>458</v>
      </c>
      <c r="D532" s="13">
        <f t="shared" si="384"/>
        <v>4.8675505653430484E-3</v>
      </c>
      <c r="E532" s="15">
        <f t="shared" si="385"/>
        <v>1</v>
      </c>
      <c r="F532" s="15">
        <f t="shared" si="416"/>
        <v>0</v>
      </c>
      <c r="G532" s="15">
        <f t="shared" si="386"/>
        <v>0</v>
      </c>
      <c r="H532" s="73">
        <f t="shared" si="387"/>
        <v>0</v>
      </c>
      <c r="I532" s="189"/>
      <c r="J532" s="189"/>
      <c r="K532" s="5">
        <f t="shared" si="430"/>
        <v>281342.86926374194</v>
      </c>
      <c r="M532" s="5">
        <f t="shared" si="388"/>
        <v>1369.4506423399625</v>
      </c>
      <c r="N532" s="5">
        <f t="shared" si="389"/>
        <v>-465.53563457983427</v>
      </c>
      <c r="O532" s="5">
        <f t="shared" si="390"/>
        <v>0</v>
      </c>
      <c r="P532" s="5">
        <f t="shared" si="391"/>
        <v>0</v>
      </c>
      <c r="Q532" s="5">
        <f t="shared" si="425"/>
        <v>0</v>
      </c>
      <c r="R532" s="5">
        <f t="shared" si="417"/>
        <v>0</v>
      </c>
      <c r="S532" s="5">
        <f t="shared" si="392"/>
        <v>0</v>
      </c>
      <c r="T532" s="5">
        <f t="shared" si="393"/>
        <v>0</v>
      </c>
      <c r="U532" s="74">
        <f t="shared" si="394"/>
        <v>0</v>
      </c>
      <c r="V532" s="75">
        <f t="shared" si="395"/>
        <v>0</v>
      </c>
      <c r="W532" s="5">
        <f t="shared" si="396"/>
        <v>0</v>
      </c>
      <c r="X532" s="5">
        <f t="shared" si="397"/>
        <v>282246.78427150205</v>
      </c>
      <c r="Y532" s="5">
        <f t="shared" si="418"/>
        <v>100000</v>
      </c>
      <c r="Z532" s="215">
        <f t="shared" si="398"/>
        <v>1</v>
      </c>
      <c r="AA532" s="216">
        <f t="shared" si="419"/>
        <v>0</v>
      </c>
      <c r="AB532" s="72">
        <f t="shared" si="426"/>
        <v>75146.698411840829</v>
      </c>
      <c r="AC532" s="72">
        <f t="shared" si="399"/>
        <v>0</v>
      </c>
      <c r="AD532" s="72">
        <f t="shared" si="400"/>
        <v>0</v>
      </c>
      <c r="AE532" s="72">
        <f t="shared" si="420"/>
        <v>-58.774631946305405</v>
      </c>
      <c r="AF532" s="70">
        <f t="shared" si="401"/>
        <v>0</v>
      </c>
      <c r="AG532" s="70">
        <f t="shared" si="402"/>
        <v>22662.825007829466</v>
      </c>
      <c r="AH532" s="1">
        <f t="shared" si="427"/>
        <v>0</v>
      </c>
      <c r="AI532" s="1">
        <f t="shared" si="427"/>
        <v>0</v>
      </c>
      <c r="AJ532" s="1">
        <f t="shared" si="427"/>
        <v>0</v>
      </c>
      <c r="AK532" s="1">
        <f t="shared" si="427"/>
        <v>0</v>
      </c>
      <c r="AL532" s="1">
        <f t="shared" si="427"/>
        <v>0</v>
      </c>
      <c r="AM532" s="1">
        <f t="shared" si="427"/>
        <v>0</v>
      </c>
      <c r="AN532" s="1">
        <f t="shared" si="427"/>
        <v>0</v>
      </c>
      <c r="AO532" s="1">
        <f t="shared" si="427"/>
        <v>0</v>
      </c>
      <c r="AP532" s="1">
        <f t="shared" si="427"/>
        <v>0</v>
      </c>
      <c r="AQ532" s="1">
        <f t="shared" si="427"/>
        <v>0</v>
      </c>
      <c r="AR532" s="1">
        <f t="shared" si="427"/>
        <v>0</v>
      </c>
      <c r="AS532" s="1">
        <f t="shared" si="427"/>
        <v>1</v>
      </c>
      <c r="AT532" s="39">
        <f t="shared" si="403"/>
        <v>282246.78427150205</v>
      </c>
      <c r="AU532" s="39">
        <f t="shared" si="421"/>
        <v>282246.78427150205</v>
      </c>
      <c r="AV532" s="39">
        <f t="shared" si="378"/>
        <v>0</v>
      </c>
      <c r="AW532" s="3">
        <f t="shared" si="404"/>
        <v>458</v>
      </c>
      <c r="AX532" s="69">
        <f t="shared" si="422"/>
        <v>0</v>
      </c>
      <c r="AY532" s="75">
        <f t="shared" si="405"/>
        <v>0</v>
      </c>
      <c r="AZ532" s="75">
        <f t="shared" si="406"/>
        <v>0</v>
      </c>
      <c r="BA532" s="75">
        <f t="shared" si="407"/>
        <v>0</v>
      </c>
      <c r="BB532" s="75">
        <f t="shared" si="408"/>
        <v>0</v>
      </c>
      <c r="BD532" s="214">
        <f t="shared" si="423"/>
        <v>428836.26556995243</v>
      </c>
      <c r="BE532" s="214">
        <f t="shared" si="409"/>
        <v>2087.3822069146236</v>
      </c>
      <c r="BF532" s="214">
        <f t="shared" si="410"/>
        <v>-709.59169338606921</v>
      </c>
      <c r="BG532" s="224">
        <f t="shared" si="428"/>
        <v>0</v>
      </c>
      <c r="BH532" s="19">
        <f t="shared" si="424"/>
        <v>910726.86097494804</v>
      </c>
      <c r="BI532" s="214">
        <f t="shared" si="411"/>
        <v>4433.0090470117084</v>
      </c>
      <c r="BJ532" s="214">
        <f t="shared" si="412"/>
        <v>0</v>
      </c>
      <c r="BK532" s="19">
        <f t="shared" si="429"/>
        <v>0</v>
      </c>
    </row>
    <row r="533" spans="1:63">
      <c r="A533" s="165">
        <f t="shared" si="413"/>
        <v>100.22279260780287</v>
      </c>
      <c r="B533" s="69">
        <f t="shared" si="414"/>
        <v>39</v>
      </c>
      <c r="C533" s="70">
        <f t="shared" si="415"/>
        <v>459</v>
      </c>
      <c r="D533" s="13">
        <f t="shared" si="384"/>
        <v>4.8675505653430484E-3</v>
      </c>
      <c r="E533" s="15">
        <f t="shared" si="385"/>
        <v>1</v>
      </c>
      <c r="F533" s="15">
        <f t="shared" si="416"/>
        <v>0</v>
      </c>
      <c r="G533" s="15">
        <f t="shared" si="386"/>
        <v>0</v>
      </c>
      <c r="H533" s="73">
        <f t="shared" si="387"/>
        <v>0</v>
      </c>
      <c r="I533" s="189"/>
      <c r="J533" s="189"/>
      <c r="K533" s="5">
        <f t="shared" si="430"/>
        <v>282246.78427150205</v>
      </c>
      <c r="M533" s="5">
        <f t="shared" si="388"/>
        <v>1373.8504943470073</v>
      </c>
      <c r="N533" s="5">
        <f t="shared" si="389"/>
        <v>-467.03133499635828</v>
      </c>
      <c r="O533" s="5">
        <f t="shared" si="390"/>
        <v>0</v>
      </c>
      <c r="P533" s="5">
        <f t="shared" si="391"/>
        <v>0</v>
      </c>
      <c r="Q533" s="5">
        <f t="shared" si="425"/>
        <v>0</v>
      </c>
      <c r="R533" s="5">
        <f t="shared" si="417"/>
        <v>0</v>
      </c>
      <c r="S533" s="5">
        <f t="shared" si="392"/>
        <v>0</v>
      </c>
      <c r="T533" s="5">
        <f t="shared" si="393"/>
        <v>0</v>
      </c>
      <c r="U533" s="74">
        <f t="shared" si="394"/>
        <v>0</v>
      </c>
      <c r="V533" s="75">
        <f t="shared" si="395"/>
        <v>0</v>
      </c>
      <c r="W533" s="5">
        <f t="shared" si="396"/>
        <v>0</v>
      </c>
      <c r="X533" s="5">
        <f t="shared" si="397"/>
        <v>283153.6034308527</v>
      </c>
      <c r="Y533" s="5">
        <f t="shared" si="418"/>
        <v>100000</v>
      </c>
      <c r="Z533" s="215">
        <f t="shared" si="398"/>
        <v>1</v>
      </c>
      <c r="AA533" s="216">
        <f t="shared" si="419"/>
        <v>0</v>
      </c>
      <c r="AB533" s="72">
        <f t="shared" si="426"/>
        <v>75146.698411840829</v>
      </c>
      <c r="AC533" s="72">
        <f t="shared" si="399"/>
        <v>0</v>
      </c>
      <c r="AD533" s="72">
        <f t="shared" si="400"/>
        <v>0</v>
      </c>
      <c r="AE533" s="72">
        <f t="shared" si="420"/>
        <v>-58.963466559497753</v>
      </c>
      <c r="AF533" s="70">
        <f t="shared" si="401"/>
        <v>0</v>
      </c>
      <c r="AG533" s="70">
        <f t="shared" si="402"/>
        <v>23007.416288382708</v>
      </c>
      <c r="AH533" s="1">
        <f t="shared" si="427"/>
        <v>0</v>
      </c>
      <c r="AI533" s="1">
        <f t="shared" si="427"/>
        <v>0</v>
      </c>
      <c r="AJ533" s="1">
        <f t="shared" si="427"/>
        <v>0</v>
      </c>
      <c r="AK533" s="1">
        <f t="shared" si="427"/>
        <v>0</v>
      </c>
      <c r="AL533" s="1">
        <f t="shared" si="427"/>
        <v>0</v>
      </c>
      <c r="AM533" s="1">
        <f t="shared" si="427"/>
        <v>0</v>
      </c>
      <c r="AN533" s="1">
        <f t="shared" si="427"/>
        <v>0</v>
      </c>
      <c r="AO533" s="1">
        <f t="shared" si="427"/>
        <v>0</v>
      </c>
      <c r="AP533" s="1">
        <f t="shared" si="427"/>
        <v>0</v>
      </c>
      <c r="AQ533" s="1">
        <f t="shared" si="427"/>
        <v>0</v>
      </c>
      <c r="AR533" s="1">
        <f t="shared" si="427"/>
        <v>0</v>
      </c>
      <c r="AS533" s="1">
        <f t="shared" si="427"/>
        <v>1</v>
      </c>
      <c r="AT533" s="39">
        <f t="shared" si="403"/>
        <v>283153.6034308527</v>
      </c>
      <c r="AU533" s="39">
        <f t="shared" si="421"/>
        <v>283153.6034308527</v>
      </c>
      <c r="AV533" s="39">
        <f t="shared" si="378"/>
        <v>0</v>
      </c>
      <c r="AW533" s="3">
        <f t="shared" si="404"/>
        <v>459</v>
      </c>
      <c r="AX533" s="69">
        <f t="shared" si="422"/>
        <v>0</v>
      </c>
      <c r="AY533" s="75">
        <f t="shared" si="405"/>
        <v>0</v>
      </c>
      <c r="AZ533" s="75">
        <f t="shared" si="406"/>
        <v>0</v>
      </c>
      <c r="BA533" s="75">
        <f t="shared" si="407"/>
        <v>0</v>
      </c>
      <c r="BB533" s="75">
        <f t="shared" si="408"/>
        <v>0</v>
      </c>
      <c r="BD533" s="214">
        <f t="shared" si="423"/>
        <v>430214.05608348094</v>
      </c>
      <c r="BE533" s="214">
        <f t="shared" si="409"/>
        <v>2094.0886719076734</v>
      </c>
      <c r="BF533" s="214">
        <f t="shared" si="410"/>
        <v>-711.87151154073615</v>
      </c>
      <c r="BG533" s="224">
        <f t="shared" si="428"/>
        <v>0</v>
      </c>
      <c r="BH533" s="19">
        <f t="shared" si="424"/>
        <v>915159.87002195977</v>
      </c>
      <c r="BI533" s="214">
        <f t="shared" si="411"/>
        <v>4454.5869427046609</v>
      </c>
      <c r="BJ533" s="214">
        <f t="shared" si="412"/>
        <v>0</v>
      </c>
      <c r="BK533" s="19">
        <f t="shared" si="429"/>
        <v>0</v>
      </c>
    </row>
    <row r="534" spans="1:63">
      <c r="A534" s="165">
        <f t="shared" si="413"/>
        <v>100.3061259411362</v>
      </c>
      <c r="B534" s="69">
        <f t="shared" si="414"/>
        <v>39</v>
      </c>
      <c r="C534" s="70">
        <f t="shared" si="415"/>
        <v>460</v>
      </c>
      <c r="D534" s="13">
        <f t="shared" si="384"/>
        <v>4.8675505653430484E-3</v>
      </c>
      <c r="E534" s="15">
        <f t="shared" si="385"/>
        <v>1</v>
      </c>
      <c r="F534" s="15">
        <f t="shared" si="416"/>
        <v>0</v>
      </c>
      <c r="G534" s="15">
        <f t="shared" si="386"/>
        <v>0</v>
      </c>
      <c r="H534" s="73">
        <f t="shared" si="387"/>
        <v>0</v>
      </c>
      <c r="I534" s="189"/>
      <c r="J534" s="189"/>
      <c r="K534" s="5">
        <f t="shared" si="430"/>
        <v>283153.6034308527</v>
      </c>
      <c r="M534" s="5">
        <f t="shared" si="388"/>
        <v>1378.2644824587685</v>
      </c>
      <c r="N534" s="5">
        <f t="shared" si="389"/>
        <v>-468.5318408876297</v>
      </c>
      <c r="O534" s="5">
        <f t="shared" si="390"/>
        <v>0</v>
      </c>
      <c r="P534" s="5">
        <f t="shared" si="391"/>
        <v>0</v>
      </c>
      <c r="Q534" s="5">
        <f t="shared" si="425"/>
        <v>0</v>
      </c>
      <c r="R534" s="5">
        <f t="shared" si="417"/>
        <v>0</v>
      </c>
      <c r="S534" s="5">
        <f t="shared" si="392"/>
        <v>0</v>
      </c>
      <c r="T534" s="5">
        <f t="shared" si="393"/>
        <v>0</v>
      </c>
      <c r="U534" s="74">
        <f t="shared" si="394"/>
        <v>0</v>
      </c>
      <c r="V534" s="75">
        <f t="shared" si="395"/>
        <v>0</v>
      </c>
      <c r="W534" s="5">
        <f t="shared" si="396"/>
        <v>0</v>
      </c>
      <c r="X534" s="5">
        <f t="shared" si="397"/>
        <v>284063.33607242384</v>
      </c>
      <c r="Y534" s="5">
        <f t="shared" si="418"/>
        <v>100000</v>
      </c>
      <c r="Z534" s="215">
        <f t="shared" si="398"/>
        <v>1</v>
      </c>
      <c r="AA534" s="216">
        <f t="shared" si="419"/>
        <v>0</v>
      </c>
      <c r="AB534" s="72">
        <f t="shared" si="426"/>
        <v>75146.698411840829</v>
      </c>
      <c r="AC534" s="72">
        <f t="shared" si="399"/>
        <v>0</v>
      </c>
      <c r="AD534" s="72">
        <f t="shared" si="400"/>
        <v>0</v>
      </c>
      <c r="AE534" s="72">
        <f t="shared" si="420"/>
        <v>-59.152907871702219</v>
      </c>
      <c r="AF534" s="70">
        <f t="shared" si="401"/>
        <v>0</v>
      </c>
      <c r="AG534" s="70">
        <f t="shared" si="402"/>
        <v>23353.114692179748</v>
      </c>
      <c r="AH534" s="1">
        <f t="shared" si="427"/>
        <v>0</v>
      </c>
      <c r="AI534" s="1">
        <f t="shared" si="427"/>
        <v>0</v>
      </c>
      <c r="AJ534" s="1">
        <f t="shared" si="427"/>
        <v>0</v>
      </c>
      <c r="AK534" s="1">
        <f t="shared" si="427"/>
        <v>0</v>
      </c>
      <c r="AL534" s="1">
        <f t="shared" si="427"/>
        <v>0</v>
      </c>
      <c r="AM534" s="1">
        <f t="shared" si="427"/>
        <v>0</v>
      </c>
      <c r="AN534" s="1">
        <f t="shared" si="427"/>
        <v>0</v>
      </c>
      <c r="AO534" s="1">
        <f t="shared" si="427"/>
        <v>0</v>
      </c>
      <c r="AP534" s="1">
        <f t="shared" si="427"/>
        <v>0</v>
      </c>
      <c r="AQ534" s="1">
        <f t="shared" si="427"/>
        <v>0</v>
      </c>
      <c r="AR534" s="1">
        <f t="shared" si="427"/>
        <v>0</v>
      </c>
      <c r="AS534" s="1">
        <f t="shared" si="427"/>
        <v>1</v>
      </c>
      <c r="AT534" s="39">
        <f t="shared" si="403"/>
        <v>284063.33607242384</v>
      </c>
      <c r="AU534" s="39">
        <f t="shared" si="421"/>
        <v>284063.33607242384</v>
      </c>
      <c r="AV534" s="39">
        <f t="shared" si="378"/>
        <v>0</v>
      </c>
      <c r="AW534" s="3">
        <f t="shared" si="404"/>
        <v>460</v>
      </c>
      <c r="AX534" s="69">
        <f t="shared" si="422"/>
        <v>0</v>
      </c>
      <c r="AY534" s="75">
        <f t="shared" si="405"/>
        <v>0</v>
      </c>
      <c r="AZ534" s="75">
        <f t="shared" si="406"/>
        <v>0</v>
      </c>
      <c r="BA534" s="75">
        <f t="shared" si="407"/>
        <v>0</v>
      </c>
      <c r="BB534" s="75">
        <f t="shared" si="408"/>
        <v>0</v>
      </c>
      <c r="BD534" s="214">
        <f t="shared" si="423"/>
        <v>431596.27324384789</v>
      </c>
      <c r="BE534" s="214">
        <f t="shared" si="409"/>
        <v>2100.8166838280445</v>
      </c>
      <c r="BF534" s="214">
        <f t="shared" si="410"/>
        <v>-714.15865442998893</v>
      </c>
      <c r="BG534" s="224">
        <f t="shared" si="428"/>
        <v>0</v>
      </c>
      <c r="BH534" s="19">
        <f t="shared" si="424"/>
        <v>919614.45696466439</v>
      </c>
      <c r="BI534" s="214">
        <f t="shared" si="411"/>
        <v>4476.269869895993</v>
      </c>
      <c r="BJ534" s="214">
        <f t="shared" si="412"/>
        <v>0</v>
      </c>
      <c r="BK534" s="19">
        <f t="shared" si="429"/>
        <v>0</v>
      </c>
    </row>
    <row r="535" spans="1:63">
      <c r="A535" s="165">
        <f t="shared" si="413"/>
        <v>100.38945927446954</v>
      </c>
      <c r="B535" s="69">
        <f t="shared" si="414"/>
        <v>39</v>
      </c>
      <c r="C535" s="70">
        <f t="shared" si="415"/>
        <v>461</v>
      </c>
      <c r="D535" s="13">
        <f t="shared" si="384"/>
        <v>4.8675505653430484E-3</v>
      </c>
      <c r="E535" s="15">
        <f t="shared" si="385"/>
        <v>1</v>
      </c>
      <c r="F535" s="15">
        <f t="shared" si="416"/>
        <v>0</v>
      </c>
      <c r="G535" s="15">
        <f t="shared" si="386"/>
        <v>0</v>
      </c>
      <c r="H535" s="73">
        <f t="shared" si="387"/>
        <v>0</v>
      </c>
      <c r="I535" s="189"/>
      <c r="J535" s="189"/>
      <c r="K535" s="5">
        <f t="shared" si="430"/>
        <v>284063.33607242384</v>
      </c>
      <c r="M535" s="5">
        <f t="shared" si="388"/>
        <v>1382.692652092559</v>
      </c>
      <c r="N535" s="5">
        <f t="shared" si="389"/>
        <v>-470.03716769296199</v>
      </c>
      <c r="O535" s="5">
        <f t="shared" si="390"/>
        <v>0</v>
      </c>
      <c r="P535" s="5">
        <f t="shared" si="391"/>
        <v>0</v>
      </c>
      <c r="Q535" s="5">
        <f t="shared" si="425"/>
        <v>0</v>
      </c>
      <c r="R535" s="5">
        <f t="shared" si="417"/>
        <v>0</v>
      </c>
      <c r="S535" s="5">
        <f t="shared" si="392"/>
        <v>0</v>
      </c>
      <c r="T535" s="5">
        <f t="shared" si="393"/>
        <v>0</v>
      </c>
      <c r="U535" s="74">
        <f t="shared" si="394"/>
        <v>0</v>
      </c>
      <c r="V535" s="75">
        <f t="shared" si="395"/>
        <v>0</v>
      </c>
      <c r="W535" s="5">
        <f t="shared" si="396"/>
        <v>0</v>
      </c>
      <c r="X535" s="5">
        <f t="shared" si="397"/>
        <v>284975.99155682343</v>
      </c>
      <c r="Y535" s="5">
        <f t="shared" si="418"/>
        <v>100000</v>
      </c>
      <c r="Z535" s="215">
        <f t="shared" si="398"/>
        <v>1</v>
      </c>
      <c r="AA535" s="216">
        <f t="shared" si="419"/>
        <v>0</v>
      </c>
      <c r="AB535" s="72">
        <f t="shared" si="426"/>
        <v>75146.698411840829</v>
      </c>
      <c r="AC535" s="72">
        <f t="shared" si="399"/>
        <v>0</v>
      </c>
      <c r="AD535" s="72">
        <f t="shared" si="400"/>
        <v>0</v>
      </c>
      <c r="AE535" s="72">
        <f t="shared" si="420"/>
        <v>-59.342957832157261</v>
      </c>
      <c r="AF535" s="70">
        <f t="shared" si="401"/>
        <v>0</v>
      </c>
      <c r="AG535" s="70">
        <f t="shared" si="402"/>
        <v>23699.923776251584</v>
      </c>
      <c r="AH535" s="1">
        <f t="shared" ref="AH535:AS544" si="431">IF($B535&lt;=AH$74,1,0)</f>
        <v>0</v>
      </c>
      <c r="AI535" s="1">
        <f t="shared" si="431"/>
        <v>0</v>
      </c>
      <c r="AJ535" s="1">
        <f t="shared" si="431"/>
        <v>0</v>
      </c>
      <c r="AK535" s="1">
        <f t="shared" si="431"/>
        <v>0</v>
      </c>
      <c r="AL535" s="1">
        <f t="shared" si="431"/>
        <v>0</v>
      </c>
      <c r="AM535" s="1">
        <f t="shared" si="431"/>
        <v>0</v>
      </c>
      <c r="AN535" s="1">
        <f t="shared" si="431"/>
        <v>0</v>
      </c>
      <c r="AO535" s="1">
        <f t="shared" si="431"/>
        <v>0</v>
      </c>
      <c r="AP535" s="1">
        <f t="shared" si="431"/>
        <v>0</v>
      </c>
      <c r="AQ535" s="1">
        <f t="shared" si="431"/>
        <v>0</v>
      </c>
      <c r="AR535" s="1">
        <f t="shared" si="431"/>
        <v>0</v>
      </c>
      <c r="AS535" s="1">
        <f t="shared" si="431"/>
        <v>1</v>
      </c>
      <c r="AT535" s="39">
        <f t="shared" si="403"/>
        <v>284975.99155682343</v>
      </c>
      <c r="AU535" s="39">
        <f t="shared" si="421"/>
        <v>284975.99155682343</v>
      </c>
      <c r="AV535" s="39">
        <f t="shared" ref="AV535:AV598" si="432">IF(W535=0,0,IF(W535&gt;W523,"Y","N"))</f>
        <v>0</v>
      </c>
      <c r="AW535" s="3">
        <f t="shared" si="404"/>
        <v>461</v>
      </c>
      <c r="AX535" s="69">
        <f t="shared" si="422"/>
        <v>0</v>
      </c>
      <c r="AY535" s="75">
        <f t="shared" si="405"/>
        <v>0</v>
      </c>
      <c r="AZ535" s="75">
        <f t="shared" si="406"/>
        <v>0</v>
      </c>
      <c r="BA535" s="75">
        <f t="shared" si="407"/>
        <v>0</v>
      </c>
      <c r="BB535" s="75">
        <f t="shared" si="408"/>
        <v>0</v>
      </c>
      <c r="BD535" s="214">
        <f t="shared" si="423"/>
        <v>432982.93127324589</v>
      </c>
      <c r="BE535" s="214">
        <f t="shared" si="409"/>
        <v>2107.5663119029782</v>
      </c>
      <c r="BF535" s="214">
        <f t="shared" si="410"/>
        <v>-716.45314558716791</v>
      </c>
      <c r="BG535" s="224">
        <f t="shared" si="428"/>
        <v>0</v>
      </c>
      <c r="BH535" s="19">
        <f t="shared" si="424"/>
        <v>924090.7268345604</v>
      </c>
      <c r="BI535" s="214">
        <f t="shared" si="411"/>
        <v>4498.0583398318331</v>
      </c>
      <c r="BJ535" s="214">
        <f t="shared" si="412"/>
        <v>0</v>
      </c>
      <c r="BK535" s="19">
        <f t="shared" si="429"/>
        <v>0</v>
      </c>
    </row>
    <row r="536" spans="1:63">
      <c r="A536" s="165">
        <f t="shared" si="413"/>
        <v>100.47279260780287</v>
      </c>
      <c r="B536" s="69">
        <f t="shared" si="414"/>
        <v>39</v>
      </c>
      <c r="C536" s="70">
        <f t="shared" si="415"/>
        <v>462</v>
      </c>
      <c r="D536" s="13">
        <f t="shared" si="384"/>
        <v>4.8675505653430484E-3</v>
      </c>
      <c r="E536" s="15">
        <f t="shared" si="385"/>
        <v>1</v>
      </c>
      <c r="F536" s="15">
        <f t="shared" si="416"/>
        <v>0</v>
      </c>
      <c r="G536" s="15">
        <f t="shared" si="386"/>
        <v>0</v>
      </c>
      <c r="H536" s="73">
        <f t="shared" si="387"/>
        <v>0</v>
      </c>
      <c r="I536" s="189"/>
      <c r="J536" s="189"/>
      <c r="K536" s="5">
        <f t="shared" si="430"/>
        <v>284975.99155682343</v>
      </c>
      <c r="M536" s="5">
        <f t="shared" si="388"/>
        <v>1387.1350488116116</v>
      </c>
      <c r="N536" s="5">
        <f t="shared" si="389"/>
        <v>-471.5473309012728</v>
      </c>
      <c r="O536" s="5">
        <f t="shared" si="390"/>
        <v>0</v>
      </c>
      <c r="P536" s="5">
        <f t="shared" si="391"/>
        <v>0</v>
      </c>
      <c r="Q536" s="5">
        <f t="shared" si="425"/>
        <v>0</v>
      </c>
      <c r="R536" s="5">
        <f t="shared" si="417"/>
        <v>0</v>
      </c>
      <c r="S536" s="5">
        <f t="shared" si="392"/>
        <v>0</v>
      </c>
      <c r="T536" s="5">
        <f t="shared" si="393"/>
        <v>0</v>
      </c>
      <c r="U536" s="74">
        <f t="shared" si="394"/>
        <v>0</v>
      </c>
      <c r="V536" s="75">
        <f t="shared" si="395"/>
        <v>0</v>
      </c>
      <c r="W536" s="5">
        <f t="shared" si="396"/>
        <v>0</v>
      </c>
      <c r="X536" s="5">
        <f t="shared" si="397"/>
        <v>285891.57927473378</v>
      </c>
      <c r="Y536" s="5">
        <f t="shared" si="418"/>
        <v>100000</v>
      </c>
      <c r="Z536" s="215">
        <f t="shared" si="398"/>
        <v>1</v>
      </c>
      <c r="AA536" s="216">
        <f t="shared" si="419"/>
        <v>0</v>
      </c>
      <c r="AB536" s="72">
        <f t="shared" si="426"/>
        <v>75146.698411840829</v>
      </c>
      <c r="AC536" s="72">
        <f t="shared" si="399"/>
        <v>0</v>
      </c>
      <c r="AD536" s="72">
        <f t="shared" si="400"/>
        <v>0</v>
      </c>
      <c r="AE536" s="72">
        <f t="shared" si="420"/>
        <v>-59.533618396363977</v>
      </c>
      <c r="AF536" s="70">
        <f t="shared" si="401"/>
        <v>0</v>
      </c>
      <c r="AG536" s="70">
        <f t="shared" si="402"/>
        <v>24047.847109057519</v>
      </c>
      <c r="AH536" s="1">
        <f t="shared" si="431"/>
        <v>0</v>
      </c>
      <c r="AI536" s="1">
        <f t="shared" si="431"/>
        <v>0</v>
      </c>
      <c r="AJ536" s="1">
        <f t="shared" si="431"/>
        <v>0</v>
      </c>
      <c r="AK536" s="1">
        <f t="shared" si="431"/>
        <v>0</v>
      </c>
      <c r="AL536" s="1">
        <f t="shared" si="431"/>
        <v>0</v>
      </c>
      <c r="AM536" s="1">
        <f t="shared" si="431"/>
        <v>0</v>
      </c>
      <c r="AN536" s="1">
        <f t="shared" si="431"/>
        <v>0</v>
      </c>
      <c r="AO536" s="1">
        <f t="shared" si="431"/>
        <v>0</v>
      </c>
      <c r="AP536" s="1">
        <f t="shared" si="431"/>
        <v>0</v>
      </c>
      <c r="AQ536" s="1">
        <f t="shared" si="431"/>
        <v>0</v>
      </c>
      <c r="AR536" s="1">
        <f t="shared" si="431"/>
        <v>0</v>
      </c>
      <c r="AS536" s="1">
        <f t="shared" si="431"/>
        <v>1</v>
      </c>
      <c r="AT536" s="39">
        <f t="shared" si="403"/>
        <v>285891.57927473378</v>
      </c>
      <c r="AU536" s="39">
        <f t="shared" si="421"/>
        <v>285891.57927473378</v>
      </c>
      <c r="AV536" s="39">
        <f t="shared" si="432"/>
        <v>0</v>
      </c>
      <c r="AW536" s="3">
        <f t="shared" si="404"/>
        <v>462</v>
      </c>
      <c r="AX536" s="69">
        <f t="shared" si="422"/>
        <v>0</v>
      </c>
      <c r="AY536" s="75">
        <f t="shared" si="405"/>
        <v>0</v>
      </c>
      <c r="AZ536" s="75">
        <f t="shared" si="406"/>
        <v>0</v>
      </c>
      <c r="BA536" s="75">
        <f t="shared" si="407"/>
        <v>0</v>
      </c>
      <c r="BB536" s="75">
        <f t="shared" si="408"/>
        <v>0</v>
      </c>
      <c r="BD536" s="214">
        <f t="shared" si="423"/>
        <v>434374.04443956172</v>
      </c>
      <c r="BE536" s="214">
        <f t="shared" si="409"/>
        <v>2114.3376255821349</v>
      </c>
      <c r="BF536" s="214">
        <f t="shared" si="410"/>
        <v>-718.75500862122306</v>
      </c>
      <c r="BG536" s="224">
        <f t="shared" si="428"/>
        <v>0</v>
      </c>
      <c r="BH536" s="19">
        <f t="shared" si="424"/>
        <v>928588.78517439228</v>
      </c>
      <c r="BI536" s="214">
        <f t="shared" si="411"/>
        <v>4519.9528662468274</v>
      </c>
      <c r="BJ536" s="214">
        <f t="shared" si="412"/>
        <v>0</v>
      </c>
      <c r="BK536" s="19">
        <f t="shared" si="429"/>
        <v>0</v>
      </c>
    </row>
    <row r="537" spans="1:63">
      <c r="A537" s="165">
        <f t="shared" si="413"/>
        <v>100.5561259411362</v>
      </c>
      <c r="B537" s="69">
        <f t="shared" si="414"/>
        <v>39</v>
      </c>
      <c r="C537" s="70">
        <f t="shared" si="415"/>
        <v>463</v>
      </c>
      <c r="D537" s="13">
        <f t="shared" si="384"/>
        <v>4.8675505653430484E-3</v>
      </c>
      <c r="E537" s="15">
        <f t="shared" si="385"/>
        <v>1</v>
      </c>
      <c r="F537" s="15">
        <f t="shared" si="416"/>
        <v>0</v>
      </c>
      <c r="G537" s="15">
        <f t="shared" si="386"/>
        <v>0</v>
      </c>
      <c r="H537" s="73">
        <f t="shared" si="387"/>
        <v>0</v>
      </c>
      <c r="I537" s="189"/>
      <c r="J537" s="189"/>
      <c r="K537" s="5">
        <f t="shared" si="430"/>
        <v>285891.57927473378</v>
      </c>
      <c r="M537" s="5">
        <f t="shared" si="388"/>
        <v>1391.5917183255474</v>
      </c>
      <c r="N537" s="5">
        <f t="shared" si="389"/>
        <v>-473.06234605124394</v>
      </c>
      <c r="O537" s="5">
        <f t="shared" si="390"/>
        <v>0</v>
      </c>
      <c r="P537" s="5">
        <f t="shared" si="391"/>
        <v>0</v>
      </c>
      <c r="Q537" s="5">
        <f t="shared" si="425"/>
        <v>0</v>
      </c>
      <c r="R537" s="5">
        <f t="shared" si="417"/>
        <v>0</v>
      </c>
      <c r="S537" s="5">
        <f t="shared" si="392"/>
        <v>0</v>
      </c>
      <c r="T537" s="5">
        <f t="shared" si="393"/>
        <v>0</v>
      </c>
      <c r="U537" s="74">
        <f t="shared" si="394"/>
        <v>0</v>
      </c>
      <c r="V537" s="75">
        <f t="shared" si="395"/>
        <v>0</v>
      </c>
      <c r="W537" s="5">
        <f t="shared" si="396"/>
        <v>0</v>
      </c>
      <c r="X537" s="5">
        <f t="shared" si="397"/>
        <v>286810.10864700808</v>
      </c>
      <c r="Y537" s="5">
        <f t="shared" si="418"/>
        <v>100000</v>
      </c>
      <c r="Z537" s="215">
        <f t="shared" si="398"/>
        <v>1</v>
      </c>
      <c r="AA537" s="216">
        <f t="shared" si="419"/>
        <v>0</v>
      </c>
      <c r="AB537" s="72">
        <f t="shared" si="426"/>
        <v>75146.698411840829</v>
      </c>
      <c r="AC537" s="72">
        <f t="shared" si="399"/>
        <v>0</v>
      </c>
      <c r="AD537" s="72">
        <f t="shared" si="400"/>
        <v>0</v>
      </c>
      <c r="AE537" s="72">
        <f t="shared" si="420"/>
        <v>-59.724891526106219</v>
      </c>
      <c r="AF537" s="70">
        <f t="shared" si="401"/>
        <v>0</v>
      </c>
      <c r="AG537" s="70">
        <f t="shared" si="402"/>
        <v>24396.888270521755</v>
      </c>
      <c r="AH537" s="1">
        <f t="shared" si="431"/>
        <v>0</v>
      </c>
      <c r="AI537" s="1">
        <f t="shared" si="431"/>
        <v>0</v>
      </c>
      <c r="AJ537" s="1">
        <f t="shared" si="431"/>
        <v>0</v>
      </c>
      <c r="AK537" s="1">
        <f t="shared" si="431"/>
        <v>0</v>
      </c>
      <c r="AL537" s="1">
        <f t="shared" si="431"/>
        <v>0</v>
      </c>
      <c r="AM537" s="1">
        <f t="shared" si="431"/>
        <v>0</v>
      </c>
      <c r="AN537" s="1">
        <f t="shared" si="431"/>
        <v>0</v>
      </c>
      <c r="AO537" s="1">
        <f t="shared" si="431"/>
        <v>0</v>
      </c>
      <c r="AP537" s="1">
        <f t="shared" si="431"/>
        <v>0</v>
      </c>
      <c r="AQ537" s="1">
        <f t="shared" si="431"/>
        <v>0</v>
      </c>
      <c r="AR537" s="1">
        <f t="shared" si="431"/>
        <v>0</v>
      </c>
      <c r="AS537" s="1">
        <f t="shared" si="431"/>
        <v>1</v>
      </c>
      <c r="AT537" s="39">
        <f t="shared" si="403"/>
        <v>286810.10864700808</v>
      </c>
      <c r="AU537" s="39">
        <f t="shared" si="421"/>
        <v>286810.10864700808</v>
      </c>
      <c r="AV537" s="39">
        <f t="shared" si="432"/>
        <v>0</v>
      </c>
      <c r="AW537" s="3">
        <f t="shared" si="404"/>
        <v>463</v>
      </c>
      <c r="AX537" s="69">
        <f t="shared" si="422"/>
        <v>0</v>
      </c>
      <c r="AY537" s="75">
        <f t="shared" si="405"/>
        <v>0</v>
      </c>
      <c r="AZ537" s="75">
        <f t="shared" si="406"/>
        <v>0</v>
      </c>
      <c r="BA537" s="75">
        <f t="shared" si="407"/>
        <v>0</v>
      </c>
      <c r="BB537" s="75">
        <f t="shared" si="408"/>
        <v>0</v>
      </c>
      <c r="BD537" s="214">
        <f t="shared" si="423"/>
        <v>435769.62705652264</v>
      </c>
      <c r="BE537" s="214">
        <f t="shared" si="409"/>
        <v>2121.1306945383062</v>
      </c>
      <c r="BF537" s="214">
        <f t="shared" si="410"/>
        <v>-721.06426721695618</v>
      </c>
      <c r="BG537" s="224">
        <f t="shared" si="428"/>
        <v>0</v>
      </c>
      <c r="BH537" s="19">
        <f t="shared" si="424"/>
        <v>933108.73804063909</v>
      </c>
      <c r="BI537" s="214">
        <f t="shared" si="411"/>
        <v>4541.9539653762513</v>
      </c>
      <c r="BJ537" s="214">
        <f t="shared" si="412"/>
        <v>0</v>
      </c>
      <c r="BK537" s="19">
        <f t="shared" si="429"/>
        <v>0</v>
      </c>
    </row>
    <row r="538" spans="1:63">
      <c r="A538" s="165">
        <f t="shared" si="413"/>
        <v>100.63945927446954</v>
      </c>
      <c r="B538" s="69">
        <f t="shared" si="414"/>
        <v>39</v>
      </c>
      <c r="C538" s="70">
        <f t="shared" si="415"/>
        <v>464</v>
      </c>
      <c r="D538" s="13">
        <f t="shared" si="384"/>
        <v>4.8675505653430484E-3</v>
      </c>
      <c r="E538" s="15">
        <f t="shared" si="385"/>
        <v>1</v>
      </c>
      <c r="F538" s="15">
        <f t="shared" si="416"/>
        <v>0</v>
      </c>
      <c r="G538" s="15">
        <f t="shared" si="386"/>
        <v>0</v>
      </c>
      <c r="H538" s="73">
        <f t="shared" si="387"/>
        <v>0</v>
      </c>
      <c r="I538" s="189"/>
      <c r="J538" s="189"/>
      <c r="K538" s="5">
        <f t="shared" si="430"/>
        <v>286810.10864700808</v>
      </c>
      <c r="M538" s="5">
        <f t="shared" si="388"/>
        <v>1396.0627064908454</v>
      </c>
      <c r="N538" s="5">
        <f t="shared" si="389"/>
        <v>-474.5822287314802</v>
      </c>
      <c r="O538" s="5">
        <f t="shared" si="390"/>
        <v>0</v>
      </c>
      <c r="P538" s="5">
        <f t="shared" si="391"/>
        <v>0</v>
      </c>
      <c r="Q538" s="5">
        <f t="shared" si="425"/>
        <v>0</v>
      </c>
      <c r="R538" s="5">
        <f t="shared" si="417"/>
        <v>0</v>
      </c>
      <c r="S538" s="5">
        <f t="shared" si="392"/>
        <v>0</v>
      </c>
      <c r="T538" s="5">
        <f t="shared" si="393"/>
        <v>0</v>
      </c>
      <c r="U538" s="74">
        <f t="shared" si="394"/>
        <v>0</v>
      </c>
      <c r="V538" s="75">
        <f t="shared" si="395"/>
        <v>0</v>
      </c>
      <c r="W538" s="5">
        <f t="shared" si="396"/>
        <v>0</v>
      </c>
      <c r="X538" s="5">
        <f t="shared" si="397"/>
        <v>287731.58912476746</v>
      </c>
      <c r="Y538" s="5">
        <f t="shared" si="418"/>
        <v>100000</v>
      </c>
      <c r="Z538" s="215">
        <f t="shared" si="398"/>
        <v>1</v>
      </c>
      <c r="AA538" s="216">
        <f t="shared" si="419"/>
        <v>0</v>
      </c>
      <c r="AB538" s="72">
        <f t="shared" si="426"/>
        <v>75146.698411840829</v>
      </c>
      <c r="AC538" s="72">
        <f t="shared" si="399"/>
        <v>0</v>
      </c>
      <c r="AD538" s="72">
        <f t="shared" si="400"/>
        <v>0</v>
      </c>
      <c r="AE538" s="72">
        <f t="shared" si="420"/>
        <v>-59.916779189470759</v>
      </c>
      <c r="AF538" s="70">
        <f t="shared" si="401"/>
        <v>0</v>
      </c>
      <c r="AG538" s="70">
        <f t="shared" si="402"/>
        <v>24747.050852070315</v>
      </c>
      <c r="AH538" s="1">
        <f t="shared" si="431"/>
        <v>0</v>
      </c>
      <c r="AI538" s="1">
        <f t="shared" si="431"/>
        <v>0</v>
      </c>
      <c r="AJ538" s="1">
        <f t="shared" si="431"/>
        <v>0</v>
      </c>
      <c r="AK538" s="1">
        <f t="shared" si="431"/>
        <v>0</v>
      </c>
      <c r="AL538" s="1">
        <f t="shared" si="431"/>
        <v>0</v>
      </c>
      <c r="AM538" s="1">
        <f t="shared" si="431"/>
        <v>0</v>
      </c>
      <c r="AN538" s="1">
        <f t="shared" si="431"/>
        <v>0</v>
      </c>
      <c r="AO538" s="1">
        <f t="shared" si="431"/>
        <v>0</v>
      </c>
      <c r="AP538" s="1">
        <f t="shared" si="431"/>
        <v>0</v>
      </c>
      <c r="AQ538" s="1">
        <f t="shared" si="431"/>
        <v>0</v>
      </c>
      <c r="AR538" s="1">
        <f t="shared" si="431"/>
        <v>0</v>
      </c>
      <c r="AS538" s="1">
        <f t="shared" si="431"/>
        <v>1</v>
      </c>
      <c r="AT538" s="39">
        <f t="shared" si="403"/>
        <v>287731.58912476746</v>
      </c>
      <c r="AU538" s="39">
        <f t="shared" si="421"/>
        <v>287731.58912476746</v>
      </c>
      <c r="AV538" s="39">
        <f t="shared" si="432"/>
        <v>0</v>
      </c>
      <c r="AW538" s="3">
        <f t="shared" si="404"/>
        <v>464</v>
      </c>
      <c r="AX538" s="69">
        <f t="shared" si="422"/>
        <v>0</v>
      </c>
      <c r="AY538" s="75">
        <f t="shared" si="405"/>
        <v>0</v>
      </c>
      <c r="AZ538" s="75">
        <f t="shared" si="406"/>
        <v>0</v>
      </c>
      <c r="BA538" s="75">
        <f t="shared" si="407"/>
        <v>0</v>
      </c>
      <c r="BB538" s="75">
        <f t="shared" si="408"/>
        <v>0</v>
      </c>
      <c r="BD538" s="214">
        <f t="shared" si="423"/>
        <v>437169.69348384399</v>
      </c>
      <c r="BE538" s="214">
        <f t="shared" si="409"/>
        <v>2127.9455886681321</v>
      </c>
      <c r="BF538" s="214">
        <f t="shared" si="410"/>
        <v>-723.38094513526494</v>
      </c>
      <c r="BG538" s="224">
        <f t="shared" si="428"/>
        <v>0</v>
      </c>
      <c r="BH538" s="19">
        <f t="shared" si="424"/>
        <v>937650.69200601534</v>
      </c>
      <c r="BI538" s="214">
        <f t="shared" si="411"/>
        <v>4564.0621559681804</v>
      </c>
      <c r="BJ538" s="214">
        <f t="shared" si="412"/>
        <v>0</v>
      </c>
      <c r="BK538" s="19">
        <f t="shared" si="429"/>
        <v>0</v>
      </c>
    </row>
    <row r="539" spans="1:63">
      <c r="A539" s="165">
        <f t="shared" si="413"/>
        <v>100.72279260780287</v>
      </c>
      <c r="B539" s="69">
        <f t="shared" si="414"/>
        <v>39</v>
      </c>
      <c r="C539" s="70">
        <f t="shared" si="415"/>
        <v>465</v>
      </c>
      <c r="D539" s="13">
        <f t="shared" si="384"/>
        <v>4.8675505653430484E-3</v>
      </c>
      <c r="E539" s="15">
        <f t="shared" si="385"/>
        <v>1</v>
      </c>
      <c r="F539" s="15">
        <f t="shared" si="416"/>
        <v>0</v>
      </c>
      <c r="G539" s="15">
        <f t="shared" si="386"/>
        <v>0</v>
      </c>
      <c r="H539" s="73">
        <f t="shared" si="387"/>
        <v>0</v>
      </c>
      <c r="I539" s="189"/>
      <c r="J539" s="189"/>
      <c r="K539" s="5">
        <f t="shared" si="430"/>
        <v>287731.58912476746</v>
      </c>
      <c r="M539" s="5">
        <f t="shared" si="388"/>
        <v>1400.5480593113155</v>
      </c>
      <c r="N539" s="5">
        <f t="shared" si="389"/>
        <v>-476.1069945806708</v>
      </c>
      <c r="O539" s="5">
        <f t="shared" si="390"/>
        <v>0</v>
      </c>
      <c r="P539" s="5">
        <f t="shared" si="391"/>
        <v>0</v>
      </c>
      <c r="Q539" s="5">
        <f t="shared" si="425"/>
        <v>0</v>
      </c>
      <c r="R539" s="5">
        <f t="shared" si="417"/>
        <v>0</v>
      </c>
      <c r="S539" s="5">
        <f t="shared" si="392"/>
        <v>0</v>
      </c>
      <c r="T539" s="5">
        <f t="shared" si="393"/>
        <v>0</v>
      </c>
      <c r="U539" s="74">
        <f t="shared" si="394"/>
        <v>0</v>
      </c>
      <c r="V539" s="75">
        <f t="shared" si="395"/>
        <v>0</v>
      </c>
      <c r="W539" s="5">
        <f t="shared" si="396"/>
        <v>0</v>
      </c>
      <c r="X539" s="5">
        <f t="shared" si="397"/>
        <v>288656.03018949809</v>
      </c>
      <c r="Y539" s="5">
        <f t="shared" si="418"/>
        <v>100000</v>
      </c>
      <c r="Z539" s="215">
        <f t="shared" si="398"/>
        <v>1</v>
      </c>
      <c r="AA539" s="216">
        <f t="shared" si="419"/>
        <v>0</v>
      </c>
      <c r="AB539" s="72">
        <f t="shared" si="426"/>
        <v>75146.698411840829</v>
      </c>
      <c r="AC539" s="72">
        <f t="shared" si="399"/>
        <v>0</v>
      </c>
      <c r="AD539" s="72">
        <f t="shared" si="400"/>
        <v>0</v>
      </c>
      <c r="AE539" s="72">
        <f t="shared" si="420"/>
        <v>-60.109283360867551</v>
      </c>
      <c r="AF539" s="70">
        <f t="shared" si="401"/>
        <v>0</v>
      </c>
      <c r="AG539" s="70">
        <f t="shared" si="402"/>
        <v>25098.33845666796</v>
      </c>
      <c r="AH539" s="1">
        <f t="shared" si="431"/>
        <v>0</v>
      </c>
      <c r="AI539" s="1">
        <f t="shared" si="431"/>
        <v>0</v>
      </c>
      <c r="AJ539" s="1">
        <f t="shared" si="431"/>
        <v>0</v>
      </c>
      <c r="AK539" s="1">
        <f t="shared" si="431"/>
        <v>0</v>
      </c>
      <c r="AL539" s="1">
        <f t="shared" si="431"/>
        <v>0</v>
      </c>
      <c r="AM539" s="1">
        <f t="shared" si="431"/>
        <v>0</v>
      </c>
      <c r="AN539" s="1">
        <f t="shared" si="431"/>
        <v>0</v>
      </c>
      <c r="AO539" s="1">
        <f t="shared" si="431"/>
        <v>0</v>
      </c>
      <c r="AP539" s="1">
        <f t="shared" si="431"/>
        <v>0</v>
      </c>
      <c r="AQ539" s="1">
        <f t="shared" si="431"/>
        <v>0</v>
      </c>
      <c r="AR539" s="1">
        <f t="shared" si="431"/>
        <v>0</v>
      </c>
      <c r="AS539" s="1">
        <f t="shared" si="431"/>
        <v>1</v>
      </c>
      <c r="AT539" s="39">
        <f t="shared" si="403"/>
        <v>288656.03018949809</v>
      </c>
      <c r="AU539" s="39">
        <f t="shared" si="421"/>
        <v>288656.03018949809</v>
      </c>
      <c r="AV539" s="39">
        <f t="shared" si="432"/>
        <v>0</v>
      </c>
      <c r="AW539" s="3">
        <f t="shared" si="404"/>
        <v>465</v>
      </c>
      <c r="AX539" s="69">
        <f t="shared" si="422"/>
        <v>0</v>
      </c>
      <c r="AY539" s="75">
        <f t="shared" si="405"/>
        <v>0</v>
      </c>
      <c r="AZ539" s="75">
        <f t="shared" si="406"/>
        <v>0</v>
      </c>
      <c r="BA539" s="75">
        <f t="shared" si="407"/>
        <v>0</v>
      </c>
      <c r="BB539" s="75">
        <f t="shared" si="408"/>
        <v>0</v>
      </c>
      <c r="BD539" s="214">
        <f t="shared" si="423"/>
        <v>438574.25812737684</v>
      </c>
      <c r="BE539" s="214">
        <f t="shared" si="409"/>
        <v>2134.7823780928211</v>
      </c>
      <c r="BF539" s="214">
        <f t="shared" si="410"/>
        <v>-725.70506621338802</v>
      </c>
      <c r="BG539" s="224">
        <f t="shared" si="428"/>
        <v>0</v>
      </c>
      <c r="BH539" s="19">
        <f t="shared" si="424"/>
        <v>942214.7541619835</v>
      </c>
      <c r="BI539" s="214">
        <f t="shared" si="411"/>
        <v>4586.277959295724</v>
      </c>
      <c r="BJ539" s="214">
        <f t="shared" si="412"/>
        <v>0</v>
      </c>
      <c r="BK539" s="19">
        <f t="shared" si="429"/>
        <v>0</v>
      </c>
    </row>
    <row r="540" spans="1:63">
      <c r="A540" s="165">
        <f t="shared" si="413"/>
        <v>100.8061259411362</v>
      </c>
      <c r="B540" s="69">
        <f t="shared" si="414"/>
        <v>39</v>
      </c>
      <c r="C540" s="70">
        <f t="shared" si="415"/>
        <v>466</v>
      </c>
      <c r="D540" s="13">
        <f t="shared" si="384"/>
        <v>4.8675505653430484E-3</v>
      </c>
      <c r="E540" s="15">
        <f t="shared" si="385"/>
        <v>1</v>
      </c>
      <c r="F540" s="15">
        <f t="shared" si="416"/>
        <v>0</v>
      </c>
      <c r="G540" s="15">
        <f t="shared" si="386"/>
        <v>0</v>
      </c>
      <c r="H540" s="73">
        <f t="shared" si="387"/>
        <v>0</v>
      </c>
      <c r="I540" s="189"/>
      <c r="J540" s="189"/>
      <c r="K540" s="5">
        <f t="shared" si="430"/>
        <v>288656.03018949809</v>
      </c>
      <c r="M540" s="5">
        <f t="shared" si="388"/>
        <v>1405.0478229385715</v>
      </c>
      <c r="N540" s="5">
        <f t="shared" si="389"/>
        <v>-477.63665928774952</v>
      </c>
      <c r="O540" s="5">
        <f t="shared" si="390"/>
        <v>0</v>
      </c>
      <c r="P540" s="5">
        <f t="shared" si="391"/>
        <v>0</v>
      </c>
      <c r="Q540" s="5">
        <f t="shared" si="425"/>
        <v>0</v>
      </c>
      <c r="R540" s="5">
        <f t="shared" si="417"/>
        <v>0</v>
      </c>
      <c r="S540" s="5">
        <f t="shared" si="392"/>
        <v>0</v>
      </c>
      <c r="T540" s="5">
        <f t="shared" si="393"/>
        <v>0</v>
      </c>
      <c r="U540" s="74">
        <f t="shared" si="394"/>
        <v>0</v>
      </c>
      <c r="V540" s="75">
        <f t="shared" si="395"/>
        <v>0</v>
      </c>
      <c r="W540" s="5">
        <f t="shared" si="396"/>
        <v>0</v>
      </c>
      <c r="X540" s="5">
        <f t="shared" si="397"/>
        <v>289583.44135314896</v>
      </c>
      <c r="Y540" s="5">
        <f t="shared" si="418"/>
        <v>100000</v>
      </c>
      <c r="Z540" s="215">
        <f t="shared" si="398"/>
        <v>1</v>
      </c>
      <c r="AA540" s="216">
        <f t="shared" si="419"/>
        <v>0</v>
      </c>
      <c r="AB540" s="72">
        <f t="shared" si="426"/>
        <v>75146.698411840829</v>
      </c>
      <c r="AC540" s="72">
        <f t="shared" si="399"/>
        <v>0</v>
      </c>
      <c r="AD540" s="72">
        <f t="shared" si="400"/>
        <v>0</v>
      </c>
      <c r="AE540" s="72">
        <f t="shared" si="420"/>
        <v>-60.302406021050054</v>
      </c>
      <c r="AF540" s="70">
        <f t="shared" si="401"/>
        <v>0</v>
      </c>
      <c r="AG540" s="70">
        <f t="shared" si="402"/>
        <v>25450.754698855293</v>
      </c>
      <c r="AH540" s="1">
        <f t="shared" si="431"/>
        <v>0</v>
      </c>
      <c r="AI540" s="1">
        <f t="shared" si="431"/>
        <v>0</v>
      </c>
      <c r="AJ540" s="1">
        <f t="shared" si="431"/>
        <v>0</v>
      </c>
      <c r="AK540" s="1">
        <f t="shared" si="431"/>
        <v>0</v>
      </c>
      <c r="AL540" s="1">
        <f t="shared" si="431"/>
        <v>0</v>
      </c>
      <c r="AM540" s="1">
        <f t="shared" si="431"/>
        <v>0</v>
      </c>
      <c r="AN540" s="1">
        <f t="shared" si="431"/>
        <v>0</v>
      </c>
      <c r="AO540" s="1">
        <f t="shared" si="431"/>
        <v>0</v>
      </c>
      <c r="AP540" s="1">
        <f t="shared" si="431"/>
        <v>0</v>
      </c>
      <c r="AQ540" s="1">
        <f t="shared" si="431"/>
        <v>0</v>
      </c>
      <c r="AR540" s="1">
        <f t="shared" si="431"/>
        <v>0</v>
      </c>
      <c r="AS540" s="1">
        <f t="shared" si="431"/>
        <v>1</v>
      </c>
      <c r="AT540" s="39">
        <f t="shared" si="403"/>
        <v>289583.44135314896</v>
      </c>
      <c r="AU540" s="39">
        <f t="shared" si="421"/>
        <v>289583.44135314896</v>
      </c>
      <c r="AV540" s="39">
        <f t="shared" si="432"/>
        <v>0</v>
      </c>
      <c r="AW540" s="3">
        <f t="shared" si="404"/>
        <v>466</v>
      </c>
      <c r="AX540" s="69">
        <f t="shared" si="422"/>
        <v>0</v>
      </c>
      <c r="AY540" s="75">
        <f t="shared" si="405"/>
        <v>0</v>
      </c>
      <c r="AZ540" s="75">
        <f t="shared" si="406"/>
        <v>0</v>
      </c>
      <c r="BA540" s="75">
        <f t="shared" si="407"/>
        <v>0</v>
      </c>
      <c r="BB540" s="75">
        <f t="shared" si="408"/>
        <v>0</v>
      </c>
      <c r="BD540" s="214">
        <f t="shared" si="423"/>
        <v>439983.33543925628</v>
      </c>
      <c r="BE540" s="214">
        <f t="shared" si="409"/>
        <v>2141.641133158872</v>
      </c>
      <c r="BF540" s="214">
        <f t="shared" si="410"/>
        <v>-728.03665436514905</v>
      </c>
      <c r="BG540" s="224">
        <f t="shared" si="428"/>
        <v>0</v>
      </c>
      <c r="BH540" s="19">
        <f t="shared" si="424"/>
        <v>946801.03212127928</v>
      </c>
      <c r="BI540" s="214">
        <f t="shared" si="411"/>
        <v>4608.6018991693145</v>
      </c>
      <c r="BJ540" s="214">
        <f t="shared" si="412"/>
        <v>0</v>
      </c>
      <c r="BK540" s="19">
        <f t="shared" si="429"/>
        <v>0</v>
      </c>
    </row>
    <row r="541" spans="1:63">
      <c r="A541" s="165">
        <f t="shared" si="413"/>
        <v>100.88945927446954</v>
      </c>
      <c r="B541" s="69">
        <f t="shared" si="414"/>
        <v>39</v>
      </c>
      <c r="C541" s="70">
        <f t="shared" si="415"/>
        <v>467</v>
      </c>
      <c r="D541" s="13">
        <f t="shared" si="384"/>
        <v>4.8675505653430484E-3</v>
      </c>
      <c r="E541" s="15">
        <f t="shared" si="385"/>
        <v>1</v>
      </c>
      <c r="F541" s="15">
        <f t="shared" si="416"/>
        <v>0</v>
      </c>
      <c r="G541" s="15">
        <f t="shared" si="386"/>
        <v>0</v>
      </c>
      <c r="H541" s="73">
        <f t="shared" si="387"/>
        <v>0</v>
      </c>
      <c r="I541" s="189"/>
      <c r="J541" s="189"/>
      <c r="K541" s="5">
        <f t="shared" si="430"/>
        <v>289583.44135314896</v>
      </c>
      <c r="M541" s="5">
        <f t="shared" si="388"/>
        <v>1409.5620436725058</v>
      </c>
      <c r="N541" s="5">
        <f t="shared" si="389"/>
        <v>-479.17123859205708</v>
      </c>
      <c r="O541" s="5">
        <f t="shared" si="390"/>
        <v>0</v>
      </c>
      <c r="P541" s="5">
        <f t="shared" si="391"/>
        <v>0</v>
      </c>
      <c r="Q541" s="5">
        <f t="shared" si="425"/>
        <v>0</v>
      </c>
      <c r="R541" s="5">
        <f t="shared" si="417"/>
        <v>0</v>
      </c>
      <c r="S541" s="5">
        <f t="shared" si="392"/>
        <v>0</v>
      </c>
      <c r="T541" s="5">
        <f t="shared" si="393"/>
        <v>0</v>
      </c>
      <c r="U541" s="74">
        <f t="shared" si="394"/>
        <v>0</v>
      </c>
      <c r="V541" s="75">
        <f t="shared" si="395"/>
        <v>0</v>
      </c>
      <c r="W541" s="5">
        <f t="shared" si="396"/>
        <v>0</v>
      </c>
      <c r="X541" s="5">
        <f t="shared" si="397"/>
        <v>290513.83215822937</v>
      </c>
      <c r="Y541" s="5">
        <f t="shared" si="418"/>
        <v>100000</v>
      </c>
      <c r="Z541" s="215">
        <f t="shared" si="398"/>
        <v>1</v>
      </c>
      <c r="AA541" s="216">
        <f t="shared" si="419"/>
        <v>0</v>
      </c>
      <c r="AB541" s="72">
        <f t="shared" si="426"/>
        <v>75146.698411840829</v>
      </c>
      <c r="AC541" s="72">
        <f t="shared" si="399"/>
        <v>0</v>
      </c>
      <c r="AD541" s="72">
        <f t="shared" si="400"/>
        <v>0</v>
      </c>
      <c r="AE541" s="72">
        <f t="shared" si="420"/>
        <v>-60.496149157135655</v>
      </c>
      <c r="AF541" s="70">
        <f t="shared" si="401"/>
        <v>0</v>
      </c>
      <c r="AG541" s="70">
        <f t="shared" si="402"/>
        <v>25804.303204785843</v>
      </c>
      <c r="AH541" s="1">
        <f t="shared" si="431"/>
        <v>0</v>
      </c>
      <c r="AI541" s="1">
        <f t="shared" si="431"/>
        <v>0</v>
      </c>
      <c r="AJ541" s="1">
        <f t="shared" si="431"/>
        <v>0</v>
      </c>
      <c r="AK541" s="1">
        <f t="shared" si="431"/>
        <v>0</v>
      </c>
      <c r="AL541" s="1">
        <f t="shared" si="431"/>
        <v>0</v>
      </c>
      <c r="AM541" s="1">
        <f t="shared" si="431"/>
        <v>0</v>
      </c>
      <c r="AN541" s="1">
        <f t="shared" si="431"/>
        <v>0</v>
      </c>
      <c r="AO541" s="1">
        <f t="shared" si="431"/>
        <v>0</v>
      </c>
      <c r="AP541" s="1">
        <f t="shared" si="431"/>
        <v>0</v>
      </c>
      <c r="AQ541" s="1">
        <f t="shared" si="431"/>
        <v>0</v>
      </c>
      <c r="AR541" s="1">
        <f t="shared" si="431"/>
        <v>0</v>
      </c>
      <c r="AS541" s="1">
        <f t="shared" si="431"/>
        <v>1</v>
      </c>
      <c r="AT541" s="39">
        <f t="shared" si="403"/>
        <v>290513.83215822937</v>
      </c>
      <c r="AU541" s="39">
        <f t="shared" si="421"/>
        <v>290513.83215822937</v>
      </c>
      <c r="AV541" s="39">
        <f t="shared" si="432"/>
        <v>0</v>
      </c>
      <c r="AW541" s="3">
        <f t="shared" si="404"/>
        <v>467</v>
      </c>
      <c r="AX541" s="69">
        <f t="shared" si="422"/>
        <v>0</v>
      </c>
      <c r="AY541" s="75">
        <f t="shared" si="405"/>
        <v>0</v>
      </c>
      <c r="AZ541" s="75">
        <f t="shared" si="406"/>
        <v>0</v>
      </c>
      <c r="BA541" s="75">
        <f t="shared" si="407"/>
        <v>0</v>
      </c>
      <c r="BB541" s="75">
        <f t="shared" si="408"/>
        <v>0</v>
      </c>
      <c r="BD541" s="214">
        <f t="shared" si="423"/>
        <v>441396.93991805002</v>
      </c>
      <c r="BE541" s="214">
        <f t="shared" si="409"/>
        <v>2148.5219244387958</v>
      </c>
      <c r="BF541" s="214">
        <f t="shared" si="410"/>
        <v>-730.37573358120426</v>
      </c>
      <c r="BG541" s="224">
        <f t="shared" si="428"/>
        <v>0</v>
      </c>
      <c r="BH541" s="19">
        <f t="shared" si="424"/>
        <v>951409.63402044855</v>
      </c>
      <c r="BI541" s="214">
        <f t="shared" si="411"/>
        <v>4631.0345019490569</v>
      </c>
      <c r="BJ541" s="214">
        <f t="shared" si="412"/>
        <v>0</v>
      </c>
      <c r="BK541" s="19">
        <f t="shared" si="429"/>
        <v>0</v>
      </c>
    </row>
    <row r="542" spans="1:63">
      <c r="A542" s="165">
        <f t="shared" si="413"/>
        <v>100.97279260780287</v>
      </c>
      <c r="B542" s="69">
        <f t="shared" si="414"/>
        <v>39</v>
      </c>
      <c r="C542" s="70">
        <f t="shared" si="415"/>
        <v>468</v>
      </c>
      <c r="D542" s="13">
        <f t="shared" si="384"/>
        <v>4.8675505653430484E-3</v>
      </c>
      <c r="E542" s="15">
        <f t="shared" si="385"/>
        <v>1</v>
      </c>
      <c r="F542" s="15">
        <f t="shared" si="416"/>
        <v>0</v>
      </c>
      <c r="G542" s="15">
        <f t="shared" si="386"/>
        <v>0</v>
      </c>
      <c r="H542" s="73">
        <f t="shared" si="387"/>
        <v>0</v>
      </c>
      <c r="I542" s="189"/>
      <c r="J542" s="189"/>
      <c r="K542" s="5">
        <f t="shared" si="430"/>
        <v>290513.83215822937</v>
      </c>
      <c r="M542" s="5">
        <f t="shared" si="388"/>
        <v>1414.0907679617649</v>
      </c>
      <c r="N542" s="5">
        <f t="shared" si="389"/>
        <v>-480.71074828350169</v>
      </c>
      <c r="O542" s="5">
        <f t="shared" si="390"/>
        <v>0</v>
      </c>
      <c r="P542" s="5">
        <f t="shared" si="391"/>
        <v>0</v>
      </c>
      <c r="Q542" s="5">
        <f t="shared" si="425"/>
        <v>0</v>
      </c>
      <c r="R542" s="5">
        <f t="shared" si="417"/>
        <v>0</v>
      </c>
      <c r="S542" s="5">
        <f t="shared" si="392"/>
        <v>0</v>
      </c>
      <c r="T542" s="5">
        <f t="shared" si="393"/>
        <v>0</v>
      </c>
      <c r="U542" s="74">
        <f t="shared" si="394"/>
        <v>0</v>
      </c>
      <c r="V542" s="75">
        <f t="shared" si="395"/>
        <v>0</v>
      </c>
      <c r="W542" s="5">
        <f t="shared" si="396"/>
        <v>0</v>
      </c>
      <c r="X542" s="5">
        <f t="shared" si="397"/>
        <v>291447.21217790764</v>
      </c>
      <c r="Y542" s="5">
        <f t="shared" si="418"/>
        <v>100000</v>
      </c>
      <c r="Z542" s="215">
        <f t="shared" si="398"/>
        <v>1</v>
      </c>
      <c r="AA542" s="216">
        <f t="shared" si="419"/>
        <v>0</v>
      </c>
      <c r="AB542" s="72">
        <f t="shared" si="426"/>
        <v>75146.698411840829</v>
      </c>
      <c r="AC542" s="72">
        <f t="shared" si="399"/>
        <v>0</v>
      </c>
      <c r="AD542" s="72">
        <f t="shared" si="400"/>
        <v>0</v>
      </c>
      <c r="AE542" s="72">
        <f t="shared" si="420"/>
        <v>-60.690514762625952</v>
      </c>
      <c r="AF542" s="70">
        <f t="shared" si="401"/>
        <v>0</v>
      </c>
      <c r="AG542" s="70">
        <f t="shared" si="402"/>
        <v>26158.987612263591</v>
      </c>
      <c r="AH542" s="1">
        <f t="shared" si="431"/>
        <v>0</v>
      </c>
      <c r="AI542" s="1">
        <f t="shared" si="431"/>
        <v>0</v>
      </c>
      <c r="AJ542" s="1">
        <f t="shared" si="431"/>
        <v>0</v>
      </c>
      <c r="AK542" s="1">
        <f t="shared" si="431"/>
        <v>0</v>
      </c>
      <c r="AL542" s="1">
        <f t="shared" si="431"/>
        <v>0</v>
      </c>
      <c r="AM542" s="1">
        <f t="shared" si="431"/>
        <v>0</v>
      </c>
      <c r="AN542" s="1">
        <f t="shared" si="431"/>
        <v>0</v>
      </c>
      <c r="AO542" s="1">
        <f t="shared" si="431"/>
        <v>0</v>
      </c>
      <c r="AP542" s="1">
        <f t="shared" si="431"/>
        <v>0</v>
      </c>
      <c r="AQ542" s="1">
        <f t="shared" si="431"/>
        <v>0</v>
      </c>
      <c r="AR542" s="1">
        <f t="shared" si="431"/>
        <v>0</v>
      </c>
      <c r="AS542" s="1">
        <f t="shared" si="431"/>
        <v>1</v>
      </c>
      <c r="AT542" s="39">
        <f t="shared" si="403"/>
        <v>291447.21217790764</v>
      </c>
      <c r="AU542" s="39">
        <f t="shared" si="421"/>
        <v>291447.21217790764</v>
      </c>
      <c r="AV542" s="39">
        <f t="shared" si="432"/>
        <v>0</v>
      </c>
      <c r="AW542" s="3">
        <f t="shared" si="404"/>
        <v>468</v>
      </c>
      <c r="AX542" s="69">
        <f t="shared" si="422"/>
        <v>0</v>
      </c>
      <c r="AY542" s="75">
        <f t="shared" si="405"/>
        <v>0</v>
      </c>
      <c r="AZ542" s="75">
        <f t="shared" si="406"/>
        <v>0</v>
      </c>
      <c r="BA542" s="75">
        <f t="shared" si="407"/>
        <v>0</v>
      </c>
      <c r="BB542" s="75">
        <f t="shared" si="408"/>
        <v>0</v>
      </c>
      <c r="BD542" s="214">
        <f t="shared" si="423"/>
        <v>442815.08610890759</v>
      </c>
      <c r="BE542" s="214">
        <f t="shared" si="409"/>
        <v>2155.424822731844</v>
      </c>
      <c r="BF542" s="214">
        <f t="shared" si="410"/>
        <v>-732.72232792928764</v>
      </c>
      <c r="BG542" s="224">
        <f t="shared" si="428"/>
        <v>0</v>
      </c>
      <c r="BH542" s="19">
        <f t="shared" si="424"/>
        <v>956040.66852239764</v>
      </c>
      <c r="BI542" s="214">
        <f t="shared" si="411"/>
        <v>4653.576296557143</v>
      </c>
      <c r="BJ542" s="214">
        <f t="shared" si="412"/>
        <v>0</v>
      </c>
      <c r="BK542" s="19">
        <f t="shared" si="429"/>
        <v>0</v>
      </c>
    </row>
    <row r="543" spans="1:63">
      <c r="A543" s="165">
        <f t="shared" si="413"/>
        <v>101.0561259411362</v>
      </c>
      <c r="B543" s="69">
        <f t="shared" si="414"/>
        <v>40</v>
      </c>
      <c r="C543" s="70">
        <f t="shared" si="415"/>
        <v>469</v>
      </c>
      <c r="D543" s="13">
        <f t="shared" si="384"/>
        <v>4.8675505653430484E-3</v>
      </c>
      <c r="E543" s="15">
        <f t="shared" si="385"/>
        <v>1</v>
      </c>
      <c r="F543" s="15">
        <f t="shared" si="416"/>
        <v>0</v>
      </c>
      <c r="G543" s="15">
        <f t="shared" si="386"/>
        <v>0</v>
      </c>
      <c r="H543" s="73">
        <f t="shared" si="387"/>
        <v>0</v>
      </c>
      <c r="I543" s="189"/>
      <c r="J543" s="189"/>
      <c r="K543" s="5">
        <f t="shared" si="430"/>
        <v>291447.21217790764</v>
      </c>
      <c r="M543" s="5">
        <f t="shared" si="388"/>
        <v>1418.6340424042298</v>
      </c>
      <c r="N543" s="5">
        <f t="shared" si="389"/>
        <v>-482.25520420272284</v>
      </c>
      <c r="O543" s="5">
        <f t="shared" si="390"/>
        <v>0</v>
      </c>
      <c r="P543" s="5">
        <f t="shared" si="391"/>
        <v>0</v>
      </c>
      <c r="Q543" s="5">
        <f t="shared" si="425"/>
        <v>0</v>
      </c>
      <c r="R543" s="5">
        <f t="shared" si="417"/>
        <v>0</v>
      </c>
      <c r="S543" s="5">
        <f t="shared" si="392"/>
        <v>0</v>
      </c>
      <c r="T543" s="5">
        <f t="shared" si="393"/>
        <v>0</v>
      </c>
      <c r="U543" s="74">
        <f t="shared" si="394"/>
        <v>0</v>
      </c>
      <c r="V543" s="75">
        <f t="shared" si="395"/>
        <v>0</v>
      </c>
      <c r="W543" s="5">
        <f t="shared" si="396"/>
        <v>0</v>
      </c>
      <c r="X543" s="5">
        <f t="shared" si="397"/>
        <v>292383.59101610916</v>
      </c>
      <c r="Y543" s="5">
        <f t="shared" si="418"/>
        <v>100000</v>
      </c>
      <c r="Z543" s="215">
        <f t="shared" si="398"/>
        <v>1</v>
      </c>
      <c r="AA543" s="216">
        <f t="shared" si="419"/>
        <v>0</v>
      </c>
      <c r="AB543" s="72">
        <f t="shared" si="426"/>
        <v>75146.698411840829</v>
      </c>
      <c r="AC543" s="72">
        <f t="shared" si="399"/>
        <v>0</v>
      </c>
      <c r="AD543" s="72">
        <f t="shared" si="400"/>
        <v>0</v>
      </c>
      <c r="AE543" s="72">
        <f t="shared" si="420"/>
        <v>-60.885504837427526</v>
      </c>
      <c r="AF543" s="70">
        <f t="shared" si="401"/>
        <v>0</v>
      </c>
      <c r="AG543" s="70">
        <f t="shared" si="402"/>
        <v>26514.811570780163</v>
      </c>
      <c r="AH543" s="1">
        <f t="shared" si="431"/>
        <v>0</v>
      </c>
      <c r="AI543" s="1">
        <f t="shared" si="431"/>
        <v>0</v>
      </c>
      <c r="AJ543" s="1">
        <f t="shared" si="431"/>
        <v>0</v>
      </c>
      <c r="AK543" s="1">
        <f t="shared" si="431"/>
        <v>0</v>
      </c>
      <c r="AL543" s="1">
        <f t="shared" si="431"/>
        <v>0</v>
      </c>
      <c r="AM543" s="1">
        <f t="shared" si="431"/>
        <v>0</v>
      </c>
      <c r="AN543" s="1">
        <f t="shared" si="431"/>
        <v>0</v>
      </c>
      <c r="AO543" s="1">
        <f t="shared" si="431"/>
        <v>0</v>
      </c>
      <c r="AP543" s="1">
        <f t="shared" si="431"/>
        <v>0</v>
      </c>
      <c r="AQ543" s="1">
        <f t="shared" si="431"/>
        <v>0</v>
      </c>
      <c r="AR543" s="1">
        <f t="shared" si="431"/>
        <v>0</v>
      </c>
      <c r="AS543" s="1">
        <f t="shared" si="431"/>
        <v>1</v>
      </c>
      <c r="AT543" s="39">
        <f t="shared" si="403"/>
        <v>292383.59101610916</v>
      </c>
      <c r="AU543" s="39">
        <f t="shared" si="421"/>
        <v>292383.59101610916</v>
      </c>
      <c r="AV543" s="39">
        <f t="shared" si="432"/>
        <v>0</v>
      </c>
      <c r="AW543" s="3">
        <f t="shared" si="404"/>
        <v>469</v>
      </c>
      <c r="AX543" s="69">
        <f t="shared" si="422"/>
        <v>0</v>
      </c>
      <c r="AY543" s="75">
        <f t="shared" si="405"/>
        <v>0</v>
      </c>
      <c r="AZ543" s="75">
        <f t="shared" si="406"/>
        <v>0</v>
      </c>
      <c r="BA543" s="75">
        <f t="shared" si="407"/>
        <v>0</v>
      </c>
      <c r="BB543" s="75">
        <f t="shared" si="408"/>
        <v>0</v>
      </c>
      <c r="BD543" s="214">
        <f t="shared" si="423"/>
        <v>444237.78860371013</v>
      </c>
      <c r="BE543" s="214">
        <f t="shared" si="409"/>
        <v>2162.3498990647349</v>
      </c>
      <c r="BF543" s="214">
        <f t="shared" si="410"/>
        <v>-735.07646155445991</v>
      </c>
      <c r="BG543" s="224">
        <f t="shared" si="428"/>
        <v>0</v>
      </c>
      <c r="BH543" s="19">
        <f t="shared" si="424"/>
        <v>960694.24481895473</v>
      </c>
      <c r="BI543" s="214">
        <f t="shared" si="411"/>
        <v>4676.2278144903157</v>
      </c>
      <c r="BJ543" s="214">
        <f t="shared" si="412"/>
        <v>0</v>
      </c>
      <c r="BK543" s="19">
        <f t="shared" si="429"/>
        <v>0</v>
      </c>
    </row>
    <row r="544" spans="1:63">
      <c r="A544" s="165">
        <f t="shared" si="413"/>
        <v>101.13945927446954</v>
      </c>
      <c r="B544" s="69">
        <f t="shared" si="414"/>
        <v>40</v>
      </c>
      <c r="C544" s="70">
        <f t="shared" si="415"/>
        <v>470</v>
      </c>
      <c r="D544" s="13">
        <f t="shared" si="384"/>
        <v>4.8675505653430484E-3</v>
      </c>
      <c r="E544" s="15">
        <f t="shared" si="385"/>
        <v>1</v>
      </c>
      <c r="F544" s="15">
        <f t="shared" si="416"/>
        <v>0</v>
      </c>
      <c r="G544" s="15">
        <f t="shared" si="386"/>
        <v>0</v>
      </c>
      <c r="H544" s="73">
        <f t="shared" si="387"/>
        <v>0</v>
      </c>
      <c r="I544" s="189"/>
      <c r="J544" s="189"/>
      <c r="K544" s="5">
        <f t="shared" si="430"/>
        <v>292383.59101610916</v>
      </c>
      <c r="M544" s="5">
        <f t="shared" si="388"/>
        <v>1423.1919137474929</v>
      </c>
      <c r="N544" s="5">
        <f t="shared" si="389"/>
        <v>-483.80462224125364</v>
      </c>
      <c r="O544" s="5">
        <f t="shared" si="390"/>
        <v>0</v>
      </c>
      <c r="P544" s="5">
        <f t="shared" si="391"/>
        <v>0</v>
      </c>
      <c r="Q544" s="5">
        <f t="shared" si="425"/>
        <v>0</v>
      </c>
      <c r="R544" s="5">
        <f t="shared" si="417"/>
        <v>0</v>
      </c>
      <c r="S544" s="5">
        <f t="shared" si="392"/>
        <v>0</v>
      </c>
      <c r="T544" s="5">
        <f t="shared" si="393"/>
        <v>0</v>
      </c>
      <c r="U544" s="74">
        <f t="shared" si="394"/>
        <v>0</v>
      </c>
      <c r="V544" s="75">
        <f t="shared" si="395"/>
        <v>0</v>
      </c>
      <c r="W544" s="5">
        <f t="shared" si="396"/>
        <v>0</v>
      </c>
      <c r="X544" s="5">
        <f t="shared" si="397"/>
        <v>293322.97830761544</v>
      </c>
      <c r="Y544" s="5">
        <f t="shared" si="418"/>
        <v>100000</v>
      </c>
      <c r="Z544" s="215">
        <f t="shared" si="398"/>
        <v>1</v>
      </c>
      <c r="AA544" s="216">
        <f t="shared" si="419"/>
        <v>0</v>
      </c>
      <c r="AB544" s="72">
        <f t="shared" si="426"/>
        <v>75146.698411840829</v>
      </c>
      <c r="AC544" s="72">
        <f t="shared" si="399"/>
        <v>0</v>
      </c>
      <c r="AD544" s="72">
        <f t="shared" si="400"/>
        <v>0</v>
      </c>
      <c r="AE544" s="72">
        <f t="shared" si="420"/>
        <v>-61.081121387872273</v>
      </c>
      <c r="AF544" s="70">
        <f t="shared" si="401"/>
        <v>0</v>
      </c>
      <c r="AG544" s="70">
        <f t="shared" si="402"/>
        <v>26871.778741552553</v>
      </c>
      <c r="AH544" s="1">
        <f t="shared" si="431"/>
        <v>0</v>
      </c>
      <c r="AI544" s="1">
        <f t="shared" si="431"/>
        <v>0</v>
      </c>
      <c r="AJ544" s="1">
        <f t="shared" si="431"/>
        <v>0</v>
      </c>
      <c r="AK544" s="1">
        <f t="shared" si="431"/>
        <v>0</v>
      </c>
      <c r="AL544" s="1">
        <f t="shared" si="431"/>
        <v>0</v>
      </c>
      <c r="AM544" s="1">
        <f t="shared" si="431"/>
        <v>0</v>
      </c>
      <c r="AN544" s="1">
        <f t="shared" si="431"/>
        <v>0</v>
      </c>
      <c r="AO544" s="1">
        <f t="shared" si="431"/>
        <v>0</v>
      </c>
      <c r="AP544" s="1">
        <f t="shared" si="431"/>
        <v>0</v>
      </c>
      <c r="AQ544" s="1">
        <f t="shared" si="431"/>
        <v>0</v>
      </c>
      <c r="AR544" s="1">
        <f t="shared" si="431"/>
        <v>0</v>
      </c>
      <c r="AS544" s="1">
        <f t="shared" si="431"/>
        <v>1</v>
      </c>
      <c r="AT544" s="39">
        <f t="shared" si="403"/>
        <v>293322.97830761544</v>
      </c>
      <c r="AU544" s="39">
        <f t="shared" si="421"/>
        <v>293322.97830761544</v>
      </c>
      <c r="AV544" s="39">
        <f t="shared" si="432"/>
        <v>0</v>
      </c>
      <c r="AW544" s="3">
        <f t="shared" si="404"/>
        <v>470</v>
      </c>
      <c r="AX544" s="69">
        <f t="shared" si="422"/>
        <v>0</v>
      </c>
      <c r="AY544" s="75">
        <f t="shared" si="405"/>
        <v>0</v>
      </c>
      <c r="AZ544" s="75">
        <f t="shared" si="406"/>
        <v>0</v>
      </c>
      <c r="BA544" s="75">
        <f t="shared" si="407"/>
        <v>0</v>
      </c>
      <c r="BB544" s="75">
        <f t="shared" si="408"/>
        <v>0</v>
      </c>
      <c r="BD544" s="214">
        <f t="shared" si="423"/>
        <v>445665.06204122043</v>
      </c>
      <c r="BE544" s="214">
        <f t="shared" si="409"/>
        <v>2169.2972246923873</v>
      </c>
      <c r="BF544" s="214">
        <f t="shared" si="410"/>
        <v>-737.43815867935643</v>
      </c>
      <c r="BG544" s="224">
        <f t="shared" si="428"/>
        <v>0</v>
      </c>
      <c r="BH544" s="19">
        <f t="shared" si="424"/>
        <v>965370.47263344505</v>
      </c>
      <c r="BI544" s="214">
        <f t="shared" si="411"/>
        <v>4698.9895898324112</v>
      </c>
      <c r="BJ544" s="214">
        <f t="shared" si="412"/>
        <v>0</v>
      </c>
      <c r="BK544" s="19">
        <f t="shared" si="429"/>
        <v>0</v>
      </c>
    </row>
    <row r="545" spans="1:63">
      <c r="A545" s="165">
        <f t="shared" si="413"/>
        <v>101.22279260780287</v>
      </c>
      <c r="B545" s="69">
        <f t="shared" si="414"/>
        <v>40</v>
      </c>
      <c r="C545" s="70">
        <f t="shared" si="415"/>
        <v>471</v>
      </c>
      <c r="D545" s="13">
        <f t="shared" si="384"/>
        <v>4.8675505653430484E-3</v>
      </c>
      <c r="E545" s="15">
        <f t="shared" si="385"/>
        <v>1</v>
      </c>
      <c r="F545" s="15">
        <f t="shared" si="416"/>
        <v>0</v>
      </c>
      <c r="G545" s="15">
        <f t="shared" si="386"/>
        <v>0</v>
      </c>
      <c r="H545" s="73">
        <f t="shared" si="387"/>
        <v>0</v>
      </c>
      <c r="I545" s="189"/>
      <c r="J545" s="189"/>
      <c r="K545" s="5">
        <f t="shared" si="430"/>
        <v>293322.97830761544</v>
      </c>
      <c r="M545" s="5">
        <f t="shared" si="388"/>
        <v>1427.7644288893403</v>
      </c>
      <c r="N545" s="5">
        <f t="shared" si="389"/>
        <v>-485.35901834168465</v>
      </c>
      <c r="O545" s="5">
        <f t="shared" si="390"/>
        <v>0</v>
      </c>
      <c r="P545" s="5">
        <f t="shared" si="391"/>
        <v>0</v>
      </c>
      <c r="Q545" s="5">
        <f t="shared" si="425"/>
        <v>0</v>
      </c>
      <c r="R545" s="5">
        <f t="shared" si="417"/>
        <v>0</v>
      </c>
      <c r="S545" s="5">
        <f t="shared" si="392"/>
        <v>0</v>
      </c>
      <c r="T545" s="5">
        <f t="shared" si="393"/>
        <v>0</v>
      </c>
      <c r="U545" s="74">
        <f t="shared" si="394"/>
        <v>0</v>
      </c>
      <c r="V545" s="75">
        <f t="shared" si="395"/>
        <v>0</v>
      </c>
      <c r="W545" s="5">
        <f t="shared" si="396"/>
        <v>0</v>
      </c>
      <c r="X545" s="5">
        <f t="shared" si="397"/>
        <v>294265.38371816307</v>
      </c>
      <c r="Y545" s="5">
        <f t="shared" si="418"/>
        <v>100000</v>
      </c>
      <c r="Z545" s="215">
        <f t="shared" si="398"/>
        <v>1</v>
      </c>
      <c r="AA545" s="216">
        <f t="shared" si="419"/>
        <v>0</v>
      </c>
      <c r="AB545" s="72">
        <f t="shared" si="426"/>
        <v>75146.698411840829</v>
      </c>
      <c r="AC545" s="72">
        <f t="shared" si="399"/>
        <v>0</v>
      </c>
      <c r="AD545" s="72">
        <f t="shared" si="400"/>
        <v>0</v>
      </c>
      <c r="AE545" s="72">
        <f t="shared" si="420"/>
        <v>-61.277366426738233</v>
      </c>
      <c r="AF545" s="70">
        <f t="shared" si="401"/>
        <v>0</v>
      </c>
      <c r="AG545" s="70">
        <f t="shared" si="402"/>
        <v>27229.892797560649</v>
      </c>
      <c r="AH545" s="1">
        <f t="shared" ref="AH545:AS554" si="433">IF($B545&lt;=AH$74,1,0)</f>
        <v>0</v>
      </c>
      <c r="AI545" s="1">
        <f t="shared" si="433"/>
        <v>0</v>
      </c>
      <c r="AJ545" s="1">
        <f t="shared" si="433"/>
        <v>0</v>
      </c>
      <c r="AK545" s="1">
        <f t="shared" si="433"/>
        <v>0</v>
      </c>
      <c r="AL545" s="1">
        <f t="shared" si="433"/>
        <v>0</v>
      </c>
      <c r="AM545" s="1">
        <f t="shared" si="433"/>
        <v>0</v>
      </c>
      <c r="AN545" s="1">
        <f t="shared" si="433"/>
        <v>0</v>
      </c>
      <c r="AO545" s="1">
        <f t="shared" si="433"/>
        <v>0</v>
      </c>
      <c r="AP545" s="1">
        <f t="shared" si="433"/>
        <v>0</v>
      </c>
      <c r="AQ545" s="1">
        <f t="shared" si="433"/>
        <v>0</v>
      </c>
      <c r="AR545" s="1">
        <f t="shared" si="433"/>
        <v>0</v>
      </c>
      <c r="AS545" s="1">
        <f t="shared" si="433"/>
        <v>1</v>
      </c>
      <c r="AT545" s="39">
        <f t="shared" si="403"/>
        <v>294265.38371816307</v>
      </c>
      <c r="AU545" s="39">
        <f t="shared" si="421"/>
        <v>294265.38371816307</v>
      </c>
      <c r="AV545" s="39">
        <f t="shared" si="432"/>
        <v>0</v>
      </c>
      <c r="AW545" s="3">
        <f t="shared" si="404"/>
        <v>471</v>
      </c>
      <c r="AX545" s="69">
        <f t="shared" si="422"/>
        <v>0</v>
      </c>
      <c r="AY545" s="75">
        <f t="shared" si="405"/>
        <v>0</v>
      </c>
      <c r="AZ545" s="75">
        <f t="shared" si="406"/>
        <v>0</v>
      </c>
      <c r="BA545" s="75">
        <f t="shared" si="407"/>
        <v>0</v>
      </c>
      <c r="BB545" s="75">
        <f t="shared" si="408"/>
        <v>0</v>
      </c>
      <c r="BD545" s="214">
        <f t="shared" si="423"/>
        <v>447096.92110723344</v>
      </c>
      <c r="BE545" s="214">
        <f t="shared" si="409"/>
        <v>2176.2668710986504</v>
      </c>
      <c r="BF545" s="214">
        <f t="shared" si="410"/>
        <v>-739.80744360443612</v>
      </c>
      <c r="BG545" s="224">
        <f t="shared" si="428"/>
        <v>0</v>
      </c>
      <c r="BH545" s="19">
        <f t="shared" si="424"/>
        <v>970069.46222327743</v>
      </c>
      <c r="BI545" s="214">
        <f t="shared" si="411"/>
        <v>4721.8621592669406</v>
      </c>
      <c r="BJ545" s="214">
        <f t="shared" si="412"/>
        <v>0</v>
      </c>
      <c r="BK545" s="19">
        <f t="shared" si="429"/>
        <v>0</v>
      </c>
    </row>
    <row r="546" spans="1:63">
      <c r="A546" s="165">
        <f t="shared" si="413"/>
        <v>101.3061259411362</v>
      </c>
      <c r="B546" s="69">
        <f t="shared" si="414"/>
        <v>40</v>
      </c>
      <c r="C546" s="70">
        <f t="shared" si="415"/>
        <v>472</v>
      </c>
      <c r="D546" s="13">
        <f t="shared" si="384"/>
        <v>4.8675505653430484E-3</v>
      </c>
      <c r="E546" s="15">
        <f t="shared" si="385"/>
        <v>1</v>
      </c>
      <c r="F546" s="15">
        <f t="shared" si="416"/>
        <v>0</v>
      </c>
      <c r="G546" s="15">
        <f t="shared" si="386"/>
        <v>0</v>
      </c>
      <c r="H546" s="73">
        <f t="shared" si="387"/>
        <v>0</v>
      </c>
      <c r="I546" s="189"/>
      <c r="J546" s="189"/>
      <c r="K546" s="5">
        <f t="shared" si="430"/>
        <v>294265.38371816307</v>
      </c>
      <c r="M546" s="5">
        <f t="shared" si="388"/>
        <v>1432.3516348782337</v>
      </c>
      <c r="N546" s="5">
        <f t="shared" si="389"/>
        <v>-486.91840849782704</v>
      </c>
      <c r="O546" s="5">
        <f t="shared" si="390"/>
        <v>0</v>
      </c>
      <c r="P546" s="5">
        <f t="shared" si="391"/>
        <v>0</v>
      </c>
      <c r="Q546" s="5">
        <f t="shared" si="425"/>
        <v>0</v>
      </c>
      <c r="R546" s="5">
        <f t="shared" si="417"/>
        <v>0</v>
      </c>
      <c r="S546" s="5">
        <f t="shared" si="392"/>
        <v>0</v>
      </c>
      <c r="T546" s="5">
        <f t="shared" si="393"/>
        <v>0</v>
      </c>
      <c r="U546" s="74">
        <f t="shared" si="394"/>
        <v>0</v>
      </c>
      <c r="V546" s="75">
        <f t="shared" si="395"/>
        <v>0</v>
      </c>
      <c r="W546" s="5">
        <f t="shared" si="396"/>
        <v>0</v>
      </c>
      <c r="X546" s="5">
        <f t="shared" si="397"/>
        <v>295210.81694454351</v>
      </c>
      <c r="Y546" s="5">
        <f t="shared" si="418"/>
        <v>100000</v>
      </c>
      <c r="Z546" s="215">
        <f t="shared" si="398"/>
        <v>1</v>
      </c>
      <c r="AA546" s="216">
        <f t="shared" si="419"/>
        <v>0</v>
      </c>
      <c r="AB546" s="72">
        <f t="shared" si="426"/>
        <v>75146.698411840829</v>
      </c>
      <c r="AC546" s="72">
        <f t="shared" si="399"/>
        <v>0</v>
      </c>
      <c r="AD546" s="72">
        <f t="shared" si="400"/>
        <v>0</v>
      </c>
      <c r="AE546" s="72">
        <f t="shared" si="420"/>
        <v>-61.47424197327009</v>
      </c>
      <c r="AF546" s="70">
        <f t="shared" si="401"/>
        <v>0</v>
      </c>
      <c r="AG546" s="70">
        <f t="shared" si="402"/>
        <v>27589.157423585217</v>
      </c>
      <c r="AH546" s="1">
        <f t="shared" si="433"/>
        <v>0</v>
      </c>
      <c r="AI546" s="1">
        <f t="shared" si="433"/>
        <v>0</v>
      </c>
      <c r="AJ546" s="1">
        <f t="shared" si="433"/>
        <v>0</v>
      </c>
      <c r="AK546" s="1">
        <f t="shared" si="433"/>
        <v>0</v>
      </c>
      <c r="AL546" s="1">
        <f t="shared" si="433"/>
        <v>0</v>
      </c>
      <c r="AM546" s="1">
        <f t="shared" si="433"/>
        <v>0</v>
      </c>
      <c r="AN546" s="1">
        <f t="shared" si="433"/>
        <v>0</v>
      </c>
      <c r="AO546" s="1">
        <f t="shared" si="433"/>
        <v>0</v>
      </c>
      <c r="AP546" s="1">
        <f t="shared" si="433"/>
        <v>0</v>
      </c>
      <c r="AQ546" s="1">
        <f t="shared" si="433"/>
        <v>0</v>
      </c>
      <c r="AR546" s="1">
        <f t="shared" si="433"/>
        <v>0</v>
      </c>
      <c r="AS546" s="1">
        <f t="shared" si="433"/>
        <v>1</v>
      </c>
      <c r="AT546" s="39">
        <f t="shared" si="403"/>
        <v>295210.81694454351</v>
      </c>
      <c r="AU546" s="39">
        <f t="shared" si="421"/>
        <v>295210.81694454351</v>
      </c>
      <c r="AV546" s="39">
        <f t="shared" si="432"/>
        <v>0</v>
      </c>
      <c r="AW546" s="3">
        <f t="shared" si="404"/>
        <v>472</v>
      </c>
      <c r="AX546" s="69">
        <f t="shared" si="422"/>
        <v>0</v>
      </c>
      <c r="AY546" s="75">
        <f t="shared" si="405"/>
        <v>0</v>
      </c>
      <c r="AZ546" s="75">
        <f t="shared" si="406"/>
        <v>0</v>
      </c>
      <c r="BA546" s="75">
        <f t="shared" si="407"/>
        <v>0</v>
      </c>
      <c r="BB546" s="75">
        <f t="shared" si="408"/>
        <v>0</v>
      </c>
      <c r="BD546" s="214">
        <f t="shared" si="423"/>
        <v>448533.38053472765</v>
      </c>
      <c r="BE546" s="214">
        <f t="shared" si="409"/>
        <v>2183.2589099970423</v>
      </c>
      <c r="BF546" s="214">
        <f t="shared" si="410"/>
        <v>-742.1843407082323</v>
      </c>
      <c r="BG546" s="224">
        <f t="shared" si="428"/>
        <v>0</v>
      </c>
      <c r="BH546" s="19">
        <f t="shared" si="424"/>
        <v>974791.32438254438</v>
      </c>
      <c r="BI546" s="214">
        <f t="shared" si="411"/>
        <v>4744.8460620897531</v>
      </c>
      <c r="BJ546" s="214">
        <f t="shared" si="412"/>
        <v>0</v>
      </c>
      <c r="BK546" s="19">
        <f t="shared" si="429"/>
        <v>0</v>
      </c>
    </row>
    <row r="547" spans="1:63">
      <c r="A547" s="165">
        <f t="shared" si="413"/>
        <v>101.38945927446954</v>
      </c>
      <c r="B547" s="69">
        <f t="shared" si="414"/>
        <v>40</v>
      </c>
      <c r="C547" s="70">
        <f t="shared" si="415"/>
        <v>473</v>
      </c>
      <c r="D547" s="13">
        <f t="shared" si="384"/>
        <v>4.8675505653430484E-3</v>
      </c>
      <c r="E547" s="15">
        <f t="shared" si="385"/>
        <v>1</v>
      </c>
      <c r="F547" s="15">
        <f t="shared" si="416"/>
        <v>0</v>
      </c>
      <c r="G547" s="15">
        <f t="shared" si="386"/>
        <v>0</v>
      </c>
      <c r="H547" s="73">
        <f t="shared" si="387"/>
        <v>0</v>
      </c>
      <c r="I547" s="189"/>
      <c r="J547" s="189"/>
      <c r="K547" s="5">
        <f t="shared" si="430"/>
        <v>295210.81694454351</v>
      </c>
      <c r="M547" s="5">
        <f t="shared" si="388"/>
        <v>1436.9535789137958</v>
      </c>
      <c r="N547" s="5">
        <f t="shared" si="389"/>
        <v>-488.48280875487887</v>
      </c>
      <c r="O547" s="5">
        <f t="shared" si="390"/>
        <v>0</v>
      </c>
      <c r="P547" s="5">
        <f t="shared" si="391"/>
        <v>0</v>
      </c>
      <c r="Q547" s="5">
        <f t="shared" si="425"/>
        <v>0</v>
      </c>
      <c r="R547" s="5">
        <f t="shared" si="417"/>
        <v>0</v>
      </c>
      <c r="S547" s="5">
        <f t="shared" si="392"/>
        <v>0</v>
      </c>
      <c r="T547" s="5">
        <f t="shared" si="393"/>
        <v>0</v>
      </c>
      <c r="U547" s="74">
        <f t="shared" si="394"/>
        <v>0</v>
      </c>
      <c r="V547" s="75">
        <f t="shared" si="395"/>
        <v>0</v>
      </c>
      <c r="W547" s="5">
        <f t="shared" si="396"/>
        <v>0</v>
      </c>
      <c r="X547" s="5">
        <f t="shared" si="397"/>
        <v>296159.28771470243</v>
      </c>
      <c r="Y547" s="5">
        <f t="shared" si="418"/>
        <v>100000</v>
      </c>
      <c r="Z547" s="215">
        <f t="shared" si="398"/>
        <v>1</v>
      </c>
      <c r="AA547" s="216">
        <f t="shared" si="419"/>
        <v>0</v>
      </c>
      <c r="AB547" s="72">
        <f t="shared" si="426"/>
        <v>75146.698411840829</v>
      </c>
      <c r="AC547" s="72">
        <f t="shared" si="399"/>
        <v>0</v>
      </c>
      <c r="AD547" s="72">
        <f t="shared" si="400"/>
        <v>0</v>
      </c>
      <c r="AE547" s="72">
        <f t="shared" si="420"/>
        <v>-61.671750053200235</v>
      </c>
      <c r="AF547" s="70">
        <f t="shared" si="401"/>
        <v>0</v>
      </c>
      <c r="AG547" s="70">
        <f t="shared" si="402"/>
        <v>27949.576316245613</v>
      </c>
      <c r="AH547" s="1">
        <f t="shared" si="433"/>
        <v>0</v>
      </c>
      <c r="AI547" s="1">
        <f t="shared" si="433"/>
        <v>0</v>
      </c>
      <c r="AJ547" s="1">
        <f t="shared" si="433"/>
        <v>0</v>
      </c>
      <c r="AK547" s="1">
        <f t="shared" si="433"/>
        <v>0</v>
      </c>
      <c r="AL547" s="1">
        <f t="shared" si="433"/>
        <v>0</v>
      </c>
      <c r="AM547" s="1">
        <f t="shared" si="433"/>
        <v>0</v>
      </c>
      <c r="AN547" s="1">
        <f t="shared" si="433"/>
        <v>0</v>
      </c>
      <c r="AO547" s="1">
        <f t="shared" si="433"/>
        <v>0</v>
      </c>
      <c r="AP547" s="1">
        <f t="shared" si="433"/>
        <v>0</v>
      </c>
      <c r="AQ547" s="1">
        <f t="shared" si="433"/>
        <v>0</v>
      </c>
      <c r="AR547" s="1">
        <f t="shared" si="433"/>
        <v>0</v>
      </c>
      <c r="AS547" s="1">
        <f t="shared" si="433"/>
        <v>1</v>
      </c>
      <c r="AT547" s="39">
        <f t="shared" si="403"/>
        <v>296159.28771470243</v>
      </c>
      <c r="AU547" s="39">
        <f t="shared" si="421"/>
        <v>296159.28771470243</v>
      </c>
      <c r="AV547" s="39">
        <f t="shared" si="432"/>
        <v>0</v>
      </c>
      <c r="AW547" s="3">
        <f t="shared" si="404"/>
        <v>473</v>
      </c>
      <c r="AX547" s="69">
        <f t="shared" si="422"/>
        <v>0</v>
      </c>
      <c r="AY547" s="75">
        <f t="shared" si="405"/>
        <v>0</v>
      </c>
      <c r="AZ547" s="75">
        <f t="shared" si="406"/>
        <v>0</v>
      </c>
      <c r="BA547" s="75">
        <f t="shared" si="407"/>
        <v>0</v>
      </c>
      <c r="BB547" s="75">
        <f t="shared" si="408"/>
        <v>0</v>
      </c>
      <c r="BD547" s="214">
        <f t="shared" si="423"/>
        <v>449974.45510401647</v>
      </c>
      <c r="BE547" s="214">
        <f t="shared" si="409"/>
        <v>2190.2734133314857</v>
      </c>
      <c r="BF547" s="214">
        <f t="shared" si="410"/>
        <v>-744.56887444760287</v>
      </c>
      <c r="BG547" s="224">
        <f t="shared" si="428"/>
        <v>0</v>
      </c>
      <c r="BH547" s="19">
        <f t="shared" si="424"/>
        <v>979536.17044463416</v>
      </c>
      <c r="BI547" s="214">
        <f t="shared" si="411"/>
        <v>4767.9418402217434</v>
      </c>
      <c r="BJ547" s="214">
        <f t="shared" si="412"/>
        <v>0</v>
      </c>
      <c r="BK547" s="19">
        <f t="shared" si="429"/>
        <v>0</v>
      </c>
    </row>
    <row r="548" spans="1:63">
      <c r="A548" s="165">
        <f t="shared" si="413"/>
        <v>101.47279260780287</v>
      </c>
      <c r="B548" s="69">
        <f t="shared" si="414"/>
        <v>40</v>
      </c>
      <c r="C548" s="70">
        <f t="shared" si="415"/>
        <v>474</v>
      </c>
      <c r="D548" s="13">
        <f t="shared" si="384"/>
        <v>4.8675505653430484E-3</v>
      </c>
      <c r="E548" s="15">
        <f t="shared" si="385"/>
        <v>1</v>
      </c>
      <c r="F548" s="15">
        <f t="shared" si="416"/>
        <v>0</v>
      </c>
      <c r="G548" s="15">
        <f t="shared" si="386"/>
        <v>0</v>
      </c>
      <c r="H548" s="73">
        <f t="shared" si="387"/>
        <v>0</v>
      </c>
      <c r="I548" s="189"/>
      <c r="J548" s="189"/>
      <c r="K548" s="5">
        <f t="shared" si="430"/>
        <v>296159.28771470243</v>
      </c>
      <c r="M548" s="5">
        <f t="shared" si="388"/>
        <v>1441.5703083472943</v>
      </c>
      <c r="N548" s="5">
        <f t="shared" si="389"/>
        <v>-490.05223520958828</v>
      </c>
      <c r="O548" s="5">
        <f t="shared" si="390"/>
        <v>0</v>
      </c>
      <c r="P548" s="5">
        <f t="shared" si="391"/>
        <v>0</v>
      </c>
      <c r="Q548" s="5">
        <f t="shared" si="425"/>
        <v>0</v>
      </c>
      <c r="R548" s="5">
        <f t="shared" si="417"/>
        <v>0</v>
      </c>
      <c r="S548" s="5">
        <f t="shared" si="392"/>
        <v>0</v>
      </c>
      <c r="T548" s="5">
        <f t="shared" si="393"/>
        <v>0</v>
      </c>
      <c r="U548" s="74">
        <f t="shared" si="394"/>
        <v>0</v>
      </c>
      <c r="V548" s="75">
        <f t="shared" si="395"/>
        <v>0</v>
      </c>
      <c r="W548" s="5">
        <f t="shared" si="396"/>
        <v>0</v>
      </c>
      <c r="X548" s="5">
        <f t="shared" si="397"/>
        <v>297110.8057878401</v>
      </c>
      <c r="Y548" s="5">
        <f t="shared" si="418"/>
        <v>100000</v>
      </c>
      <c r="Z548" s="215">
        <f t="shared" si="398"/>
        <v>1</v>
      </c>
      <c r="AA548" s="216">
        <f t="shared" si="419"/>
        <v>0</v>
      </c>
      <c r="AB548" s="72">
        <f t="shared" si="426"/>
        <v>75146.698411840829</v>
      </c>
      <c r="AC548" s="72">
        <f t="shared" si="399"/>
        <v>0</v>
      </c>
      <c r="AD548" s="72">
        <f t="shared" si="400"/>
        <v>0</v>
      </c>
      <c r="AE548" s="72">
        <f t="shared" si="420"/>
        <v>-61.869892698769334</v>
      </c>
      <c r="AF548" s="70">
        <f t="shared" si="401"/>
        <v>0</v>
      </c>
      <c r="AG548" s="70">
        <f t="shared" si="402"/>
        <v>28311.153184037932</v>
      </c>
      <c r="AH548" s="1">
        <f t="shared" si="433"/>
        <v>0</v>
      </c>
      <c r="AI548" s="1">
        <f t="shared" si="433"/>
        <v>0</v>
      </c>
      <c r="AJ548" s="1">
        <f t="shared" si="433"/>
        <v>0</v>
      </c>
      <c r="AK548" s="1">
        <f t="shared" si="433"/>
        <v>0</v>
      </c>
      <c r="AL548" s="1">
        <f t="shared" si="433"/>
        <v>0</v>
      </c>
      <c r="AM548" s="1">
        <f t="shared" si="433"/>
        <v>0</v>
      </c>
      <c r="AN548" s="1">
        <f t="shared" si="433"/>
        <v>0</v>
      </c>
      <c r="AO548" s="1">
        <f t="shared" si="433"/>
        <v>0</v>
      </c>
      <c r="AP548" s="1">
        <f t="shared" si="433"/>
        <v>0</v>
      </c>
      <c r="AQ548" s="1">
        <f t="shared" si="433"/>
        <v>0</v>
      </c>
      <c r="AR548" s="1">
        <f t="shared" si="433"/>
        <v>0</v>
      </c>
      <c r="AS548" s="1">
        <f t="shared" si="433"/>
        <v>1</v>
      </c>
      <c r="AT548" s="39">
        <f t="shared" si="403"/>
        <v>297110.8057878401</v>
      </c>
      <c r="AU548" s="39">
        <f t="shared" si="421"/>
        <v>297110.8057878401</v>
      </c>
      <c r="AV548" s="39">
        <f t="shared" si="432"/>
        <v>0</v>
      </c>
      <c r="AW548" s="3">
        <f t="shared" si="404"/>
        <v>474</v>
      </c>
      <c r="AX548" s="69">
        <f t="shared" si="422"/>
        <v>0</v>
      </c>
      <c r="AY548" s="75">
        <f t="shared" si="405"/>
        <v>0</v>
      </c>
      <c r="AZ548" s="75">
        <f t="shared" si="406"/>
        <v>0</v>
      </c>
      <c r="BA548" s="75">
        <f t="shared" si="407"/>
        <v>0</v>
      </c>
      <c r="BB548" s="75">
        <f t="shared" si="408"/>
        <v>0</v>
      </c>
      <c r="BD548" s="214">
        <f t="shared" si="423"/>
        <v>451420.15964290034</v>
      </c>
      <c r="BE548" s="214">
        <f t="shared" si="409"/>
        <v>2197.3104532770485</v>
      </c>
      <c r="BF548" s="214">
        <f t="shared" si="410"/>
        <v>-746.9610693579823</v>
      </c>
      <c r="BG548" s="224">
        <f t="shared" si="428"/>
        <v>0</v>
      </c>
      <c r="BH548" s="19">
        <f t="shared" si="424"/>
        <v>984304.11228485592</v>
      </c>
      <c r="BI548" s="214">
        <f t="shared" si="411"/>
        <v>4791.1500382216382</v>
      </c>
      <c r="BJ548" s="214">
        <f t="shared" si="412"/>
        <v>0</v>
      </c>
      <c r="BK548" s="19">
        <f t="shared" si="429"/>
        <v>0</v>
      </c>
    </row>
    <row r="549" spans="1:63">
      <c r="A549" s="165">
        <f t="shared" si="413"/>
        <v>101.5561259411362</v>
      </c>
      <c r="B549" s="69">
        <f t="shared" si="414"/>
        <v>40</v>
      </c>
      <c r="C549" s="70">
        <f t="shared" si="415"/>
        <v>475</v>
      </c>
      <c r="D549" s="13">
        <f t="shared" si="384"/>
        <v>4.8675505653430484E-3</v>
      </c>
      <c r="E549" s="15">
        <f t="shared" si="385"/>
        <v>1</v>
      </c>
      <c r="F549" s="15">
        <f t="shared" si="416"/>
        <v>0</v>
      </c>
      <c r="G549" s="15">
        <f t="shared" si="386"/>
        <v>0</v>
      </c>
      <c r="H549" s="73">
        <f t="shared" si="387"/>
        <v>0</v>
      </c>
      <c r="I549" s="189"/>
      <c r="J549" s="189"/>
      <c r="K549" s="5">
        <f t="shared" si="430"/>
        <v>297110.8057878401</v>
      </c>
      <c r="M549" s="5">
        <f t="shared" si="388"/>
        <v>1446.2018706821298</v>
      </c>
      <c r="N549" s="5">
        <f t="shared" si="389"/>
        <v>-491.62670401042033</v>
      </c>
      <c r="O549" s="5">
        <f t="shared" si="390"/>
        <v>0</v>
      </c>
      <c r="P549" s="5">
        <f t="shared" si="391"/>
        <v>0</v>
      </c>
      <c r="Q549" s="5">
        <f t="shared" si="425"/>
        <v>0</v>
      </c>
      <c r="R549" s="5">
        <f t="shared" si="417"/>
        <v>0</v>
      </c>
      <c r="S549" s="5">
        <f t="shared" si="392"/>
        <v>0</v>
      </c>
      <c r="T549" s="5">
        <f t="shared" si="393"/>
        <v>0</v>
      </c>
      <c r="U549" s="74">
        <f t="shared" si="394"/>
        <v>0</v>
      </c>
      <c r="V549" s="75">
        <f t="shared" si="395"/>
        <v>0</v>
      </c>
      <c r="W549" s="5">
        <f t="shared" si="396"/>
        <v>0</v>
      </c>
      <c r="X549" s="5">
        <f t="shared" si="397"/>
        <v>298065.38095451181</v>
      </c>
      <c r="Y549" s="5">
        <f t="shared" si="418"/>
        <v>100000</v>
      </c>
      <c r="Z549" s="215">
        <f t="shared" si="398"/>
        <v>1</v>
      </c>
      <c r="AA549" s="216">
        <f t="shared" si="419"/>
        <v>0</v>
      </c>
      <c r="AB549" s="72">
        <f t="shared" si="426"/>
        <v>75146.698411840829</v>
      </c>
      <c r="AC549" s="72">
        <f t="shared" si="399"/>
        <v>0</v>
      </c>
      <c r="AD549" s="72">
        <f t="shared" si="400"/>
        <v>0</v>
      </c>
      <c r="AE549" s="72">
        <f t="shared" si="420"/>
        <v>-62.068671948747408</v>
      </c>
      <c r="AF549" s="70">
        <f t="shared" si="401"/>
        <v>0</v>
      </c>
      <c r="AG549" s="70">
        <f t="shared" si="402"/>
        <v>28673.891747373171</v>
      </c>
      <c r="AH549" s="1">
        <f t="shared" si="433"/>
        <v>0</v>
      </c>
      <c r="AI549" s="1">
        <f t="shared" si="433"/>
        <v>0</v>
      </c>
      <c r="AJ549" s="1">
        <f t="shared" si="433"/>
        <v>0</v>
      </c>
      <c r="AK549" s="1">
        <f t="shared" si="433"/>
        <v>0</v>
      </c>
      <c r="AL549" s="1">
        <f t="shared" si="433"/>
        <v>0</v>
      </c>
      <c r="AM549" s="1">
        <f t="shared" si="433"/>
        <v>0</v>
      </c>
      <c r="AN549" s="1">
        <f t="shared" si="433"/>
        <v>0</v>
      </c>
      <c r="AO549" s="1">
        <f t="shared" si="433"/>
        <v>0</v>
      </c>
      <c r="AP549" s="1">
        <f t="shared" si="433"/>
        <v>0</v>
      </c>
      <c r="AQ549" s="1">
        <f t="shared" si="433"/>
        <v>0</v>
      </c>
      <c r="AR549" s="1">
        <f t="shared" si="433"/>
        <v>0</v>
      </c>
      <c r="AS549" s="1">
        <f t="shared" si="433"/>
        <v>1</v>
      </c>
      <c r="AT549" s="39">
        <f t="shared" si="403"/>
        <v>298065.38095451181</v>
      </c>
      <c r="AU549" s="39">
        <f t="shared" si="421"/>
        <v>298065.38095451181</v>
      </c>
      <c r="AV549" s="39">
        <f t="shared" si="432"/>
        <v>0</v>
      </c>
      <c r="AW549" s="3">
        <f t="shared" si="404"/>
        <v>475</v>
      </c>
      <c r="AX549" s="69">
        <f t="shared" si="422"/>
        <v>0</v>
      </c>
      <c r="AY549" s="75">
        <f t="shared" si="405"/>
        <v>0</v>
      </c>
      <c r="AZ549" s="75">
        <f t="shared" si="406"/>
        <v>0</v>
      </c>
      <c r="BA549" s="75">
        <f t="shared" si="407"/>
        <v>0</v>
      </c>
      <c r="BB549" s="75">
        <f t="shared" si="408"/>
        <v>0</v>
      </c>
      <c r="BD549" s="214">
        <f t="shared" si="423"/>
        <v>452870.50902681937</v>
      </c>
      <c r="BE549" s="214">
        <f t="shared" si="409"/>
        <v>2204.3701022406885</v>
      </c>
      <c r="BF549" s="214">
        <f t="shared" si="410"/>
        <v>-749.36095005363359</v>
      </c>
      <c r="BG549" s="224">
        <f t="shared" si="428"/>
        <v>0</v>
      </c>
      <c r="BH549" s="19">
        <f t="shared" si="424"/>
        <v>989095.26232307754</v>
      </c>
      <c r="BI549" s="214">
        <f t="shared" si="411"/>
        <v>4814.4712032988273</v>
      </c>
      <c r="BJ549" s="214">
        <f t="shared" si="412"/>
        <v>0</v>
      </c>
      <c r="BK549" s="19">
        <f t="shared" si="429"/>
        <v>0</v>
      </c>
    </row>
    <row r="550" spans="1:63">
      <c r="A550" s="165">
        <f t="shared" si="413"/>
        <v>101.63945927446954</v>
      </c>
      <c r="B550" s="69">
        <f t="shared" si="414"/>
        <v>40</v>
      </c>
      <c r="C550" s="70">
        <f t="shared" si="415"/>
        <v>476</v>
      </c>
      <c r="D550" s="13">
        <f t="shared" si="384"/>
        <v>4.8675505653430484E-3</v>
      </c>
      <c r="E550" s="15">
        <f t="shared" si="385"/>
        <v>1</v>
      </c>
      <c r="F550" s="15">
        <f t="shared" si="416"/>
        <v>0</v>
      </c>
      <c r="G550" s="15">
        <f t="shared" si="386"/>
        <v>0</v>
      </c>
      <c r="H550" s="73">
        <f t="shared" si="387"/>
        <v>0</v>
      </c>
      <c r="I550" s="189"/>
      <c r="J550" s="189"/>
      <c r="K550" s="5">
        <f t="shared" si="430"/>
        <v>298065.38095451181</v>
      </c>
      <c r="M550" s="5">
        <f t="shared" si="388"/>
        <v>1450.8483135743252</v>
      </c>
      <c r="N550" s="5">
        <f t="shared" si="389"/>
        <v>-493.20623135772291</v>
      </c>
      <c r="O550" s="5">
        <f t="shared" si="390"/>
        <v>0</v>
      </c>
      <c r="P550" s="5">
        <f t="shared" si="391"/>
        <v>0</v>
      </c>
      <c r="Q550" s="5">
        <f t="shared" si="425"/>
        <v>0</v>
      </c>
      <c r="R550" s="5">
        <f t="shared" si="417"/>
        <v>0</v>
      </c>
      <c r="S550" s="5">
        <f t="shared" si="392"/>
        <v>0</v>
      </c>
      <c r="T550" s="5">
        <f t="shared" si="393"/>
        <v>0</v>
      </c>
      <c r="U550" s="74">
        <f t="shared" si="394"/>
        <v>0</v>
      </c>
      <c r="V550" s="75">
        <f t="shared" si="395"/>
        <v>0</v>
      </c>
      <c r="W550" s="5">
        <f t="shared" si="396"/>
        <v>0</v>
      </c>
      <c r="X550" s="5">
        <f t="shared" si="397"/>
        <v>299023.02303672844</v>
      </c>
      <c r="Y550" s="5">
        <f t="shared" si="418"/>
        <v>100000</v>
      </c>
      <c r="Z550" s="215">
        <f t="shared" si="398"/>
        <v>1</v>
      </c>
      <c r="AA550" s="216">
        <f t="shared" si="419"/>
        <v>0</v>
      </c>
      <c r="AB550" s="72">
        <f t="shared" si="426"/>
        <v>75146.698411840829</v>
      </c>
      <c r="AC550" s="72">
        <f t="shared" si="399"/>
        <v>0</v>
      </c>
      <c r="AD550" s="72">
        <f t="shared" si="400"/>
        <v>0</v>
      </c>
      <c r="AE550" s="72">
        <f t="shared" si="420"/>
        <v>-62.268089848454743</v>
      </c>
      <c r="AF550" s="70">
        <f t="shared" si="401"/>
        <v>0</v>
      </c>
      <c r="AG550" s="70">
        <f t="shared" si="402"/>
        <v>29037.795738615489</v>
      </c>
      <c r="AH550" s="1">
        <f t="shared" si="433"/>
        <v>0</v>
      </c>
      <c r="AI550" s="1">
        <f t="shared" si="433"/>
        <v>0</v>
      </c>
      <c r="AJ550" s="1">
        <f t="shared" si="433"/>
        <v>0</v>
      </c>
      <c r="AK550" s="1">
        <f t="shared" si="433"/>
        <v>0</v>
      </c>
      <c r="AL550" s="1">
        <f t="shared" si="433"/>
        <v>0</v>
      </c>
      <c r="AM550" s="1">
        <f t="shared" si="433"/>
        <v>0</v>
      </c>
      <c r="AN550" s="1">
        <f t="shared" si="433"/>
        <v>0</v>
      </c>
      <c r="AO550" s="1">
        <f t="shared" si="433"/>
        <v>0</v>
      </c>
      <c r="AP550" s="1">
        <f t="shared" si="433"/>
        <v>0</v>
      </c>
      <c r="AQ550" s="1">
        <f t="shared" si="433"/>
        <v>0</v>
      </c>
      <c r="AR550" s="1">
        <f t="shared" si="433"/>
        <v>0</v>
      </c>
      <c r="AS550" s="1">
        <f t="shared" si="433"/>
        <v>1</v>
      </c>
      <c r="AT550" s="39">
        <f t="shared" si="403"/>
        <v>299023.02303672844</v>
      </c>
      <c r="AU550" s="39">
        <f t="shared" si="421"/>
        <v>299023.02303672844</v>
      </c>
      <c r="AV550" s="39">
        <f t="shared" si="432"/>
        <v>0</v>
      </c>
      <c r="AW550" s="3">
        <f t="shared" si="404"/>
        <v>476</v>
      </c>
      <c r="AX550" s="69">
        <f t="shared" si="422"/>
        <v>0</v>
      </c>
      <c r="AY550" s="75">
        <f t="shared" si="405"/>
        <v>0</v>
      </c>
      <c r="AZ550" s="75">
        <f t="shared" si="406"/>
        <v>0</v>
      </c>
      <c r="BA550" s="75">
        <f t="shared" si="407"/>
        <v>0</v>
      </c>
      <c r="BB550" s="75">
        <f t="shared" si="408"/>
        <v>0</v>
      </c>
      <c r="BD550" s="214">
        <f t="shared" si="423"/>
        <v>454325.51817900647</v>
      </c>
      <c r="BE550" s="214">
        <f t="shared" si="409"/>
        <v>2211.4524328619964</v>
      </c>
      <c r="BF550" s="214">
        <f t="shared" si="410"/>
        <v>-751.76854122790257</v>
      </c>
      <c r="BG550" s="224">
        <f t="shared" si="428"/>
        <v>0</v>
      </c>
      <c r="BH550" s="19">
        <f t="shared" si="424"/>
        <v>993909.73352637631</v>
      </c>
      <c r="BI550" s="214">
        <f t="shared" si="411"/>
        <v>4837.9058853262713</v>
      </c>
      <c r="BJ550" s="214">
        <f t="shared" si="412"/>
        <v>0</v>
      </c>
      <c r="BK550" s="19">
        <f t="shared" si="429"/>
        <v>0</v>
      </c>
    </row>
    <row r="551" spans="1:63">
      <c r="A551" s="165">
        <f t="shared" si="413"/>
        <v>101.72279260780287</v>
      </c>
      <c r="B551" s="69">
        <f t="shared" si="414"/>
        <v>40</v>
      </c>
      <c r="C551" s="70">
        <f t="shared" si="415"/>
        <v>477</v>
      </c>
      <c r="D551" s="13">
        <f t="shared" si="384"/>
        <v>4.8675505653430484E-3</v>
      </c>
      <c r="E551" s="15">
        <f t="shared" si="385"/>
        <v>1</v>
      </c>
      <c r="F551" s="15">
        <f t="shared" si="416"/>
        <v>0</v>
      </c>
      <c r="G551" s="15">
        <f t="shared" si="386"/>
        <v>0</v>
      </c>
      <c r="H551" s="73">
        <f t="shared" si="387"/>
        <v>0</v>
      </c>
      <c r="I551" s="189"/>
      <c r="J551" s="189"/>
      <c r="K551" s="5">
        <f t="shared" si="430"/>
        <v>299023.02303672844</v>
      </c>
      <c r="M551" s="5">
        <f t="shared" si="388"/>
        <v>1455.5096848330149</v>
      </c>
      <c r="N551" s="5">
        <f t="shared" si="389"/>
        <v>-494.79083350389328</v>
      </c>
      <c r="O551" s="5">
        <f t="shared" si="390"/>
        <v>0</v>
      </c>
      <c r="P551" s="5">
        <f t="shared" si="391"/>
        <v>0</v>
      </c>
      <c r="Q551" s="5">
        <f t="shared" si="425"/>
        <v>0</v>
      </c>
      <c r="R551" s="5">
        <f t="shared" si="417"/>
        <v>0</v>
      </c>
      <c r="S551" s="5">
        <f t="shared" si="392"/>
        <v>0</v>
      </c>
      <c r="T551" s="5">
        <f t="shared" si="393"/>
        <v>0</v>
      </c>
      <c r="U551" s="74">
        <f t="shared" si="394"/>
        <v>0</v>
      </c>
      <c r="V551" s="75">
        <f t="shared" si="395"/>
        <v>0</v>
      </c>
      <c r="W551" s="5">
        <f t="shared" si="396"/>
        <v>0</v>
      </c>
      <c r="X551" s="5">
        <f t="shared" si="397"/>
        <v>299983.74188805756</v>
      </c>
      <c r="Y551" s="5">
        <f t="shared" si="418"/>
        <v>100000</v>
      </c>
      <c r="Z551" s="215">
        <f t="shared" si="398"/>
        <v>1</v>
      </c>
      <c r="AA551" s="216">
        <f t="shared" si="419"/>
        <v>0</v>
      </c>
      <c r="AB551" s="72">
        <f t="shared" si="426"/>
        <v>75146.698411840829</v>
      </c>
      <c r="AC551" s="72">
        <f t="shared" si="399"/>
        <v>0</v>
      </c>
      <c r="AD551" s="72">
        <f t="shared" si="400"/>
        <v>0</v>
      </c>
      <c r="AE551" s="72">
        <f t="shared" si="420"/>
        <v>-62.468148449782973</v>
      </c>
      <c r="AF551" s="70">
        <f t="shared" si="401"/>
        <v>0</v>
      </c>
      <c r="AG551" s="70">
        <f t="shared" si="402"/>
        <v>29402.868902120565</v>
      </c>
      <c r="AH551" s="1">
        <f t="shared" si="433"/>
        <v>0</v>
      </c>
      <c r="AI551" s="1">
        <f t="shared" si="433"/>
        <v>0</v>
      </c>
      <c r="AJ551" s="1">
        <f t="shared" si="433"/>
        <v>0</v>
      </c>
      <c r="AK551" s="1">
        <f t="shared" si="433"/>
        <v>0</v>
      </c>
      <c r="AL551" s="1">
        <f t="shared" si="433"/>
        <v>0</v>
      </c>
      <c r="AM551" s="1">
        <f t="shared" si="433"/>
        <v>0</v>
      </c>
      <c r="AN551" s="1">
        <f t="shared" si="433"/>
        <v>0</v>
      </c>
      <c r="AO551" s="1">
        <f t="shared" si="433"/>
        <v>0</v>
      </c>
      <c r="AP551" s="1">
        <f t="shared" si="433"/>
        <v>0</v>
      </c>
      <c r="AQ551" s="1">
        <f t="shared" si="433"/>
        <v>0</v>
      </c>
      <c r="AR551" s="1">
        <f t="shared" si="433"/>
        <v>0</v>
      </c>
      <c r="AS551" s="1">
        <f t="shared" si="433"/>
        <v>1</v>
      </c>
      <c r="AT551" s="39">
        <f t="shared" si="403"/>
        <v>299983.74188805756</v>
      </c>
      <c r="AU551" s="39">
        <f t="shared" si="421"/>
        <v>299983.74188805756</v>
      </c>
      <c r="AV551" s="39">
        <f t="shared" si="432"/>
        <v>0</v>
      </c>
      <c r="AW551" s="3">
        <f t="shared" si="404"/>
        <v>477</v>
      </c>
      <c r="AX551" s="69">
        <f t="shared" si="422"/>
        <v>0</v>
      </c>
      <c r="AY551" s="75">
        <f t="shared" si="405"/>
        <v>0</v>
      </c>
      <c r="AZ551" s="75">
        <f t="shared" si="406"/>
        <v>0</v>
      </c>
      <c r="BA551" s="75">
        <f t="shared" si="407"/>
        <v>0</v>
      </c>
      <c r="BB551" s="75">
        <f t="shared" si="408"/>
        <v>0</v>
      </c>
      <c r="BD551" s="214">
        <f t="shared" si="423"/>
        <v>455785.20207064057</v>
      </c>
      <c r="BE551" s="214">
        <f t="shared" si="409"/>
        <v>2218.5575180139422</v>
      </c>
      <c r="BF551" s="214">
        <f t="shared" si="410"/>
        <v>-754.18386765347066</v>
      </c>
      <c r="BG551" s="224">
        <f t="shared" si="428"/>
        <v>0</v>
      </c>
      <c r="BH551" s="19">
        <f t="shared" si="424"/>
        <v>998747.63941170264</v>
      </c>
      <c r="BI551" s="214">
        <f t="shared" si="411"/>
        <v>4861.4546368534684</v>
      </c>
      <c r="BJ551" s="214">
        <f t="shared" si="412"/>
        <v>0</v>
      </c>
      <c r="BK551" s="19">
        <f t="shared" si="429"/>
        <v>0</v>
      </c>
    </row>
    <row r="552" spans="1:63">
      <c r="A552" s="165">
        <f t="shared" si="413"/>
        <v>101.8061259411362</v>
      </c>
      <c r="B552" s="69">
        <f t="shared" si="414"/>
        <v>40</v>
      </c>
      <c r="C552" s="70">
        <f t="shared" si="415"/>
        <v>478</v>
      </c>
      <c r="D552" s="13">
        <f t="shared" si="384"/>
        <v>4.8675505653430484E-3</v>
      </c>
      <c r="E552" s="15">
        <f t="shared" si="385"/>
        <v>1</v>
      </c>
      <c r="F552" s="15">
        <f t="shared" si="416"/>
        <v>0</v>
      </c>
      <c r="G552" s="15">
        <f t="shared" si="386"/>
        <v>0</v>
      </c>
      <c r="H552" s="73">
        <f t="shared" si="387"/>
        <v>0</v>
      </c>
      <c r="I552" s="189"/>
      <c r="J552" s="189"/>
      <c r="K552" s="5">
        <f t="shared" si="430"/>
        <v>299983.74188805756</v>
      </c>
      <c r="M552" s="5">
        <f t="shared" si="388"/>
        <v>1460.1860324209376</v>
      </c>
      <c r="N552" s="5">
        <f t="shared" si="389"/>
        <v>-496.38052675354538</v>
      </c>
      <c r="O552" s="5">
        <f t="shared" si="390"/>
        <v>0</v>
      </c>
      <c r="P552" s="5">
        <f t="shared" si="391"/>
        <v>0</v>
      </c>
      <c r="Q552" s="5">
        <f t="shared" si="425"/>
        <v>0</v>
      </c>
      <c r="R552" s="5">
        <f t="shared" si="417"/>
        <v>0</v>
      </c>
      <c r="S552" s="5">
        <f t="shared" si="392"/>
        <v>0</v>
      </c>
      <c r="T552" s="5">
        <f t="shared" si="393"/>
        <v>0</v>
      </c>
      <c r="U552" s="74">
        <f t="shared" si="394"/>
        <v>0</v>
      </c>
      <c r="V552" s="75">
        <f t="shared" si="395"/>
        <v>0</v>
      </c>
      <c r="W552" s="5">
        <f t="shared" si="396"/>
        <v>0</v>
      </c>
      <c r="X552" s="5">
        <f t="shared" si="397"/>
        <v>300947.54739372496</v>
      </c>
      <c r="Y552" s="5">
        <f t="shared" si="418"/>
        <v>100000</v>
      </c>
      <c r="Z552" s="215">
        <f t="shared" si="398"/>
        <v>1</v>
      </c>
      <c r="AA552" s="216">
        <f t="shared" si="419"/>
        <v>0</v>
      </c>
      <c r="AB552" s="72">
        <f t="shared" si="426"/>
        <v>75146.698411840829</v>
      </c>
      <c r="AC552" s="72">
        <f t="shared" si="399"/>
        <v>0</v>
      </c>
      <c r="AD552" s="72">
        <f t="shared" si="400"/>
        <v>0</v>
      </c>
      <c r="AE552" s="72">
        <f t="shared" si="420"/>
        <v>-62.668849811216148</v>
      </c>
      <c r="AF552" s="70">
        <f t="shared" si="401"/>
        <v>0</v>
      </c>
      <c r="AG552" s="70">
        <f t="shared" si="402"/>
        <v>29769.114994274176</v>
      </c>
      <c r="AH552" s="1">
        <f t="shared" si="433"/>
        <v>0</v>
      </c>
      <c r="AI552" s="1">
        <f t="shared" si="433"/>
        <v>0</v>
      </c>
      <c r="AJ552" s="1">
        <f t="shared" si="433"/>
        <v>0</v>
      </c>
      <c r="AK552" s="1">
        <f t="shared" si="433"/>
        <v>0</v>
      </c>
      <c r="AL552" s="1">
        <f t="shared" si="433"/>
        <v>0</v>
      </c>
      <c r="AM552" s="1">
        <f t="shared" si="433"/>
        <v>0</v>
      </c>
      <c r="AN552" s="1">
        <f t="shared" si="433"/>
        <v>0</v>
      </c>
      <c r="AO552" s="1">
        <f t="shared" si="433"/>
        <v>0</v>
      </c>
      <c r="AP552" s="1">
        <f t="shared" si="433"/>
        <v>0</v>
      </c>
      <c r="AQ552" s="1">
        <f t="shared" si="433"/>
        <v>0</v>
      </c>
      <c r="AR552" s="1">
        <f t="shared" si="433"/>
        <v>0</v>
      </c>
      <c r="AS552" s="1">
        <f t="shared" si="433"/>
        <v>1</v>
      </c>
      <c r="AT552" s="39">
        <f t="shared" si="403"/>
        <v>300947.54739372496</v>
      </c>
      <c r="AU552" s="39">
        <f t="shared" si="421"/>
        <v>300947.54739372496</v>
      </c>
      <c r="AV552" s="39">
        <f t="shared" si="432"/>
        <v>0</v>
      </c>
      <c r="AW552" s="3">
        <f t="shared" si="404"/>
        <v>478</v>
      </c>
      <c r="AX552" s="69">
        <f t="shared" si="422"/>
        <v>0</v>
      </c>
      <c r="AY552" s="75">
        <f t="shared" si="405"/>
        <v>0</v>
      </c>
      <c r="AZ552" s="75">
        <f t="shared" si="406"/>
        <v>0</v>
      </c>
      <c r="BA552" s="75">
        <f t="shared" si="407"/>
        <v>0</v>
      </c>
      <c r="BB552" s="75">
        <f t="shared" si="408"/>
        <v>0</v>
      </c>
      <c r="BD552" s="214">
        <f t="shared" si="423"/>
        <v>457249.57572100102</v>
      </c>
      <c r="BE552" s="214">
        <f t="shared" si="409"/>
        <v>2225.6854308036277</v>
      </c>
      <c r="BF552" s="214">
        <f t="shared" si="410"/>
        <v>-756.60695418261048</v>
      </c>
      <c r="BG552" s="224">
        <f t="shared" si="428"/>
        <v>0</v>
      </c>
      <c r="BH552" s="19">
        <f t="shared" si="424"/>
        <v>1003609.0940485561</v>
      </c>
      <c r="BI552" s="214">
        <f t="shared" si="411"/>
        <v>4885.1180131194733</v>
      </c>
      <c r="BJ552" s="214">
        <f t="shared" si="412"/>
        <v>0</v>
      </c>
      <c r="BK552" s="19">
        <f t="shared" si="429"/>
        <v>0</v>
      </c>
    </row>
    <row r="553" spans="1:63">
      <c r="A553" s="165">
        <f t="shared" si="413"/>
        <v>101.88945927446954</v>
      </c>
      <c r="B553" s="69">
        <f t="shared" si="414"/>
        <v>40</v>
      </c>
      <c r="C553" s="70">
        <f t="shared" si="415"/>
        <v>479</v>
      </c>
      <c r="D553" s="13">
        <f t="shared" si="384"/>
        <v>4.8675505653430484E-3</v>
      </c>
      <c r="E553" s="15">
        <f t="shared" si="385"/>
        <v>1</v>
      </c>
      <c r="F553" s="15">
        <f t="shared" si="416"/>
        <v>0</v>
      </c>
      <c r="G553" s="15">
        <f t="shared" si="386"/>
        <v>0</v>
      </c>
      <c r="H553" s="73">
        <f t="shared" si="387"/>
        <v>0</v>
      </c>
      <c r="I553" s="189"/>
      <c r="J553" s="189"/>
      <c r="K553" s="5">
        <f t="shared" si="430"/>
        <v>300947.54739372496</v>
      </c>
      <c r="M553" s="5">
        <f t="shared" si="388"/>
        <v>1464.8774044549298</v>
      </c>
      <c r="N553" s="5">
        <f t="shared" si="389"/>
        <v>-497.9753274636775</v>
      </c>
      <c r="O553" s="5">
        <f t="shared" si="390"/>
        <v>0</v>
      </c>
      <c r="P553" s="5">
        <f t="shared" si="391"/>
        <v>0</v>
      </c>
      <c r="Q553" s="5">
        <f t="shared" si="425"/>
        <v>0</v>
      </c>
      <c r="R553" s="5">
        <f t="shared" si="417"/>
        <v>0</v>
      </c>
      <c r="S553" s="5">
        <f t="shared" si="392"/>
        <v>0</v>
      </c>
      <c r="T553" s="5">
        <f t="shared" si="393"/>
        <v>0</v>
      </c>
      <c r="U553" s="74">
        <f t="shared" si="394"/>
        <v>0</v>
      </c>
      <c r="V553" s="75">
        <f t="shared" si="395"/>
        <v>0</v>
      </c>
      <c r="W553" s="5">
        <f t="shared" si="396"/>
        <v>0</v>
      </c>
      <c r="X553" s="5">
        <f t="shared" si="397"/>
        <v>301914.44947071618</v>
      </c>
      <c r="Y553" s="5">
        <f t="shared" si="418"/>
        <v>100000</v>
      </c>
      <c r="Z553" s="215">
        <f t="shared" si="398"/>
        <v>1</v>
      </c>
      <c r="AA553" s="216">
        <f t="shared" si="419"/>
        <v>0</v>
      </c>
      <c r="AB553" s="72">
        <f t="shared" si="426"/>
        <v>75146.698411840829</v>
      </c>
      <c r="AC553" s="72">
        <f t="shared" si="399"/>
        <v>0</v>
      </c>
      <c r="AD553" s="72">
        <f t="shared" si="400"/>
        <v>0</v>
      </c>
      <c r="AE553" s="72">
        <f t="shared" si="420"/>
        <v>-62.87019599785193</v>
      </c>
      <c r="AF553" s="70">
        <f t="shared" si="401"/>
        <v>0</v>
      </c>
      <c r="AG553" s="70">
        <f t="shared" si="402"/>
        <v>30136.537783530832</v>
      </c>
      <c r="AH553" s="1">
        <f t="shared" si="433"/>
        <v>0</v>
      </c>
      <c r="AI553" s="1">
        <f t="shared" si="433"/>
        <v>0</v>
      </c>
      <c r="AJ553" s="1">
        <f t="shared" si="433"/>
        <v>0</v>
      </c>
      <c r="AK553" s="1">
        <f t="shared" si="433"/>
        <v>0</v>
      </c>
      <c r="AL553" s="1">
        <f t="shared" si="433"/>
        <v>0</v>
      </c>
      <c r="AM553" s="1">
        <f t="shared" si="433"/>
        <v>0</v>
      </c>
      <c r="AN553" s="1">
        <f t="shared" si="433"/>
        <v>0</v>
      </c>
      <c r="AO553" s="1">
        <f t="shared" si="433"/>
        <v>0</v>
      </c>
      <c r="AP553" s="1">
        <f t="shared" si="433"/>
        <v>0</v>
      </c>
      <c r="AQ553" s="1">
        <f t="shared" si="433"/>
        <v>0</v>
      </c>
      <c r="AR553" s="1">
        <f t="shared" si="433"/>
        <v>0</v>
      </c>
      <c r="AS553" s="1">
        <f t="shared" si="433"/>
        <v>1</v>
      </c>
      <c r="AT553" s="39">
        <f t="shared" si="403"/>
        <v>301914.44947071618</v>
      </c>
      <c r="AU553" s="39">
        <f t="shared" si="421"/>
        <v>301914.44947071618</v>
      </c>
      <c r="AV553" s="39">
        <f t="shared" si="432"/>
        <v>0</v>
      </c>
      <c r="AW553" s="3">
        <f t="shared" si="404"/>
        <v>479</v>
      </c>
      <c r="AX553" s="69">
        <f t="shared" si="422"/>
        <v>0</v>
      </c>
      <c r="AY553" s="75">
        <f t="shared" si="405"/>
        <v>0</v>
      </c>
      <c r="AZ553" s="75">
        <f t="shared" si="406"/>
        <v>0</v>
      </c>
      <c r="BA553" s="75">
        <f t="shared" si="407"/>
        <v>0</v>
      </c>
      <c r="BB553" s="75">
        <f t="shared" si="408"/>
        <v>0</v>
      </c>
      <c r="BD553" s="214">
        <f t="shared" si="423"/>
        <v>458718.65419762203</v>
      </c>
      <c r="BE553" s="214">
        <f t="shared" si="409"/>
        <v>2232.8362445730377</v>
      </c>
      <c r="BF553" s="214">
        <f t="shared" si="410"/>
        <v>-759.03782574744196</v>
      </c>
      <c r="BG553" s="224">
        <f t="shared" si="428"/>
        <v>0</v>
      </c>
      <c r="BH553" s="19">
        <f t="shared" si="424"/>
        <v>1008494.2120616755</v>
      </c>
      <c r="BI553" s="214">
        <f t="shared" si="411"/>
        <v>4908.8965720660008</v>
      </c>
      <c r="BJ553" s="214">
        <f t="shared" si="412"/>
        <v>0</v>
      </c>
      <c r="BK553" s="19">
        <f t="shared" si="429"/>
        <v>0</v>
      </c>
    </row>
    <row r="554" spans="1:63">
      <c r="A554" s="165">
        <f t="shared" si="413"/>
        <v>101.97279260780287</v>
      </c>
      <c r="B554" s="69">
        <f t="shared" si="414"/>
        <v>40</v>
      </c>
      <c r="C554" s="70">
        <f t="shared" si="415"/>
        <v>480</v>
      </c>
      <c r="D554" s="13">
        <f t="shared" si="384"/>
        <v>4.8675505653430484E-3</v>
      </c>
      <c r="E554" s="15">
        <f t="shared" si="385"/>
        <v>1</v>
      </c>
      <c r="F554" s="15">
        <f t="shared" si="416"/>
        <v>1</v>
      </c>
      <c r="G554" s="15">
        <f t="shared" si="386"/>
        <v>0</v>
      </c>
      <c r="H554" s="73">
        <f t="shared" si="387"/>
        <v>0</v>
      </c>
      <c r="I554" s="189"/>
      <c r="J554" s="189"/>
      <c r="K554" s="5">
        <f t="shared" si="430"/>
        <v>301914.44947071618</v>
      </c>
      <c r="M554" s="5">
        <f t="shared" si="388"/>
        <v>1469.5838492064197</v>
      </c>
      <c r="N554" s="5">
        <f t="shared" si="389"/>
        <v>-499.57525204384052</v>
      </c>
      <c r="O554" s="5">
        <f t="shared" si="390"/>
        <v>0</v>
      </c>
      <c r="P554" s="5">
        <f t="shared" si="391"/>
        <v>0</v>
      </c>
      <c r="Q554" s="5">
        <f t="shared" si="425"/>
        <v>0</v>
      </c>
      <c r="R554" s="5">
        <f t="shared" si="417"/>
        <v>0</v>
      </c>
      <c r="S554" s="5">
        <f t="shared" si="392"/>
        <v>0</v>
      </c>
      <c r="T554" s="5">
        <f t="shared" si="393"/>
        <v>0</v>
      </c>
      <c r="U554" s="74">
        <f t="shared" si="394"/>
        <v>0</v>
      </c>
      <c r="V554" s="75">
        <f t="shared" si="395"/>
        <v>0</v>
      </c>
      <c r="W554" s="5">
        <f t="shared" si="396"/>
        <v>0</v>
      </c>
      <c r="X554" s="5">
        <f t="shared" si="397"/>
        <v>302884.45806787873</v>
      </c>
      <c r="Y554" s="5">
        <f t="shared" si="418"/>
        <v>100000</v>
      </c>
      <c r="Z554" s="215">
        <f t="shared" si="398"/>
        <v>1</v>
      </c>
      <c r="AA554" s="216">
        <f t="shared" si="419"/>
        <v>0</v>
      </c>
      <c r="AB554" s="72">
        <f t="shared" si="426"/>
        <v>75146.698411840829</v>
      </c>
      <c r="AC554" s="72">
        <f t="shared" si="399"/>
        <v>-30505.141050452599</v>
      </c>
      <c r="AD554" s="72">
        <f t="shared" si="400"/>
        <v>0</v>
      </c>
      <c r="AE554" s="72">
        <f t="shared" si="420"/>
        <v>-63.072189081422856</v>
      </c>
      <c r="AF554" s="70">
        <f t="shared" si="401"/>
        <v>0</v>
      </c>
      <c r="AG554" s="70">
        <f t="shared" si="402"/>
        <v>0</v>
      </c>
      <c r="AH554" s="1">
        <f t="shared" si="433"/>
        <v>0</v>
      </c>
      <c r="AI554" s="1">
        <f t="shared" si="433"/>
        <v>0</v>
      </c>
      <c r="AJ554" s="1">
        <f t="shared" si="433"/>
        <v>0</v>
      </c>
      <c r="AK554" s="1">
        <f t="shared" si="433"/>
        <v>0</v>
      </c>
      <c r="AL554" s="1">
        <f t="shared" si="433"/>
        <v>0</v>
      </c>
      <c r="AM554" s="1">
        <f t="shared" si="433"/>
        <v>0</v>
      </c>
      <c r="AN554" s="1">
        <f t="shared" si="433"/>
        <v>0</v>
      </c>
      <c r="AO554" s="1">
        <f t="shared" si="433"/>
        <v>0</v>
      </c>
      <c r="AP554" s="1">
        <f t="shared" si="433"/>
        <v>0</v>
      </c>
      <c r="AQ554" s="1">
        <f t="shared" si="433"/>
        <v>0</v>
      </c>
      <c r="AR554" s="1">
        <f t="shared" si="433"/>
        <v>0</v>
      </c>
      <c r="AS554" s="1">
        <f t="shared" si="433"/>
        <v>1</v>
      </c>
      <c r="AT554" s="39">
        <f t="shared" si="403"/>
        <v>272379.31701742613</v>
      </c>
      <c r="AU554" s="39">
        <f t="shared" si="421"/>
        <v>302884.45806787873</v>
      </c>
      <c r="AV554" s="39">
        <f t="shared" si="432"/>
        <v>0</v>
      </c>
      <c r="AW554" s="3">
        <f t="shared" si="404"/>
        <v>480</v>
      </c>
      <c r="AX554" s="69">
        <f t="shared" si="422"/>
        <v>0</v>
      </c>
      <c r="AY554" s="75">
        <f t="shared" si="405"/>
        <v>0</v>
      </c>
      <c r="AZ554" s="75">
        <f t="shared" si="406"/>
        <v>0</v>
      </c>
      <c r="BA554" s="75">
        <f t="shared" si="407"/>
        <v>0</v>
      </c>
      <c r="BB554" s="75">
        <f t="shared" si="408"/>
        <v>0</v>
      </c>
      <c r="BD554" s="214">
        <f t="shared" si="423"/>
        <v>460192.45261644764</v>
      </c>
      <c r="BE554" s="214">
        <f t="shared" si="409"/>
        <v>2240.0100328997937</v>
      </c>
      <c r="BF554" s="214">
        <f t="shared" si="410"/>
        <v>-761.47650736018818</v>
      </c>
      <c r="BG554" s="224">
        <f t="shared" si="428"/>
        <v>0</v>
      </c>
      <c r="BH554" s="19">
        <f t="shared" si="424"/>
        <v>1013403.1086337415</v>
      </c>
      <c r="BI554" s="214">
        <f t="shared" si="411"/>
        <v>4932.7908743505714</v>
      </c>
      <c r="BJ554" s="214">
        <f t="shared" si="412"/>
        <v>0</v>
      </c>
      <c r="BK554" s="19">
        <f t="shared" si="429"/>
        <v>0</v>
      </c>
    </row>
    <row r="555" spans="1:63">
      <c r="A555" s="165">
        <f t="shared" si="413"/>
        <v>102.0561259411362</v>
      </c>
      <c r="B555" s="69">
        <f t="shared" si="414"/>
        <v>41</v>
      </c>
      <c r="C555" s="70">
        <f t="shared" si="415"/>
        <v>481</v>
      </c>
      <c r="D555" s="13">
        <f t="shared" si="384"/>
        <v>4.8675505653430484E-3</v>
      </c>
      <c r="E555" s="15">
        <f t="shared" si="385"/>
        <v>1</v>
      </c>
      <c r="F555" s="15">
        <f t="shared" si="416"/>
        <v>0</v>
      </c>
      <c r="G555" s="15">
        <f t="shared" si="386"/>
        <v>0</v>
      </c>
      <c r="H555" s="73">
        <f t="shared" si="387"/>
        <v>0</v>
      </c>
      <c r="I555" s="189"/>
      <c r="J555" s="189"/>
      <c r="K555" s="5">
        <f t="shared" si="430"/>
        <v>272379.31701742613</v>
      </c>
      <c r="M555" s="5">
        <f t="shared" si="388"/>
        <v>1325.820098535926</v>
      </c>
      <c r="N555" s="5">
        <f t="shared" si="389"/>
        <v>-450.70372149812636</v>
      </c>
      <c r="O555" s="5">
        <f t="shared" si="390"/>
        <v>0</v>
      </c>
      <c r="P555" s="5">
        <f t="shared" si="391"/>
        <v>0</v>
      </c>
      <c r="Q555" s="5">
        <f t="shared" si="425"/>
        <v>0</v>
      </c>
      <c r="R555" s="5">
        <f t="shared" si="417"/>
        <v>0</v>
      </c>
      <c r="S555" s="5">
        <f t="shared" si="392"/>
        <v>0</v>
      </c>
      <c r="T555" s="5">
        <f t="shared" si="393"/>
        <v>0</v>
      </c>
      <c r="U555" s="74">
        <f t="shared" si="394"/>
        <v>0</v>
      </c>
      <c r="V555" s="75">
        <f t="shared" si="395"/>
        <v>0</v>
      </c>
      <c r="W555" s="5">
        <f t="shared" si="396"/>
        <v>0</v>
      </c>
      <c r="X555" s="5">
        <f t="shared" si="397"/>
        <v>273254.43339446391</v>
      </c>
      <c r="Y555" s="5">
        <f t="shared" si="418"/>
        <v>100000</v>
      </c>
      <c r="Z555" s="215">
        <f t="shared" si="398"/>
        <v>1</v>
      </c>
      <c r="AA555" s="216">
        <f t="shared" si="419"/>
        <v>0</v>
      </c>
      <c r="AB555" s="72">
        <f t="shared" si="426"/>
        <v>105651.83946229343</v>
      </c>
      <c r="AC555" s="72">
        <f t="shared" si="399"/>
        <v>0</v>
      </c>
      <c r="AD555" s="72">
        <f t="shared" si="400"/>
        <v>0</v>
      </c>
      <c r="AE555" s="72">
        <f t="shared" si="420"/>
        <v>-56.902078767376885</v>
      </c>
      <c r="AF555" s="70">
        <f t="shared" si="401"/>
        <v>0</v>
      </c>
      <c r="AG555" s="70">
        <f t="shared" si="402"/>
        <v>332.54422327436623</v>
      </c>
      <c r="AH555" s="1">
        <f t="shared" ref="AH555:AS564" si="434">IF($B555&lt;=AH$74,1,0)</f>
        <v>0</v>
      </c>
      <c r="AI555" s="1">
        <f t="shared" si="434"/>
        <v>0</v>
      </c>
      <c r="AJ555" s="1">
        <f t="shared" si="434"/>
        <v>0</v>
      </c>
      <c r="AK555" s="1">
        <f t="shared" si="434"/>
        <v>0</v>
      </c>
      <c r="AL555" s="1">
        <f t="shared" si="434"/>
        <v>0</v>
      </c>
      <c r="AM555" s="1">
        <f t="shared" si="434"/>
        <v>0</v>
      </c>
      <c r="AN555" s="1">
        <f t="shared" si="434"/>
        <v>0</v>
      </c>
      <c r="AO555" s="1">
        <f t="shared" si="434"/>
        <v>0</v>
      </c>
      <c r="AP555" s="1">
        <f t="shared" si="434"/>
        <v>0</v>
      </c>
      <c r="AQ555" s="1">
        <f t="shared" si="434"/>
        <v>0</v>
      </c>
      <c r="AR555" s="1">
        <f t="shared" si="434"/>
        <v>0</v>
      </c>
      <c r="AS555" s="1">
        <f t="shared" si="434"/>
        <v>0</v>
      </c>
      <c r="AT555" s="39">
        <f t="shared" si="403"/>
        <v>273254.43339446391</v>
      </c>
      <c r="AU555" s="39">
        <f t="shared" si="421"/>
        <v>273254.43339446391</v>
      </c>
      <c r="AV555" s="39">
        <f t="shared" si="432"/>
        <v>0</v>
      </c>
      <c r="AW555" s="3">
        <f t="shared" si="404"/>
        <v>481</v>
      </c>
      <c r="AX555" s="69">
        <f t="shared" si="422"/>
        <v>0</v>
      </c>
      <c r="AY555" s="75">
        <f t="shared" si="405"/>
        <v>0</v>
      </c>
      <c r="AZ555" s="75">
        <f t="shared" si="406"/>
        <v>0</v>
      </c>
      <c r="BA555" s="75">
        <f t="shared" si="407"/>
        <v>0</v>
      </c>
      <c r="BB555" s="75">
        <f t="shared" si="408"/>
        <v>0</v>
      </c>
      <c r="BD555" s="214">
        <f t="shared" si="423"/>
        <v>461670.98614198726</v>
      </c>
      <c r="BE555" s="214">
        <f t="shared" si="409"/>
        <v>2247.2068695979128</v>
      </c>
      <c r="BF555" s="214">
        <f t="shared" si="410"/>
        <v>-763.92302411343269</v>
      </c>
      <c r="BG555" s="224">
        <f t="shared" si="428"/>
        <v>0</v>
      </c>
      <c r="BH555" s="19">
        <f t="shared" si="424"/>
        <v>1018335.8995080921</v>
      </c>
      <c r="BI555" s="214">
        <f t="shared" si="411"/>
        <v>4956.8014833597354</v>
      </c>
      <c r="BJ555" s="214">
        <f t="shared" si="412"/>
        <v>0</v>
      </c>
      <c r="BK555" s="19">
        <f t="shared" si="429"/>
        <v>0</v>
      </c>
    </row>
    <row r="556" spans="1:63">
      <c r="A556" s="165">
        <f t="shared" si="413"/>
        <v>102.13945927446954</v>
      </c>
      <c r="B556" s="69">
        <f t="shared" si="414"/>
        <v>41</v>
      </c>
      <c r="C556" s="70">
        <f t="shared" si="415"/>
        <v>482</v>
      </c>
      <c r="D556" s="13">
        <f t="shared" si="384"/>
        <v>4.8675505653430484E-3</v>
      </c>
      <c r="E556" s="15">
        <f t="shared" si="385"/>
        <v>1</v>
      </c>
      <c r="F556" s="15">
        <f t="shared" si="416"/>
        <v>0</v>
      </c>
      <c r="G556" s="15">
        <f t="shared" si="386"/>
        <v>0</v>
      </c>
      <c r="H556" s="73">
        <f t="shared" si="387"/>
        <v>0</v>
      </c>
      <c r="I556" s="189"/>
      <c r="J556" s="189"/>
      <c r="K556" s="5">
        <f t="shared" si="430"/>
        <v>273254.43339446391</v>
      </c>
      <c r="M556" s="5">
        <f t="shared" si="388"/>
        <v>1330.0797717517171</v>
      </c>
      <c r="N556" s="5">
        <f t="shared" si="389"/>
        <v>-452.15176906720683</v>
      </c>
      <c r="O556" s="5">
        <f t="shared" si="390"/>
        <v>0</v>
      </c>
      <c r="P556" s="5">
        <f t="shared" si="391"/>
        <v>0</v>
      </c>
      <c r="Q556" s="5">
        <f t="shared" si="425"/>
        <v>0</v>
      </c>
      <c r="R556" s="5">
        <f t="shared" si="417"/>
        <v>0</v>
      </c>
      <c r="S556" s="5">
        <f t="shared" si="392"/>
        <v>0</v>
      </c>
      <c r="T556" s="5">
        <f t="shared" si="393"/>
        <v>0</v>
      </c>
      <c r="U556" s="74">
        <f t="shared" si="394"/>
        <v>0</v>
      </c>
      <c r="V556" s="75">
        <f t="shared" si="395"/>
        <v>0</v>
      </c>
      <c r="W556" s="5">
        <f t="shared" si="396"/>
        <v>0</v>
      </c>
      <c r="X556" s="5">
        <f t="shared" si="397"/>
        <v>274132.3613971484</v>
      </c>
      <c r="Y556" s="5">
        <f t="shared" si="418"/>
        <v>100000</v>
      </c>
      <c r="Z556" s="215">
        <f t="shared" si="398"/>
        <v>1</v>
      </c>
      <c r="AA556" s="216">
        <f t="shared" si="419"/>
        <v>0</v>
      </c>
      <c r="AB556" s="72">
        <f t="shared" si="426"/>
        <v>105651.83946229343</v>
      </c>
      <c r="AC556" s="72">
        <f t="shared" si="399"/>
        <v>0</v>
      </c>
      <c r="AD556" s="72">
        <f t="shared" si="400"/>
        <v>0</v>
      </c>
      <c r="AE556" s="72">
        <f t="shared" si="420"/>
        <v>-57.084897130981346</v>
      </c>
      <c r="AF556" s="70">
        <f t="shared" si="401"/>
        <v>0</v>
      </c>
      <c r="AG556" s="70">
        <f t="shared" si="402"/>
        <v>666.15686429446214</v>
      </c>
      <c r="AH556" s="1">
        <f t="shared" si="434"/>
        <v>0</v>
      </c>
      <c r="AI556" s="1">
        <f t="shared" si="434"/>
        <v>0</v>
      </c>
      <c r="AJ556" s="1">
        <f t="shared" si="434"/>
        <v>0</v>
      </c>
      <c r="AK556" s="1">
        <f t="shared" si="434"/>
        <v>0</v>
      </c>
      <c r="AL556" s="1">
        <f t="shared" si="434"/>
        <v>0</v>
      </c>
      <c r="AM556" s="1">
        <f t="shared" si="434"/>
        <v>0</v>
      </c>
      <c r="AN556" s="1">
        <f t="shared" si="434"/>
        <v>0</v>
      </c>
      <c r="AO556" s="1">
        <f t="shared" si="434"/>
        <v>0</v>
      </c>
      <c r="AP556" s="1">
        <f t="shared" si="434"/>
        <v>0</v>
      </c>
      <c r="AQ556" s="1">
        <f t="shared" si="434"/>
        <v>0</v>
      </c>
      <c r="AR556" s="1">
        <f t="shared" si="434"/>
        <v>0</v>
      </c>
      <c r="AS556" s="1">
        <f t="shared" si="434"/>
        <v>0</v>
      </c>
      <c r="AT556" s="39">
        <f t="shared" si="403"/>
        <v>274132.3613971484</v>
      </c>
      <c r="AU556" s="39">
        <f t="shared" si="421"/>
        <v>274132.3613971484</v>
      </c>
      <c r="AV556" s="39">
        <f t="shared" si="432"/>
        <v>0</v>
      </c>
      <c r="AW556" s="3">
        <f t="shared" si="404"/>
        <v>482</v>
      </c>
      <c r="AX556" s="69">
        <f t="shared" si="422"/>
        <v>0</v>
      </c>
      <c r="AY556" s="75">
        <f t="shared" si="405"/>
        <v>0</v>
      </c>
      <c r="AZ556" s="75">
        <f t="shared" si="406"/>
        <v>0</v>
      </c>
      <c r="BA556" s="75">
        <f t="shared" si="407"/>
        <v>0</v>
      </c>
      <c r="BB556" s="75">
        <f t="shared" si="408"/>
        <v>0</v>
      </c>
      <c r="BD556" s="214">
        <f t="shared" si="423"/>
        <v>463154.26998747175</v>
      </c>
      <c r="BE556" s="214">
        <f t="shared" si="409"/>
        <v>2254.426828718565</v>
      </c>
      <c r="BF556" s="214">
        <f t="shared" si="410"/>
        <v>-766.37740118037846</v>
      </c>
      <c r="BG556" s="224">
        <f t="shared" si="428"/>
        <v>0</v>
      </c>
      <c r="BH556" s="19">
        <f t="shared" si="424"/>
        <v>1023292.7009914519</v>
      </c>
      <c r="BI556" s="214">
        <f t="shared" si="411"/>
        <v>4980.9289652223561</v>
      </c>
      <c r="BJ556" s="214">
        <f t="shared" si="412"/>
        <v>0</v>
      </c>
      <c r="BK556" s="19">
        <f t="shared" si="429"/>
        <v>0</v>
      </c>
    </row>
    <row r="557" spans="1:63">
      <c r="A557" s="165">
        <f t="shared" si="413"/>
        <v>102.22279260780287</v>
      </c>
      <c r="B557" s="69">
        <f t="shared" si="414"/>
        <v>41</v>
      </c>
      <c r="C557" s="70">
        <f t="shared" si="415"/>
        <v>483</v>
      </c>
      <c r="D557" s="13">
        <f t="shared" si="384"/>
        <v>4.8675505653430484E-3</v>
      </c>
      <c r="E557" s="15">
        <f t="shared" si="385"/>
        <v>1</v>
      </c>
      <c r="F557" s="15">
        <f t="shared" si="416"/>
        <v>0</v>
      </c>
      <c r="G557" s="15">
        <f t="shared" si="386"/>
        <v>0</v>
      </c>
      <c r="H557" s="73">
        <f t="shared" si="387"/>
        <v>0</v>
      </c>
      <c r="I557" s="189"/>
      <c r="J557" s="189"/>
      <c r="K557" s="5">
        <f t="shared" si="430"/>
        <v>274132.3613971484</v>
      </c>
      <c r="M557" s="5">
        <f t="shared" si="388"/>
        <v>1334.3531306975146</v>
      </c>
      <c r="N557" s="5">
        <f t="shared" si="389"/>
        <v>-453.60446900914843</v>
      </c>
      <c r="O557" s="5">
        <f t="shared" si="390"/>
        <v>0</v>
      </c>
      <c r="P557" s="5">
        <f t="shared" si="391"/>
        <v>0</v>
      </c>
      <c r="Q557" s="5">
        <f t="shared" si="425"/>
        <v>0</v>
      </c>
      <c r="R557" s="5">
        <f t="shared" si="417"/>
        <v>0</v>
      </c>
      <c r="S557" s="5">
        <f t="shared" si="392"/>
        <v>0</v>
      </c>
      <c r="T557" s="5">
        <f t="shared" si="393"/>
        <v>0</v>
      </c>
      <c r="U557" s="74">
        <f t="shared" si="394"/>
        <v>0</v>
      </c>
      <c r="V557" s="75">
        <f t="shared" si="395"/>
        <v>0</v>
      </c>
      <c r="W557" s="5">
        <f t="shared" si="396"/>
        <v>0</v>
      </c>
      <c r="X557" s="5">
        <f t="shared" si="397"/>
        <v>275013.11005883676</v>
      </c>
      <c r="Y557" s="5">
        <f t="shared" si="418"/>
        <v>100000</v>
      </c>
      <c r="Z557" s="215">
        <f t="shared" si="398"/>
        <v>1</v>
      </c>
      <c r="AA557" s="216">
        <f t="shared" si="419"/>
        <v>0</v>
      </c>
      <c r="AB557" s="72">
        <f t="shared" si="426"/>
        <v>105651.83946229343</v>
      </c>
      <c r="AC557" s="72">
        <f t="shared" si="399"/>
        <v>0</v>
      </c>
      <c r="AD557" s="72">
        <f t="shared" si="400"/>
        <v>0</v>
      </c>
      <c r="AE557" s="72">
        <f t="shared" si="420"/>
        <v>-57.268302864235473</v>
      </c>
      <c r="AF557" s="70">
        <f t="shared" si="401"/>
        <v>0</v>
      </c>
      <c r="AG557" s="70">
        <f t="shared" si="402"/>
        <v>1000.8413557360473</v>
      </c>
      <c r="AH557" s="1">
        <f t="shared" si="434"/>
        <v>0</v>
      </c>
      <c r="AI557" s="1">
        <f t="shared" si="434"/>
        <v>0</v>
      </c>
      <c r="AJ557" s="1">
        <f t="shared" si="434"/>
        <v>0</v>
      </c>
      <c r="AK557" s="1">
        <f t="shared" si="434"/>
        <v>0</v>
      </c>
      <c r="AL557" s="1">
        <f t="shared" si="434"/>
        <v>0</v>
      </c>
      <c r="AM557" s="1">
        <f t="shared" si="434"/>
        <v>0</v>
      </c>
      <c r="AN557" s="1">
        <f t="shared" si="434"/>
        <v>0</v>
      </c>
      <c r="AO557" s="1">
        <f t="shared" si="434"/>
        <v>0</v>
      </c>
      <c r="AP557" s="1">
        <f t="shared" si="434"/>
        <v>0</v>
      </c>
      <c r="AQ557" s="1">
        <f t="shared" si="434"/>
        <v>0</v>
      </c>
      <c r="AR557" s="1">
        <f t="shared" si="434"/>
        <v>0</v>
      </c>
      <c r="AS557" s="1">
        <f t="shared" si="434"/>
        <v>0</v>
      </c>
      <c r="AT557" s="39">
        <f t="shared" si="403"/>
        <v>275013.11005883676</v>
      </c>
      <c r="AU557" s="39">
        <f t="shared" si="421"/>
        <v>275013.11005883676</v>
      </c>
      <c r="AV557" s="39">
        <f t="shared" si="432"/>
        <v>0</v>
      </c>
      <c r="AW557" s="3">
        <f t="shared" si="404"/>
        <v>483</v>
      </c>
      <c r="AX557" s="69">
        <f t="shared" si="422"/>
        <v>0</v>
      </c>
      <c r="AY557" s="75">
        <f t="shared" si="405"/>
        <v>0</v>
      </c>
      <c r="AZ557" s="75">
        <f t="shared" si="406"/>
        <v>0</v>
      </c>
      <c r="BA557" s="75">
        <f t="shared" si="407"/>
        <v>0</v>
      </c>
      <c r="BB557" s="75">
        <f t="shared" si="408"/>
        <v>0</v>
      </c>
      <c r="BD557" s="214">
        <f t="shared" si="423"/>
        <v>464642.31941500993</v>
      </c>
      <c r="BE557" s="214">
        <f t="shared" si="409"/>
        <v>2261.6699845508369</v>
      </c>
      <c r="BF557" s="214">
        <f t="shared" si="410"/>
        <v>-768.83966381510595</v>
      </c>
      <c r="BG557" s="224">
        <f t="shared" si="428"/>
        <v>0</v>
      </c>
      <c r="BH557" s="19">
        <f t="shared" si="424"/>
        <v>1028273.6299566742</v>
      </c>
      <c r="BI557" s="214">
        <f t="shared" si="411"/>
        <v>5005.1738888229584</v>
      </c>
      <c r="BJ557" s="214">
        <f t="shared" si="412"/>
        <v>0</v>
      </c>
      <c r="BK557" s="19">
        <f t="shared" si="429"/>
        <v>0</v>
      </c>
    </row>
    <row r="558" spans="1:63">
      <c r="A558" s="165">
        <f t="shared" si="413"/>
        <v>102.3061259411362</v>
      </c>
      <c r="B558" s="69">
        <f t="shared" si="414"/>
        <v>41</v>
      </c>
      <c r="C558" s="70">
        <f t="shared" si="415"/>
        <v>484</v>
      </c>
      <c r="D558" s="13">
        <f t="shared" si="384"/>
        <v>4.8675505653430484E-3</v>
      </c>
      <c r="E558" s="15">
        <f t="shared" si="385"/>
        <v>1</v>
      </c>
      <c r="F558" s="15">
        <f t="shared" si="416"/>
        <v>0</v>
      </c>
      <c r="G558" s="15">
        <f t="shared" si="386"/>
        <v>0</v>
      </c>
      <c r="H558" s="73">
        <f t="shared" si="387"/>
        <v>0</v>
      </c>
      <c r="I558" s="189"/>
      <c r="J558" s="189"/>
      <c r="K558" s="5">
        <f t="shared" si="430"/>
        <v>275013.11005883676</v>
      </c>
      <c r="M558" s="5">
        <f t="shared" si="388"/>
        <v>1338.6402193436409</v>
      </c>
      <c r="N558" s="5">
        <f t="shared" si="389"/>
        <v>-455.06183627136983</v>
      </c>
      <c r="O558" s="5">
        <f t="shared" si="390"/>
        <v>0</v>
      </c>
      <c r="P558" s="5">
        <f t="shared" si="391"/>
        <v>0</v>
      </c>
      <c r="Q558" s="5">
        <f t="shared" si="425"/>
        <v>0</v>
      </c>
      <c r="R558" s="5">
        <f t="shared" si="417"/>
        <v>0</v>
      </c>
      <c r="S558" s="5">
        <f t="shared" si="392"/>
        <v>0</v>
      </c>
      <c r="T558" s="5">
        <f t="shared" si="393"/>
        <v>0</v>
      </c>
      <c r="U558" s="74">
        <f t="shared" si="394"/>
        <v>0</v>
      </c>
      <c r="V558" s="75">
        <f t="shared" si="395"/>
        <v>0</v>
      </c>
      <c r="W558" s="5">
        <f t="shared" si="396"/>
        <v>0</v>
      </c>
      <c r="X558" s="5">
        <f t="shared" si="397"/>
        <v>275896.68844190903</v>
      </c>
      <c r="Y558" s="5">
        <f t="shared" si="418"/>
        <v>100000</v>
      </c>
      <c r="Z558" s="215">
        <f t="shared" si="398"/>
        <v>1</v>
      </c>
      <c r="AA558" s="216">
        <f t="shared" si="419"/>
        <v>0</v>
      </c>
      <c r="AB558" s="72">
        <f t="shared" si="426"/>
        <v>105651.83946229343</v>
      </c>
      <c r="AC558" s="72">
        <f t="shared" si="399"/>
        <v>0</v>
      </c>
      <c r="AD558" s="72">
        <f t="shared" si="400"/>
        <v>0</v>
      </c>
      <c r="AE558" s="72">
        <f t="shared" si="420"/>
        <v>-57.452297854275209</v>
      </c>
      <c r="AF558" s="70">
        <f t="shared" si="401"/>
        <v>0</v>
      </c>
      <c r="AG558" s="70">
        <f t="shared" si="402"/>
        <v>1336.6011413035158</v>
      </c>
      <c r="AH558" s="1">
        <f t="shared" si="434"/>
        <v>0</v>
      </c>
      <c r="AI558" s="1">
        <f t="shared" si="434"/>
        <v>0</v>
      </c>
      <c r="AJ558" s="1">
        <f t="shared" si="434"/>
        <v>0</v>
      </c>
      <c r="AK558" s="1">
        <f t="shared" si="434"/>
        <v>0</v>
      </c>
      <c r="AL558" s="1">
        <f t="shared" si="434"/>
        <v>0</v>
      </c>
      <c r="AM558" s="1">
        <f t="shared" si="434"/>
        <v>0</v>
      </c>
      <c r="AN558" s="1">
        <f t="shared" si="434"/>
        <v>0</v>
      </c>
      <c r="AO558" s="1">
        <f t="shared" si="434"/>
        <v>0</v>
      </c>
      <c r="AP558" s="1">
        <f t="shared" si="434"/>
        <v>0</v>
      </c>
      <c r="AQ558" s="1">
        <f t="shared" si="434"/>
        <v>0</v>
      </c>
      <c r="AR558" s="1">
        <f t="shared" si="434"/>
        <v>0</v>
      </c>
      <c r="AS558" s="1">
        <f t="shared" si="434"/>
        <v>0</v>
      </c>
      <c r="AT558" s="39">
        <f t="shared" si="403"/>
        <v>275896.68844190903</v>
      </c>
      <c r="AU558" s="39">
        <f t="shared" si="421"/>
        <v>275896.68844190903</v>
      </c>
      <c r="AV558" s="39">
        <f t="shared" si="432"/>
        <v>0</v>
      </c>
      <c r="AW558" s="3">
        <f t="shared" si="404"/>
        <v>484</v>
      </c>
      <c r="AX558" s="69">
        <f t="shared" si="422"/>
        <v>0</v>
      </c>
      <c r="AY558" s="75">
        <f t="shared" si="405"/>
        <v>0</v>
      </c>
      <c r="AZ558" s="75">
        <f t="shared" si="406"/>
        <v>0</v>
      </c>
      <c r="BA558" s="75">
        <f t="shared" si="407"/>
        <v>0</v>
      </c>
      <c r="BB558" s="75">
        <f t="shared" si="408"/>
        <v>0</v>
      </c>
      <c r="BD558" s="214">
        <f t="shared" si="423"/>
        <v>466135.14973574568</v>
      </c>
      <c r="BE558" s="214">
        <f t="shared" si="409"/>
        <v>2268.9364116224956</v>
      </c>
      <c r="BF558" s="214">
        <f t="shared" si="410"/>
        <v>-771.30983735283382</v>
      </c>
      <c r="BG558" s="224">
        <f t="shared" si="428"/>
        <v>0</v>
      </c>
      <c r="BH558" s="19">
        <f t="shared" si="424"/>
        <v>1033278.8038454971</v>
      </c>
      <c r="BI558" s="214">
        <f t="shared" si="411"/>
        <v>5029.5368258151384</v>
      </c>
      <c r="BJ558" s="214">
        <f t="shared" si="412"/>
        <v>0</v>
      </c>
      <c r="BK558" s="19">
        <f t="shared" si="429"/>
        <v>0</v>
      </c>
    </row>
    <row r="559" spans="1:63">
      <c r="A559" s="165">
        <f t="shared" si="413"/>
        <v>102.38945927446954</v>
      </c>
      <c r="B559" s="69">
        <f t="shared" si="414"/>
        <v>41</v>
      </c>
      <c r="C559" s="70">
        <f t="shared" si="415"/>
        <v>485</v>
      </c>
      <c r="D559" s="13">
        <f t="shared" si="384"/>
        <v>4.8675505653430484E-3</v>
      </c>
      <c r="E559" s="15">
        <f t="shared" si="385"/>
        <v>1</v>
      </c>
      <c r="F559" s="15">
        <f t="shared" si="416"/>
        <v>0</v>
      </c>
      <c r="G559" s="15">
        <f t="shared" si="386"/>
        <v>0</v>
      </c>
      <c r="H559" s="73">
        <f t="shared" si="387"/>
        <v>0</v>
      </c>
      <c r="I559" s="189"/>
      <c r="J559" s="189"/>
      <c r="K559" s="5">
        <f t="shared" si="430"/>
        <v>275896.68844190903</v>
      </c>
      <c r="M559" s="5">
        <f t="shared" si="388"/>
        <v>1342.9410818016893</v>
      </c>
      <c r="N559" s="5">
        <f t="shared" si="389"/>
        <v>-456.52388584931373</v>
      </c>
      <c r="O559" s="5">
        <f t="shared" si="390"/>
        <v>0</v>
      </c>
      <c r="P559" s="5">
        <f t="shared" si="391"/>
        <v>0</v>
      </c>
      <c r="Q559" s="5">
        <f t="shared" si="425"/>
        <v>0</v>
      </c>
      <c r="R559" s="5">
        <f t="shared" si="417"/>
        <v>0</v>
      </c>
      <c r="S559" s="5">
        <f t="shared" si="392"/>
        <v>0</v>
      </c>
      <c r="T559" s="5">
        <f t="shared" si="393"/>
        <v>0</v>
      </c>
      <c r="U559" s="74">
        <f t="shared" si="394"/>
        <v>0</v>
      </c>
      <c r="V559" s="75">
        <f t="shared" si="395"/>
        <v>0</v>
      </c>
      <c r="W559" s="5">
        <f t="shared" si="396"/>
        <v>0</v>
      </c>
      <c r="X559" s="5">
        <f t="shared" si="397"/>
        <v>276783.10563786136</v>
      </c>
      <c r="Y559" s="5">
        <f t="shared" si="418"/>
        <v>100000</v>
      </c>
      <c r="Z559" s="215">
        <f t="shared" si="398"/>
        <v>1</v>
      </c>
      <c r="AA559" s="216">
        <f t="shared" si="419"/>
        <v>0</v>
      </c>
      <c r="AB559" s="72">
        <f t="shared" si="426"/>
        <v>105651.83946229343</v>
      </c>
      <c r="AC559" s="72">
        <f t="shared" si="399"/>
        <v>0</v>
      </c>
      <c r="AD559" s="72">
        <f t="shared" si="400"/>
        <v>0</v>
      </c>
      <c r="AE559" s="72">
        <f t="shared" si="420"/>
        <v>-57.636883994299609</v>
      </c>
      <c r="AF559" s="70">
        <f t="shared" si="401"/>
        <v>0</v>
      </c>
      <c r="AG559" s="70">
        <f t="shared" si="402"/>
        <v>1673.4396757653885</v>
      </c>
      <c r="AH559" s="1">
        <f t="shared" si="434"/>
        <v>0</v>
      </c>
      <c r="AI559" s="1">
        <f t="shared" si="434"/>
        <v>0</v>
      </c>
      <c r="AJ559" s="1">
        <f t="shared" si="434"/>
        <v>0</v>
      </c>
      <c r="AK559" s="1">
        <f t="shared" si="434"/>
        <v>0</v>
      </c>
      <c r="AL559" s="1">
        <f t="shared" si="434"/>
        <v>0</v>
      </c>
      <c r="AM559" s="1">
        <f t="shared" si="434"/>
        <v>0</v>
      </c>
      <c r="AN559" s="1">
        <f t="shared" si="434"/>
        <v>0</v>
      </c>
      <c r="AO559" s="1">
        <f t="shared" si="434"/>
        <v>0</v>
      </c>
      <c r="AP559" s="1">
        <f t="shared" si="434"/>
        <v>0</v>
      </c>
      <c r="AQ559" s="1">
        <f t="shared" si="434"/>
        <v>0</v>
      </c>
      <c r="AR559" s="1">
        <f t="shared" si="434"/>
        <v>0</v>
      </c>
      <c r="AS559" s="1">
        <f t="shared" si="434"/>
        <v>0</v>
      </c>
      <c r="AT559" s="39">
        <f t="shared" si="403"/>
        <v>276783.10563786136</v>
      </c>
      <c r="AU559" s="39">
        <f t="shared" si="421"/>
        <v>276783.10563786136</v>
      </c>
      <c r="AV559" s="39">
        <f t="shared" si="432"/>
        <v>0</v>
      </c>
      <c r="AW559" s="3">
        <f t="shared" si="404"/>
        <v>485</v>
      </c>
      <c r="AX559" s="69">
        <f t="shared" si="422"/>
        <v>0</v>
      </c>
      <c r="AY559" s="75">
        <f t="shared" si="405"/>
        <v>0</v>
      </c>
      <c r="AZ559" s="75">
        <f t="shared" si="406"/>
        <v>0</v>
      </c>
      <c r="BA559" s="75">
        <f t="shared" si="407"/>
        <v>0</v>
      </c>
      <c r="BB559" s="75">
        <f t="shared" si="408"/>
        <v>0</v>
      </c>
      <c r="BD559" s="214">
        <f t="shared" si="423"/>
        <v>467632.77631001535</v>
      </c>
      <c r="BE559" s="214">
        <f t="shared" si="409"/>
        <v>2276.2261847007544</v>
      </c>
      <c r="BF559" s="214">
        <f t="shared" si="410"/>
        <v>-773.78794721017903</v>
      </c>
      <c r="BG559" s="224">
        <f t="shared" si="428"/>
        <v>0</v>
      </c>
      <c r="BH559" s="19">
        <f t="shared" si="424"/>
        <v>1038308.3406713122</v>
      </c>
      <c r="BI559" s="214">
        <f t="shared" si="411"/>
        <v>5054.0183506350477</v>
      </c>
      <c r="BJ559" s="214">
        <f t="shared" si="412"/>
        <v>0</v>
      </c>
      <c r="BK559" s="19">
        <f t="shared" si="429"/>
        <v>0</v>
      </c>
    </row>
    <row r="560" spans="1:63">
      <c r="A560" s="165">
        <f t="shared" si="413"/>
        <v>102.47279260780287</v>
      </c>
      <c r="B560" s="69">
        <f t="shared" si="414"/>
        <v>41</v>
      </c>
      <c r="C560" s="70">
        <f t="shared" si="415"/>
        <v>486</v>
      </c>
      <c r="D560" s="13">
        <f t="shared" si="384"/>
        <v>4.8675505653430484E-3</v>
      </c>
      <c r="E560" s="15">
        <f t="shared" si="385"/>
        <v>1</v>
      </c>
      <c r="F560" s="15">
        <f t="shared" si="416"/>
        <v>0</v>
      </c>
      <c r="G560" s="15">
        <f t="shared" si="386"/>
        <v>0</v>
      </c>
      <c r="H560" s="73">
        <f t="shared" si="387"/>
        <v>0</v>
      </c>
      <c r="I560" s="189"/>
      <c r="J560" s="189"/>
      <c r="K560" s="5">
        <f t="shared" si="430"/>
        <v>276783.10563786136</v>
      </c>
      <c r="M560" s="5">
        <f t="shared" si="388"/>
        <v>1347.2557623249768</v>
      </c>
      <c r="N560" s="5">
        <f t="shared" si="389"/>
        <v>-457.99063278660083</v>
      </c>
      <c r="O560" s="5">
        <f t="shared" si="390"/>
        <v>0</v>
      </c>
      <c r="P560" s="5">
        <f t="shared" si="391"/>
        <v>0</v>
      </c>
      <c r="Q560" s="5">
        <f t="shared" si="425"/>
        <v>0</v>
      </c>
      <c r="R560" s="5">
        <f t="shared" si="417"/>
        <v>0</v>
      </c>
      <c r="S560" s="5">
        <f t="shared" si="392"/>
        <v>0</v>
      </c>
      <c r="T560" s="5">
        <f t="shared" si="393"/>
        <v>0</v>
      </c>
      <c r="U560" s="74">
        <f t="shared" si="394"/>
        <v>0</v>
      </c>
      <c r="V560" s="75">
        <f t="shared" si="395"/>
        <v>0</v>
      </c>
      <c r="W560" s="5">
        <f t="shared" si="396"/>
        <v>0</v>
      </c>
      <c r="X560" s="5">
        <f t="shared" si="397"/>
        <v>277672.37076739973</v>
      </c>
      <c r="Y560" s="5">
        <f t="shared" si="418"/>
        <v>100000</v>
      </c>
      <c r="Z560" s="215">
        <f t="shared" si="398"/>
        <v>1</v>
      </c>
      <c r="AA560" s="216">
        <f t="shared" si="419"/>
        <v>0</v>
      </c>
      <c r="AB560" s="72">
        <f t="shared" si="426"/>
        <v>105651.83946229343</v>
      </c>
      <c r="AC560" s="72">
        <f t="shared" si="399"/>
        <v>0</v>
      </c>
      <c r="AD560" s="72">
        <f t="shared" si="400"/>
        <v>0</v>
      </c>
      <c r="AE560" s="72">
        <f t="shared" si="420"/>
        <v>-57.822063183590288</v>
      </c>
      <c r="AF560" s="70">
        <f t="shared" si="401"/>
        <v>0</v>
      </c>
      <c r="AG560" s="70">
        <f t="shared" si="402"/>
        <v>2011.3604249899654</v>
      </c>
      <c r="AH560" s="1">
        <f t="shared" si="434"/>
        <v>0</v>
      </c>
      <c r="AI560" s="1">
        <f t="shared" si="434"/>
        <v>0</v>
      </c>
      <c r="AJ560" s="1">
        <f t="shared" si="434"/>
        <v>0</v>
      </c>
      <c r="AK560" s="1">
        <f t="shared" si="434"/>
        <v>0</v>
      </c>
      <c r="AL560" s="1">
        <f t="shared" si="434"/>
        <v>0</v>
      </c>
      <c r="AM560" s="1">
        <f t="shared" si="434"/>
        <v>0</v>
      </c>
      <c r="AN560" s="1">
        <f t="shared" si="434"/>
        <v>0</v>
      </c>
      <c r="AO560" s="1">
        <f t="shared" si="434"/>
        <v>0</v>
      </c>
      <c r="AP560" s="1">
        <f t="shared" si="434"/>
        <v>0</v>
      </c>
      <c r="AQ560" s="1">
        <f t="shared" si="434"/>
        <v>0</v>
      </c>
      <c r="AR560" s="1">
        <f t="shared" si="434"/>
        <v>0</v>
      </c>
      <c r="AS560" s="1">
        <f t="shared" si="434"/>
        <v>0</v>
      </c>
      <c r="AT560" s="39">
        <f t="shared" si="403"/>
        <v>277672.37076739973</v>
      </c>
      <c r="AU560" s="39">
        <f t="shared" si="421"/>
        <v>277672.37076739973</v>
      </c>
      <c r="AV560" s="39">
        <f t="shared" si="432"/>
        <v>0</v>
      </c>
      <c r="AW560" s="3">
        <f t="shared" si="404"/>
        <v>486</v>
      </c>
      <c r="AX560" s="69">
        <f t="shared" si="422"/>
        <v>0</v>
      </c>
      <c r="AY560" s="75">
        <f t="shared" si="405"/>
        <v>0</v>
      </c>
      <c r="AZ560" s="75">
        <f t="shared" si="406"/>
        <v>0</v>
      </c>
      <c r="BA560" s="75">
        <f t="shared" si="407"/>
        <v>0</v>
      </c>
      <c r="BB560" s="75">
        <f t="shared" si="408"/>
        <v>0</v>
      </c>
      <c r="BD560" s="214">
        <f t="shared" si="423"/>
        <v>469135.21454750589</v>
      </c>
      <c r="BE560" s="214">
        <f t="shared" si="409"/>
        <v>2283.5393787930448</v>
      </c>
      <c r="BF560" s="214">
        <f t="shared" si="410"/>
        <v>-776.27401888541851</v>
      </c>
      <c r="BG560" s="224">
        <f t="shared" si="428"/>
        <v>0</v>
      </c>
      <c r="BH560" s="19">
        <f t="shared" si="424"/>
        <v>1043362.3590219473</v>
      </c>
      <c r="BI560" s="214">
        <f t="shared" si="411"/>
        <v>5078.6190405149364</v>
      </c>
      <c r="BJ560" s="214">
        <f t="shared" si="412"/>
        <v>0</v>
      </c>
      <c r="BK560" s="19">
        <f t="shared" si="429"/>
        <v>0</v>
      </c>
    </row>
    <row r="561" spans="1:63">
      <c r="A561" s="165">
        <f t="shared" si="413"/>
        <v>102.5561259411362</v>
      </c>
      <c r="B561" s="69">
        <f t="shared" si="414"/>
        <v>41</v>
      </c>
      <c r="C561" s="70">
        <f t="shared" si="415"/>
        <v>487</v>
      </c>
      <c r="D561" s="13">
        <f t="shared" si="384"/>
        <v>4.8675505653430484E-3</v>
      </c>
      <c r="E561" s="15">
        <f t="shared" si="385"/>
        <v>1</v>
      </c>
      <c r="F561" s="15">
        <f t="shared" si="416"/>
        <v>0</v>
      </c>
      <c r="G561" s="15">
        <f t="shared" si="386"/>
        <v>0</v>
      </c>
      <c r="H561" s="73">
        <f t="shared" si="387"/>
        <v>0</v>
      </c>
      <c r="I561" s="189"/>
      <c r="J561" s="189"/>
      <c r="K561" s="5">
        <f t="shared" si="430"/>
        <v>277672.37076739973</v>
      </c>
      <c r="M561" s="5">
        <f t="shared" si="388"/>
        <v>1351.5843053090011</v>
      </c>
      <c r="N561" s="5">
        <f t="shared" si="389"/>
        <v>-459.46209217518503</v>
      </c>
      <c r="O561" s="5">
        <f t="shared" si="390"/>
        <v>0</v>
      </c>
      <c r="P561" s="5">
        <f t="shared" si="391"/>
        <v>0</v>
      </c>
      <c r="Q561" s="5">
        <f t="shared" si="425"/>
        <v>0</v>
      </c>
      <c r="R561" s="5">
        <f t="shared" si="417"/>
        <v>0</v>
      </c>
      <c r="S561" s="5">
        <f t="shared" si="392"/>
        <v>0</v>
      </c>
      <c r="T561" s="5">
        <f t="shared" si="393"/>
        <v>0</v>
      </c>
      <c r="U561" s="74">
        <f t="shared" si="394"/>
        <v>0</v>
      </c>
      <c r="V561" s="75">
        <f t="shared" si="395"/>
        <v>0</v>
      </c>
      <c r="W561" s="5">
        <f t="shared" si="396"/>
        <v>0</v>
      </c>
      <c r="X561" s="5">
        <f t="shared" si="397"/>
        <v>278564.49298053351</v>
      </c>
      <c r="Y561" s="5">
        <f t="shared" si="418"/>
        <v>100000</v>
      </c>
      <c r="Z561" s="215">
        <f t="shared" si="398"/>
        <v>1</v>
      </c>
      <c r="AA561" s="216">
        <f t="shared" si="419"/>
        <v>0</v>
      </c>
      <c r="AB561" s="72">
        <f t="shared" si="426"/>
        <v>105651.83946229343</v>
      </c>
      <c r="AC561" s="72">
        <f t="shared" si="399"/>
        <v>0</v>
      </c>
      <c r="AD561" s="72">
        <f t="shared" si="400"/>
        <v>0</v>
      </c>
      <c r="AE561" s="72">
        <f t="shared" si="420"/>
        <v>-58.007837327531028</v>
      </c>
      <c r="AF561" s="70">
        <f t="shared" si="401"/>
        <v>0</v>
      </c>
      <c r="AG561" s="70">
        <f t="shared" si="402"/>
        <v>2350.3668659808172</v>
      </c>
      <c r="AH561" s="1">
        <f t="shared" si="434"/>
        <v>0</v>
      </c>
      <c r="AI561" s="1">
        <f t="shared" si="434"/>
        <v>0</v>
      </c>
      <c r="AJ561" s="1">
        <f t="shared" si="434"/>
        <v>0</v>
      </c>
      <c r="AK561" s="1">
        <f t="shared" si="434"/>
        <v>0</v>
      </c>
      <c r="AL561" s="1">
        <f t="shared" si="434"/>
        <v>0</v>
      </c>
      <c r="AM561" s="1">
        <f t="shared" si="434"/>
        <v>0</v>
      </c>
      <c r="AN561" s="1">
        <f t="shared" si="434"/>
        <v>0</v>
      </c>
      <c r="AO561" s="1">
        <f t="shared" si="434"/>
        <v>0</v>
      </c>
      <c r="AP561" s="1">
        <f t="shared" si="434"/>
        <v>0</v>
      </c>
      <c r="AQ561" s="1">
        <f t="shared" si="434"/>
        <v>0</v>
      </c>
      <c r="AR561" s="1">
        <f t="shared" si="434"/>
        <v>0</v>
      </c>
      <c r="AS561" s="1">
        <f t="shared" si="434"/>
        <v>0</v>
      </c>
      <c r="AT561" s="39">
        <f t="shared" si="403"/>
        <v>278564.49298053351</v>
      </c>
      <c r="AU561" s="39">
        <f t="shared" si="421"/>
        <v>278564.49298053351</v>
      </c>
      <c r="AV561" s="39">
        <f t="shared" si="432"/>
        <v>0</v>
      </c>
      <c r="AW561" s="3">
        <f t="shared" si="404"/>
        <v>487</v>
      </c>
      <c r="AX561" s="69">
        <f t="shared" si="422"/>
        <v>0</v>
      </c>
      <c r="AY561" s="75">
        <f t="shared" si="405"/>
        <v>0</v>
      </c>
      <c r="AZ561" s="75">
        <f t="shared" si="406"/>
        <v>0</v>
      </c>
      <c r="BA561" s="75">
        <f t="shared" si="407"/>
        <v>0</v>
      </c>
      <c r="BB561" s="75">
        <f t="shared" si="408"/>
        <v>0</v>
      </c>
      <c r="BD561" s="214">
        <f t="shared" si="423"/>
        <v>470642.47990741354</v>
      </c>
      <c r="BE561" s="214">
        <f t="shared" si="409"/>
        <v>2290.8760691477851</v>
      </c>
      <c r="BF561" s="214">
        <f t="shared" si="410"/>
        <v>-778.76807795875163</v>
      </c>
      <c r="BG561" s="224">
        <f t="shared" si="428"/>
        <v>0</v>
      </c>
      <c r="BH561" s="19">
        <f t="shared" si="424"/>
        <v>1048440.9780624622</v>
      </c>
      <c r="BI561" s="214">
        <f t="shared" si="411"/>
        <v>5103.3394754967567</v>
      </c>
      <c r="BJ561" s="214">
        <f t="shared" si="412"/>
        <v>0</v>
      </c>
      <c r="BK561" s="19">
        <f t="shared" si="429"/>
        <v>0</v>
      </c>
    </row>
    <row r="562" spans="1:63">
      <c r="A562" s="165">
        <f t="shared" si="413"/>
        <v>102.63945927446954</v>
      </c>
      <c r="B562" s="69">
        <f t="shared" si="414"/>
        <v>41</v>
      </c>
      <c r="C562" s="70">
        <f t="shared" si="415"/>
        <v>488</v>
      </c>
      <c r="D562" s="13">
        <f t="shared" si="384"/>
        <v>4.8675505653430484E-3</v>
      </c>
      <c r="E562" s="15">
        <f t="shared" si="385"/>
        <v>1</v>
      </c>
      <c r="F562" s="15">
        <f t="shared" si="416"/>
        <v>0</v>
      </c>
      <c r="G562" s="15">
        <f t="shared" si="386"/>
        <v>0</v>
      </c>
      <c r="H562" s="73">
        <f t="shared" si="387"/>
        <v>0</v>
      </c>
      <c r="I562" s="189"/>
      <c r="J562" s="189"/>
      <c r="K562" s="5">
        <f t="shared" si="430"/>
        <v>278564.49298053351</v>
      </c>
      <c r="M562" s="5">
        <f t="shared" si="388"/>
        <v>1355.9267552918955</v>
      </c>
      <c r="N562" s="5">
        <f t="shared" si="389"/>
        <v>-460.93827915550861</v>
      </c>
      <c r="O562" s="5">
        <f t="shared" si="390"/>
        <v>0</v>
      </c>
      <c r="P562" s="5">
        <f t="shared" si="391"/>
        <v>0</v>
      </c>
      <c r="Q562" s="5">
        <f t="shared" si="425"/>
        <v>0</v>
      </c>
      <c r="R562" s="5">
        <f t="shared" si="417"/>
        <v>0</v>
      </c>
      <c r="S562" s="5">
        <f t="shared" si="392"/>
        <v>0</v>
      </c>
      <c r="T562" s="5">
        <f t="shared" si="393"/>
        <v>0</v>
      </c>
      <c r="U562" s="74">
        <f t="shared" si="394"/>
        <v>0</v>
      </c>
      <c r="V562" s="75">
        <f t="shared" si="395"/>
        <v>0</v>
      </c>
      <c r="W562" s="5">
        <f t="shared" si="396"/>
        <v>0</v>
      </c>
      <c r="X562" s="5">
        <f t="shared" si="397"/>
        <v>279459.48145666986</v>
      </c>
      <c r="Y562" s="5">
        <f t="shared" si="418"/>
        <v>100000</v>
      </c>
      <c r="Z562" s="215">
        <f t="shared" si="398"/>
        <v>1</v>
      </c>
      <c r="AA562" s="216">
        <f t="shared" si="419"/>
        <v>0</v>
      </c>
      <c r="AB562" s="72">
        <f t="shared" si="426"/>
        <v>105651.83946229343</v>
      </c>
      <c r="AC562" s="72">
        <f t="shared" si="399"/>
        <v>0</v>
      </c>
      <c r="AD562" s="72">
        <f t="shared" si="400"/>
        <v>0</v>
      </c>
      <c r="AE562" s="72">
        <f t="shared" si="420"/>
        <v>-58.194208337627273</v>
      </c>
      <c r="AF562" s="70">
        <f t="shared" si="401"/>
        <v>0</v>
      </c>
      <c r="AG562" s="70">
        <f t="shared" si="402"/>
        <v>2690.4624869126274</v>
      </c>
      <c r="AH562" s="1">
        <f t="shared" si="434"/>
        <v>0</v>
      </c>
      <c r="AI562" s="1">
        <f t="shared" si="434"/>
        <v>0</v>
      </c>
      <c r="AJ562" s="1">
        <f t="shared" si="434"/>
        <v>0</v>
      </c>
      <c r="AK562" s="1">
        <f t="shared" si="434"/>
        <v>0</v>
      </c>
      <c r="AL562" s="1">
        <f t="shared" si="434"/>
        <v>0</v>
      </c>
      <c r="AM562" s="1">
        <f t="shared" si="434"/>
        <v>0</v>
      </c>
      <c r="AN562" s="1">
        <f t="shared" si="434"/>
        <v>0</v>
      </c>
      <c r="AO562" s="1">
        <f t="shared" si="434"/>
        <v>0</v>
      </c>
      <c r="AP562" s="1">
        <f t="shared" si="434"/>
        <v>0</v>
      </c>
      <c r="AQ562" s="1">
        <f t="shared" si="434"/>
        <v>0</v>
      </c>
      <c r="AR562" s="1">
        <f t="shared" si="434"/>
        <v>0</v>
      </c>
      <c r="AS562" s="1">
        <f t="shared" si="434"/>
        <v>0</v>
      </c>
      <c r="AT562" s="39">
        <f t="shared" si="403"/>
        <v>279459.48145666986</v>
      </c>
      <c r="AU562" s="39">
        <f t="shared" si="421"/>
        <v>279459.48145666986</v>
      </c>
      <c r="AV562" s="39">
        <f t="shared" si="432"/>
        <v>0</v>
      </c>
      <c r="AW562" s="3">
        <f t="shared" si="404"/>
        <v>488</v>
      </c>
      <c r="AX562" s="69">
        <f t="shared" si="422"/>
        <v>0</v>
      </c>
      <c r="AY562" s="75">
        <f t="shared" si="405"/>
        <v>0</v>
      </c>
      <c r="AZ562" s="75">
        <f t="shared" si="406"/>
        <v>0</v>
      </c>
      <c r="BA562" s="75">
        <f t="shared" si="407"/>
        <v>0</v>
      </c>
      <c r="BB562" s="75">
        <f t="shared" si="408"/>
        <v>0</v>
      </c>
      <c r="BD562" s="214">
        <f t="shared" si="423"/>
        <v>472154.58789860259</v>
      </c>
      <c r="BE562" s="214">
        <f t="shared" si="409"/>
        <v>2298.236331255157</v>
      </c>
      <c r="BF562" s="214">
        <f t="shared" si="410"/>
        <v>-781.27015009256331</v>
      </c>
      <c r="BG562" s="224">
        <f t="shared" si="428"/>
        <v>0</v>
      </c>
      <c r="BH562" s="19">
        <f t="shared" si="424"/>
        <v>1053544.317537959</v>
      </c>
      <c r="BI562" s="214">
        <f t="shared" si="411"/>
        <v>5128.1802384458479</v>
      </c>
      <c r="BJ562" s="214">
        <f t="shared" si="412"/>
        <v>0</v>
      </c>
      <c r="BK562" s="19">
        <f t="shared" si="429"/>
        <v>0</v>
      </c>
    </row>
    <row r="563" spans="1:63">
      <c r="A563" s="165">
        <f t="shared" si="413"/>
        <v>102.72279260780287</v>
      </c>
      <c r="B563" s="69">
        <f t="shared" si="414"/>
        <v>41</v>
      </c>
      <c r="C563" s="70">
        <f t="shared" si="415"/>
        <v>489</v>
      </c>
      <c r="D563" s="13">
        <f t="shared" si="384"/>
        <v>4.8675505653430484E-3</v>
      </c>
      <c r="E563" s="15">
        <f t="shared" si="385"/>
        <v>1</v>
      </c>
      <c r="F563" s="15">
        <f t="shared" si="416"/>
        <v>0</v>
      </c>
      <c r="G563" s="15">
        <f t="shared" si="386"/>
        <v>0</v>
      </c>
      <c r="H563" s="73">
        <f t="shared" si="387"/>
        <v>0</v>
      </c>
      <c r="I563" s="189"/>
      <c r="J563" s="189"/>
      <c r="K563" s="5">
        <f t="shared" si="430"/>
        <v>279459.48145666986</v>
      </c>
      <c r="M563" s="5">
        <f t="shared" si="388"/>
        <v>1360.2831569548885</v>
      </c>
      <c r="N563" s="5">
        <f t="shared" si="389"/>
        <v>-462.41920891665779</v>
      </c>
      <c r="O563" s="5">
        <f t="shared" si="390"/>
        <v>0</v>
      </c>
      <c r="P563" s="5">
        <f t="shared" si="391"/>
        <v>0</v>
      </c>
      <c r="Q563" s="5">
        <f t="shared" si="425"/>
        <v>0</v>
      </c>
      <c r="R563" s="5">
        <f t="shared" si="417"/>
        <v>0</v>
      </c>
      <c r="S563" s="5">
        <f t="shared" si="392"/>
        <v>0</v>
      </c>
      <c r="T563" s="5">
        <f t="shared" si="393"/>
        <v>0</v>
      </c>
      <c r="U563" s="74">
        <f t="shared" si="394"/>
        <v>0</v>
      </c>
      <c r="V563" s="75">
        <f t="shared" si="395"/>
        <v>0</v>
      </c>
      <c r="W563" s="5">
        <f t="shared" si="396"/>
        <v>0</v>
      </c>
      <c r="X563" s="5">
        <f t="shared" si="397"/>
        <v>280357.34540470812</v>
      </c>
      <c r="Y563" s="5">
        <f t="shared" si="418"/>
        <v>100000</v>
      </c>
      <c r="Z563" s="215">
        <f t="shared" si="398"/>
        <v>1</v>
      </c>
      <c r="AA563" s="216">
        <f t="shared" si="419"/>
        <v>0</v>
      </c>
      <c r="AB563" s="72">
        <f t="shared" si="426"/>
        <v>105651.83946229343</v>
      </c>
      <c r="AC563" s="72">
        <f t="shared" si="399"/>
        <v>0</v>
      </c>
      <c r="AD563" s="72">
        <f t="shared" si="400"/>
        <v>0</v>
      </c>
      <c r="AE563" s="72">
        <f t="shared" si="420"/>
        <v>-58.381178131525942</v>
      </c>
      <c r="AF563" s="70">
        <f t="shared" si="401"/>
        <v>0</v>
      </c>
      <c r="AG563" s="70">
        <f t="shared" si="402"/>
        <v>3031.6507871671638</v>
      </c>
      <c r="AH563" s="1">
        <f t="shared" si="434"/>
        <v>0</v>
      </c>
      <c r="AI563" s="1">
        <f t="shared" si="434"/>
        <v>0</v>
      </c>
      <c r="AJ563" s="1">
        <f t="shared" si="434"/>
        <v>0</v>
      </c>
      <c r="AK563" s="1">
        <f t="shared" si="434"/>
        <v>0</v>
      </c>
      <c r="AL563" s="1">
        <f t="shared" si="434"/>
        <v>0</v>
      </c>
      <c r="AM563" s="1">
        <f t="shared" si="434"/>
        <v>0</v>
      </c>
      <c r="AN563" s="1">
        <f t="shared" si="434"/>
        <v>0</v>
      </c>
      <c r="AO563" s="1">
        <f t="shared" si="434"/>
        <v>0</v>
      </c>
      <c r="AP563" s="1">
        <f t="shared" si="434"/>
        <v>0</v>
      </c>
      <c r="AQ563" s="1">
        <f t="shared" si="434"/>
        <v>0</v>
      </c>
      <c r="AR563" s="1">
        <f t="shared" si="434"/>
        <v>0</v>
      </c>
      <c r="AS563" s="1">
        <f t="shared" si="434"/>
        <v>0</v>
      </c>
      <c r="AT563" s="39">
        <f t="shared" si="403"/>
        <v>280357.34540470812</v>
      </c>
      <c r="AU563" s="39">
        <f t="shared" si="421"/>
        <v>280357.34540470812</v>
      </c>
      <c r="AV563" s="39">
        <f t="shared" si="432"/>
        <v>0</v>
      </c>
      <c r="AW563" s="3">
        <f t="shared" si="404"/>
        <v>489</v>
      </c>
      <c r="AX563" s="69">
        <f t="shared" si="422"/>
        <v>0</v>
      </c>
      <c r="AY563" s="75">
        <f t="shared" si="405"/>
        <v>0</v>
      </c>
      <c r="AZ563" s="75">
        <f t="shared" si="406"/>
        <v>0</v>
      </c>
      <c r="BA563" s="75">
        <f t="shared" si="407"/>
        <v>0</v>
      </c>
      <c r="BB563" s="75">
        <f t="shared" si="408"/>
        <v>0</v>
      </c>
      <c r="BD563" s="214">
        <f t="shared" si="423"/>
        <v>473671.55407976522</v>
      </c>
      <c r="BE563" s="214">
        <f t="shared" si="409"/>
        <v>2305.6202408478816</v>
      </c>
      <c r="BF563" s="214">
        <f t="shared" si="410"/>
        <v>-783.78026103168816</v>
      </c>
      <c r="BG563" s="224">
        <f t="shared" si="428"/>
        <v>0</v>
      </c>
      <c r="BH563" s="19">
        <f t="shared" si="424"/>
        <v>1058672.4977764047</v>
      </c>
      <c r="BI563" s="214">
        <f t="shared" si="411"/>
        <v>5153.1419150646761</v>
      </c>
      <c r="BJ563" s="214">
        <f t="shared" si="412"/>
        <v>0</v>
      </c>
      <c r="BK563" s="19">
        <f t="shared" si="429"/>
        <v>0</v>
      </c>
    </row>
    <row r="564" spans="1:63">
      <c r="A564" s="165">
        <f t="shared" si="413"/>
        <v>102.8061259411362</v>
      </c>
      <c r="B564" s="69">
        <f t="shared" si="414"/>
        <v>41</v>
      </c>
      <c r="C564" s="70">
        <f t="shared" si="415"/>
        <v>490</v>
      </c>
      <c r="D564" s="13">
        <f t="shared" si="384"/>
        <v>4.8675505653430484E-3</v>
      </c>
      <c r="E564" s="15">
        <f t="shared" si="385"/>
        <v>1</v>
      </c>
      <c r="F564" s="15">
        <f t="shared" si="416"/>
        <v>0</v>
      </c>
      <c r="G564" s="15">
        <f t="shared" si="386"/>
        <v>0</v>
      </c>
      <c r="H564" s="73">
        <f t="shared" si="387"/>
        <v>0</v>
      </c>
      <c r="I564" s="189"/>
      <c r="J564" s="189"/>
      <c r="K564" s="5">
        <f t="shared" si="430"/>
        <v>280357.34540470812</v>
      </c>
      <c r="M564" s="5">
        <f t="shared" si="388"/>
        <v>1364.6535551227632</v>
      </c>
      <c r="N564" s="5">
        <f t="shared" si="389"/>
        <v>-463.90489669651942</v>
      </c>
      <c r="O564" s="5">
        <f t="shared" si="390"/>
        <v>0</v>
      </c>
      <c r="P564" s="5">
        <f t="shared" si="391"/>
        <v>0</v>
      </c>
      <c r="Q564" s="5">
        <f t="shared" si="425"/>
        <v>0</v>
      </c>
      <c r="R564" s="5">
        <f t="shared" si="417"/>
        <v>0</v>
      </c>
      <c r="S564" s="5">
        <f t="shared" si="392"/>
        <v>0</v>
      </c>
      <c r="T564" s="5">
        <f t="shared" si="393"/>
        <v>0</v>
      </c>
      <c r="U564" s="74">
        <f t="shared" si="394"/>
        <v>0</v>
      </c>
      <c r="V564" s="75">
        <f t="shared" si="395"/>
        <v>0</v>
      </c>
      <c r="W564" s="5">
        <f t="shared" si="396"/>
        <v>0</v>
      </c>
      <c r="X564" s="5">
        <f t="shared" si="397"/>
        <v>281258.0940631344</v>
      </c>
      <c r="Y564" s="5">
        <f t="shared" si="418"/>
        <v>100000</v>
      </c>
      <c r="Z564" s="215">
        <f t="shared" si="398"/>
        <v>1</v>
      </c>
      <c r="AA564" s="216">
        <f t="shared" si="419"/>
        <v>0</v>
      </c>
      <c r="AB564" s="72">
        <f t="shared" si="426"/>
        <v>105651.83946229343</v>
      </c>
      <c r="AC564" s="72">
        <f t="shared" si="399"/>
        <v>0</v>
      </c>
      <c r="AD564" s="72">
        <f t="shared" si="400"/>
        <v>0</v>
      </c>
      <c r="AE564" s="72">
        <f t="shared" si="420"/>
        <v>-58.568748633035014</v>
      </c>
      <c r="AF564" s="70">
        <f t="shared" si="401"/>
        <v>0</v>
      </c>
      <c r="AG564" s="70">
        <f t="shared" si="402"/>
        <v>3373.9352773691498</v>
      </c>
      <c r="AH564" s="1">
        <f t="shared" si="434"/>
        <v>0</v>
      </c>
      <c r="AI564" s="1">
        <f t="shared" si="434"/>
        <v>0</v>
      </c>
      <c r="AJ564" s="1">
        <f t="shared" si="434"/>
        <v>0</v>
      </c>
      <c r="AK564" s="1">
        <f t="shared" si="434"/>
        <v>0</v>
      </c>
      <c r="AL564" s="1">
        <f t="shared" si="434"/>
        <v>0</v>
      </c>
      <c r="AM564" s="1">
        <f t="shared" si="434"/>
        <v>0</v>
      </c>
      <c r="AN564" s="1">
        <f t="shared" si="434"/>
        <v>0</v>
      </c>
      <c r="AO564" s="1">
        <f t="shared" si="434"/>
        <v>0</v>
      </c>
      <c r="AP564" s="1">
        <f t="shared" si="434"/>
        <v>0</v>
      </c>
      <c r="AQ564" s="1">
        <f t="shared" si="434"/>
        <v>0</v>
      </c>
      <c r="AR564" s="1">
        <f t="shared" si="434"/>
        <v>0</v>
      </c>
      <c r="AS564" s="1">
        <f t="shared" si="434"/>
        <v>0</v>
      </c>
      <c r="AT564" s="39">
        <f t="shared" si="403"/>
        <v>281258.0940631344</v>
      </c>
      <c r="AU564" s="39">
        <f t="shared" si="421"/>
        <v>281258.0940631344</v>
      </c>
      <c r="AV564" s="39">
        <f t="shared" si="432"/>
        <v>0</v>
      </c>
      <c r="AW564" s="3">
        <f t="shared" si="404"/>
        <v>490</v>
      </c>
      <c r="AX564" s="69">
        <f t="shared" si="422"/>
        <v>0</v>
      </c>
      <c r="AY564" s="75">
        <f t="shared" si="405"/>
        <v>0</v>
      </c>
      <c r="AZ564" s="75">
        <f t="shared" si="406"/>
        <v>0</v>
      </c>
      <c r="BA564" s="75">
        <f t="shared" si="407"/>
        <v>0</v>
      </c>
      <c r="BB564" s="75">
        <f t="shared" si="408"/>
        <v>0</v>
      </c>
      <c r="BD564" s="214">
        <f t="shared" si="423"/>
        <v>475193.39405958139</v>
      </c>
      <c r="BE564" s="214">
        <f t="shared" si="409"/>
        <v>2313.0278739019973</v>
      </c>
      <c r="BF564" s="214">
        <f t="shared" si="410"/>
        <v>-786.2984366036751</v>
      </c>
      <c r="BG564" s="224">
        <f t="shared" si="428"/>
        <v>0</v>
      </c>
      <c r="BH564" s="19">
        <f t="shared" si="424"/>
        <v>1063825.6396914695</v>
      </c>
      <c r="BI564" s="214">
        <f t="shared" si="411"/>
        <v>5178.2250939066425</v>
      </c>
      <c r="BJ564" s="214">
        <f t="shared" si="412"/>
        <v>0</v>
      </c>
      <c r="BK564" s="19">
        <f t="shared" si="429"/>
        <v>0</v>
      </c>
    </row>
    <row r="565" spans="1:63">
      <c r="A565" s="165">
        <f t="shared" si="413"/>
        <v>102.88945927446954</v>
      </c>
      <c r="B565" s="69">
        <f t="shared" si="414"/>
        <v>41</v>
      </c>
      <c r="C565" s="70">
        <f t="shared" si="415"/>
        <v>491</v>
      </c>
      <c r="D565" s="13">
        <f t="shared" si="384"/>
        <v>4.8675505653430484E-3</v>
      </c>
      <c r="E565" s="15">
        <f t="shared" si="385"/>
        <v>1</v>
      </c>
      <c r="F565" s="15">
        <f t="shared" si="416"/>
        <v>0</v>
      </c>
      <c r="G565" s="15">
        <f t="shared" si="386"/>
        <v>0</v>
      </c>
      <c r="H565" s="73">
        <f t="shared" si="387"/>
        <v>0</v>
      </c>
      <c r="I565" s="189"/>
      <c r="J565" s="189"/>
      <c r="K565" s="5">
        <f t="shared" si="430"/>
        <v>281258.0940631344</v>
      </c>
      <c r="M565" s="5">
        <f t="shared" si="388"/>
        <v>1369.0379947643182</v>
      </c>
      <c r="N565" s="5">
        <f t="shared" si="389"/>
        <v>-465.39535778193721</v>
      </c>
      <c r="O565" s="5">
        <f t="shared" si="390"/>
        <v>0</v>
      </c>
      <c r="P565" s="5">
        <f t="shared" si="391"/>
        <v>0</v>
      </c>
      <c r="Q565" s="5">
        <f t="shared" si="425"/>
        <v>0</v>
      </c>
      <c r="R565" s="5">
        <f t="shared" si="417"/>
        <v>0</v>
      </c>
      <c r="S565" s="5">
        <f t="shared" si="392"/>
        <v>0</v>
      </c>
      <c r="T565" s="5">
        <f t="shared" si="393"/>
        <v>0</v>
      </c>
      <c r="U565" s="74">
        <f t="shared" si="394"/>
        <v>0</v>
      </c>
      <c r="V565" s="75">
        <f t="shared" si="395"/>
        <v>0</v>
      </c>
      <c r="W565" s="5">
        <f t="shared" si="396"/>
        <v>0</v>
      </c>
      <c r="X565" s="5">
        <f t="shared" si="397"/>
        <v>282161.73670011677</v>
      </c>
      <c r="Y565" s="5">
        <f t="shared" si="418"/>
        <v>100000</v>
      </c>
      <c r="Z565" s="215">
        <f t="shared" si="398"/>
        <v>1</v>
      </c>
      <c r="AA565" s="216">
        <f t="shared" si="419"/>
        <v>0</v>
      </c>
      <c r="AB565" s="72">
        <f t="shared" si="426"/>
        <v>105651.83946229343</v>
      </c>
      <c r="AC565" s="72">
        <f t="shared" si="399"/>
        <v>0</v>
      </c>
      <c r="AD565" s="72">
        <f t="shared" si="400"/>
        <v>0</v>
      </c>
      <c r="AE565" s="72">
        <f t="shared" si="420"/>
        <v>-58.756921772143457</v>
      </c>
      <c r="AF565" s="70">
        <f t="shared" si="401"/>
        <v>0</v>
      </c>
      <c r="AG565" s="70">
        <f t="shared" si="402"/>
        <v>3717.3194794224546</v>
      </c>
      <c r="AH565" s="1">
        <f t="shared" ref="AH565:AS574" si="435">IF($B565&lt;=AH$74,1,0)</f>
        <v>0</v>
      </c>
      <c r="AI565" s="1">
        <f t="shared" si="435"/>
        <v>0</v>
      </c>
      <c r="AJ565" s="1">
        <f t="shared" si="435"/>
        <v>0</v>
      </c>
      <c r="AK565" s="1">
        <f t="shared" si="435"/>
        <v>0</v>
      </c>
      <c r="AL565" s="1">
        <f t="shared" si="435"/>
        <v>0</v>
      </c>
      <c r="AM565" s="1">
        <f t="shared" si="435"/>
        <v>0</v>
      </c>
      <c r="AN565" s="1">
        <f t="shared" si="435"/>
        <v>0</v>
      </c>
      <c r="AO565" s="1">
        <f t="shared" si="435"/>
        <v>0</v>
      </c>
      <c r="AP565" s="1">
        <f t="shared" si="435"/>
        <v>0</v>
      </c>
      <c r="AQ565" s="1">
        <f t="shared" si="435"/>
        <v>0</v>
      </c>
      <c r="AR565" s="1">
        <f t="shared" si="435"/>
        <v>0</v>
      </c>
      <c r="AS565" s="1">
        <f t="shared" si="435"/>
        <v>0</v>
      </c>
      <c r="AT565" s="39">
        <f t="shared" si="403"/>
        <v>282161.73670011677</v>
      </c>
      <c r="AU565" s="39">
        <f t="shared" si="421"/>
        <v>282161.73670011677</v>
      </c>
      <c r="AV565" s="39">
        <f t="shared" si="432"/>
        <v>0</v>
      </c>
      <c r="AW565" s="3">
        <f t="shared" si="404"/>
        <v>491</v>
      </c>
      <c r="AX565" s="69">
        <f t="shared" si="422"/>
        <v>0</v>
      </c>
      <c r="AY565" s="75">
        <f t="shared" si="405"/>
        <v>0</v>
      </c>
      <c r="AZ565" s="75">
        <f t="shared" si="406"/>
        <v>0</v>
      </c>
      <c r="BA565" s="75">
        <f t="shared" si="407"/>
        <v>0</v>
      </c>
      <c r="BB565" s="75">
        <f t="shared" si="408"/>
        <v>0</v>
      </c>
      <c r="BD565" s="214">
        <f t="shared" si="423"/>
        <v>476720.12349687971</v>
      </c>
      <c r="BE565" s="214">
        <f t="shared" si="409"/>
        <v>2320.4593066376447</v>
      </c>
      <c r="BF565" s="214">
        <f t="shared" si="410"/>
        <v>-788.82470271905368</v>
      </c>
      <c r="BG565" s="224">
        <f t="shared" si="428"/>
        <v>0</v>
      </c>
      <c r="BH565" s="19">
        <f t="shared" si="424"/>
        <v>1069003.8647853762</v>
      </c>
      <c r="BI565" s="214">
        <f t="shared" si="411"/>
        <v>5203.4303663899618</v>
      </c>
      <c r="BJ565" s="214">
        <f t="shared" si="412"/>
        <v>0</v>
      </c>
      <c r="BK565" s="19">
        <f t="shared" si="429"/>
        <v>0</v>
      </c>
    </row>
    <row r="566" spans="1:63">
      <c r="A566" s="165">
        <f t="shared" si="413"/>
        <v>102.97279260780287</v>
      </c>
      <c r="B566" s="69">
        <f t="shared" si="414"/>
        <v>41</v>
      </c>
      <c r="C566" s="70">
        <f t="shared" si="415"/>
        <v>492</v>
      </c>
      <c r="D566" s="13">
        <f t="shared" si="384"/>
        <v>4.8675505653430484E-3</v>
      </c>
      <c r="E566" s="15">
        <f t="shared" si="385"/>
        <v>1</v>
      </c>
      <c r="F566" s="15">
        <f t="shared" si="416"/>
        <v>0</v>
      </c>
      <c r="G566" s="15">
        <f t="shared" si="386"/>
        <v>0</v>
      </c>
      <c r="H566" s="73">
        <f t="shared" si="387"/>
        <v>0</v>
      </c>
      <c r="I566" s="189"/>
      <c r="J566" s="189"/>
      <c r="K566" s="5">
        <f t="shared" si="430"/>
        <v>282161.73670011677</v>
      </c>
      <c r="M566" s="5">
        <f t="shared" si="388"/>
        <v>1373.4365209928299</v>
      </c>
      <c r="N566" s="5">
        <f t="shared" si="389"/>
        <v>-466.89060750886961</v>
      </c>
      <c r="O566" s="5">
        <f t="shared" si="390"/>
        <v>0</v>
      </c>
      <c r="P566" s="5">
        <f t="shared" si="391"/>
        <v>0</v>
      </c>
      <c r="Q566" s="5">
        <f t="shared" si="425"/>
        <v>0</v>
      </c>
      <c r="R566" s="5">
        <f t="shared" si="417"/>
        <v>0</v>
      </c>
      <c r="S566" s="5">
        <f t="shared" si="392"/>
        <v>0</v>
      </c>
      <c r="T566" s="5">
        <f t="shared" si="393"/>
        <v>0</v>
      </c>
      <c r="U566" s="74">
        <f t="shared" si="394"/>
        <v>0</v>
      </c>
      <c r="V566" s="75">
        <f t="shared" si="395"/>
        <v>0</v>
      </c>
      <c r="W566" s="5">
        <f t="shared" si="396"/>
        <v>0</v>
      </c>
      <c r="X566" s="5">
        <f t="shared" si="397"/>
        <v>283068.28261360072</v>
      </c>
      <c r="Y566" s="5">
        <f t="shared" si="418"/>
        <v>100000</v>
      </c>
      <c r="Z566" s="215">
        <f t="shared" si="398"/>
        <v>1</v>
      </c>
      <c r="AA566" s="216">
        <f t="shared" si="419"/>
        <v>0</v>
      </c>
      <c r="AB566" s="72">
        <f t="shared" si="426"/>
        <v>105651.83946229343</v>
      </c>
      <c r="AC566" s="72">
        <f t="shared" si="399"/>
        <v>0</v>
      </c>
      <c r="AD566" s="72">
        <f t="shared" si="400"/>
        <v>0</v>
      </c>
      <c r="AE566" s="72">
        <f t="shared" si="420"/>
        <v>-58.945699485040947</v>
      </c>
      <c r="AF566" s="70">
        <f t="shared" si="401"/>
        <v>0</v>
      </c>
      <c r="AG566" s="70">
        <f t="shared" si="402"/>
        <v>4061.8069265463564</v>
      </c>
      <c r="AH566" s="1">
        <f t="shared" si="435"/>
        <v>0</v>
      </c>
      <c r="AI566" s="1">
        <f t="shared" si="435"/>
        <v>0</v>
      </c>
      <c r="AJ566" s="1">
        <f t="shared" si="435"/>
        <v>0</v>
      </c>
      <c r="AK566" s="1">
        <f t="shared" si="435"/>
        <v>0</v>
      </c>
      <c r="AL566" s="1">
        <f t="shared" si="435"/>
        <v>0</v>
      </c>
      <c r="AM566" s="1">
        <f t="shared" si="435"/>
        <v>0</v>
      </c>
      <c r="AN566" s="1">
        <f t="shared" si="435"/>
        <v>0</v>
      </c>
      <c r="AO566" s="1">
        <f t="shared" si="435"/>
        <v>0</v>
      </c>
      <c r="AP566" s="1">
        <f t="shared" si="435"/>
        <v>0</v>
      </c>
      <c r="AQ566" s="1">
        <f t="shared" si="435"/>
        <v>0</v>
      </c>
      <c r="AR566" s="1">
        <f t="shared" si="435"/>
        <v>0</v>
      </c>
      <c r="AS566" s="1">
        <f t="shared" si="435"/>
        <v>0</v>
      </c>
      <c r="AT566" s="39">
        <f t="shared" si="403"/>
        <v>283068.28261360072</v>
      </c>
      <c r="AU566" s="39">
        <f t="shared" si="421"/>
        <v>283068.28261360072</v>
      </c>
      <c r="AV566" s="39">
        <f t="shared" si="432"/>
        <v>0</v>
      </c>
      <c r="AW566" s="3">
        <f t="shared" si="404"/>
        <v>492</v>
      </c>
      <c r="AX566" s="69">
        <f t="shared" si="422"/>
        <v>0</v>
      </c>
      <c r="AY566" s="75">
        <f t="shared" si="405"/>
        <v>0</v>
      </c>
      <c r="AZ566" s="75">
        <f t="shared" si="406"/>
        <v>0</v>
      </c>
      <c r="BA566" s="75">
        <f t="shared" si="407"/>
        <v>0</v>
      </c>
      <c r="BB566" s="75">
        <f t="shared" si="408"/>
        <v>0</v>
      </c>
      <c r="BD566" s="214">
        <f t="shared" si="423"/>
        <v>478251.7581007983</v>
      </c>
      <c r="BE566" s="214">
        <f t="shared" si="409"/>
        <v>2327.9146155198478</v>
      </c>
      <c r="BF566" s="214">
        <f t="shared" si="410"/>
        <v>-791.35908537160014</v>
      </c>
      <c r="BG566" s="224">
        <f t="shared" si="428"/>
        <v>0</v>
      </c>
      <c r="BH566" s="19">
        <f t="shared" si="424"/>
        <v>1074207.2951517662</v>
      </c>
      <c r="BI566" s="214">
        <f t="shared" si="411"/>
        <v>5228.7583268116059</v>
      </c>
      <c r="BJ566" s="214">
        <f t="shared" si="412"/>
        <v>0</v>
      </c>
      <c r="BK566" s="19">
        <f t="shared" si="429"/>
        <v>0</v>
      </c>
    </row>
    <row r="567" spans="1:63">
      <c r="A567" s="165">
        <f t="shared" si="413"/>
        <v>103.0561259411362</v>
      </c>
      <c r="B567" s="69">
        <f t="shared" si="414"/>
        <v>42</v>
      </c>
      <c r="C567" s="70">
        <f t="shared" si="415"/>
        <v>493</v>
      </c>
      <c r="D567" s="13">
        <f t="shared" si="384"/>
        <v>4.8675505653430484E-3</v>
      </c>
      <c r="E567" s="15">
        <f t="shared" si="385"/>
        <v>1</v>
      </c>
      <c r="F567" s="15">
        <f t="shared" si="416"/>
        <v>0</v>
      </c>
      <c r="G567" s="15">
        <f t="shared" si="386"/>
        <v>0</v>
      </c>
      <c r="H567" s="73">
        <f t="shared" si="387"/>
        <v>0</v>
      </c>
      <c r="I567" s="189"/>
      <c r="J567" s="189"/>
      <c r="K567" s="5">
        <f t="shared" si="430"/>
        <v>283068.28261360072</v>
      </c>
      <c r="M567" s="5">
        <f t="shared" si="388"/>
        <v>1377.849179066518</v>
      </c>
      <c r="N567" s="5">
        <f t="shared" si="389"/>
        <v>-468.39066126254721</v>
      </c>
      <c r="O567" s="5">
        <f t="shared" si="390"/>
        <v>0</v>
      </c>
      <c r="P567" s="5">
        <f t="shared" si="391"/>
        <v>0</v>
      </c>
      <c r="Q567" s="5">
        <f t="shared" si="425"/>
        <v>0</v>
      </c>
      <c r="R567" s="5">
        <f t="shared" si="417"/>
        <v>0</v>
      </c>
      <c r="S567" s="5">
        <f t="shared" si="392"/>
        <v>0</v>
      </c>
      <c r="T567" s="5">
        <f t="shared" si="393"/>
        <v>0</v>
      </c>
      <c r="U567" s="74">
        <f t="shared" si="394"/>
        <v>0</v>
      </c>
      <c r="V567" s="75">
        <f t="shared" si="395"/>
        <v>0</v>
      </c>
      <c r="W567" s="5">
        <f t="shared" si="396"/>
        <v>0</v>
      </c>
      <c r="X567" s="5">
        <f t="shared" si="397"/>
        <v>283977.74113140471</v>
      </c>
      <c r="Y567" s="5">
        <f t="shared" si="418"/>
        <v>100000</v>
      </c>
      <c r="Z567" s="215">
        <f t="shared" si="398"/>
        <v>1</v>
      </c>
      <c r="AA567" s="216">
        <f t="shared" si="419"/>
        <v>0</v>
      </c>
      <c r="AB567" s="72">
        <f t="shared" si="426"/>
        <v>105651.83946229343</v>
      </c>
      <c r="AC567" s="72">
        <f t="shared" si="399"/>
        <v>0</v>
      </c>
      <c r="AD567" s="72">
        <f t="shared" si="400"/>
        <v>0</v>
      </c>
      <c r="AE567" s="72">
        <f t="shared" si="420"/>
        <v>-59.135083714137927</v>
      </c>
      <c r="AF567" s="70">
        <f t="shared" si="401"/>
        <v>0</v>
      </c>
      <c r="AG567" s="70">
        <f t="shared" si="402"/>
        <v>4407.4011633118644</v>
      </c>
      <c r="AH567" s="1">
        <f t="shared" si="435"/>
        <v>0</v>
      </c>
      <c r="AI567" s="1">
        <f t="shared" si="435"/>
        <v>0</v>
      </c>
      <c r="AJ567" s="1">
        <f t="shared" si="435"/>
        <v>0</v>
      </c>
      <c r="AK567" s="1">
        <f t="shared" si="435"/>
        <v>0</v>
      </c>
      <c r="AL567" s="1">
        <f t="shared" si="435"/>
        <v>0</v>
      </c>
      <c r="AM567" s="1">
        <f t="shared" si="435"/>
        <v>0</v>
      </c>
      <c r="AN567" s="1">
        <f t="shared" si="435"/>
        <v>0</v>
      </c>
      <c r="AO567" s="1">
        <f t="shared" si="435"/>
        <v>0</v>
      </c>
      <c r="AP567" s="1">
        <f t="shared" si="435"/>
        <v>0</v>
      </c>
      <c r="AQ567" s="1">
        <f t="shared" si="435"/>
        <v>0</v>
      </c>
      <c r="AR567" s="1">
        <f t="shared" si="435"/>
        <v>0</v>
      </c>
      <c r="AS567" s="1">
        <f t="shared" si="435"/>
        <v>0</v>
      </c>
      <c r="AT567" s="39">
        <f t="shared" si="403"/>
        <v>283977.74113140471</v>
      </c>
      <c r="AU567" s="39">
        <f t="shared" si="421"/>
        <v>283977.74113140471</v>
      </c>
      <c r="AV567" s="39">
        <f t="shared" si="432"/>
        <v>0</v>
      </c>
      <c r="AW567" s="3">
        <f t="shared" si="404"/>
        <v>493</v>
      </c>
      <c r="AX567" s="69">
        <f t="shared" si="422"/>
        <v>0</v>
      </c>
      <c r="AY567" s="75">
        <f t="shared" si="405"/>
        <v>0</v>
      </c>
      <c r="AZ567" s="75">
        <f t="shared" si="406"/>
        <v>0</v>
      </c>
      <c r="BA567" s="75">
        <f t="shared" si="407"/>
        <v>0</v>
      </c>
      <c r="BB567" s="75">
        <f t="shared" si="408"/>
        <v>0</v>
      </c>
      <c r="BD567" s="214">
        <f t="shared" si="423"/>
        <v>479788.31363094656</v>
      </c>
      <c r="BE567" s="214">
        <f t="shared" si="409"/>
        <v>2335.3938772593019</v>
      </c>
      <c r="BF567" s="214">
        <f t="shared" si="410"/>
        <v>-793.90161063860512</v>
      </c>
      <c r="BG567" s="224">
        <f t="shared" si="428"/>
        <v>0</v>
      </c>
      <c r="BH567" s="19">
        <f t="shared" si="424"/>
        <v>1079436.0534785779</v>
      </c>
      <c r="BI567" s="214">
        <f t="shared" si="411"/>
        <v>5254.2095723613211</v>
      </c>
      <c r="BJ567" s="214">
        <f t="shared" si="412"/>
        <v>0</v>
      </c>
      <c r="BK567" s="19">
        <f t="shared" si="429"/>
        <v>0</v>
      </c>
    </row>
    <row r="568" spans="1:63">
      <c r="A568" s="165">
        <f t="shared" si="413"/>
        <v>103.13945927446954</v>
      </c>
      <c r="B568" s="69">
        <f t="shared" si="414"/>
        <v>42</v>
      </c>
      <c r="C568" s="70">
        <f t="shared" si="415"/>
        <v>494</v>
      </c>
      <c r="D568" s="13">
        <f t="shared" si="384"/>
        <v>4.8675505653430484E-3</v>
      </c>
      <c r="E568" s="15">
        <f t="shared" si="385"/>
        <v>1</v>
      </c>
      <c r="F568" s="15">
        <f t="shared" si="416"/>
        <v>0</v>
      </c>
      <c r="G568" s="15">
        <f t="shared" si="386"/>
        <v>0</v>
      </c>
      <c r="H568" s="73">
        <f t="shared" si="387"/>
        <v>0</v>
      </c>
      <c r="I568" s="189"/>
      <c r="J568" s="189"/>
      <c r="K568" s="5">
        <f t="shared" si="430"/>
        <v>283977.74113140471</v>
      </c>
      <c r="M568" s="5">
        <f t="shared" si="388"/>
        <v>1382.2760143890109</v>
      </c>
      <c r="N568" s="5">
        <f t="shared" si="389"/>
        <v>-469.89553447763132</v>
      </c>
      <c r="O568" s="5">
        <f t="shared" si="390"/>
        <v>0</v>
      </c>
      <c r="P568" s="5">
        <f t="shared" si="391"/>
        <v>0</v>
      </c>
      <c r="Q568" s="5">
        <f t="shared" si="425"/>
        <v>0</v>
      </c>
      <c r="R568" s="5">
        <f t="shared" si="417"/>
        <v>0</v>
      </c>
      <c r="S568" s="5">
        <f t="shared" si="392"/>
        <v>0</v>
      </c>
      <c r="T568" s="5">
        <f t="shared" si="393"/>
        <v>0</v>
      </c>
      <c r="U568" s="74">
        <f t="shared" si="394"/>
        <v>0</v>
      </c>
      <c r="V568" s="75">
        <f t="shared" si="395"/>
        <v>0</v>
      </c>
      <c r="W568" s="5">
        <f t="shared" si="396"/>
        <v>0</v>
      </c>
      <c r="X568" s="5">
        <f t="shared" si="397"/>
        <v>284890.12161131611</v>
      </c>
      <c r="Y568" s="5">
        <f t="shared" si="418"/>
        <v>100000</v>
      </c>
      <c r="Z568" s="215">
        <f t="shared" si="398"/>
        <v>1</v>
      </c>
      <c r="AA568" s="216">
        <f t="shared" si="419"/>
        <v>0</v>
      </c>
      <c r="AB568" s="72">
        <f t="shared" si="426"/>
        <v>105651.83946229343</v>
      </c>
      <c r="AC568" s="72">
        <f t="shared" si="399"/>
        <v>0</v>
      </c>
      <c r="AD568" s="72">
        <f t="shared" si="400"/>
        <v>0</v>
      </c>
      <c r="AE568" s="72">
        <f t="shared" si="420"/>
        <v>-59.325076408085515</v>
      </c>
      <c r="AF568" s="70">
        <f t="shared" si="401"/>
        <v>0</v>
      </c>
      <c r="AG568" s="70">
        <f t="shared" si="402"/>
        <v>4754.1057456782</v>
      </c>
      <c r="AH568" s="1">
        <f t="shared" si="435"/>
        <v>0</v>
      </c>
      <c r="AI568" s="1">
        <f t="shared" si="435"/>
        <v>0</v>
      </c>
      <c r="AJ568" s="1">
        <f t="shared" si="435"/>
        <v>0</v>
      </c>
      <c r="AK568" s="1">
        <f t="shared" si="435"/>
        <v>0</v>
      </c>
      <c r="AL568" s="1">
        <f t="shared" si="435"/>
        <v>0</v>
      </c>
      <c r="AM568" s="1">
        <f t="shared" si="435"/>
        <v>0</v>
      </c>
      <c r="AN568" s="1">
        <f t="shared" si="435"/>
        <v>0</v>
      </c>
      <c r="AO568" s="1">
        <f t="shared" si="435"/>
        <v>0</v>
      </c>
      <c r="AP568" s="1">
        <f t="shared" si="435"/>
        <v>0</v>
      </c>
      <c r="AQ568" s="1">
        <f t="shared" si="435"/>
        <v>0</v>
      </c>
      <c r="AR568" s="1">
        <f t="shared" si="435"/>
        <v>0</v>
      </c>
      <c r="AS568" s="1">
        <f t="shared" si="435"/>
        <v>0</v>
      </c>
      <c r="AT568" s="39">
        <f t="shared" si="403"/>
        <v>284890.12161131611</v>
      </c>
      <c r="AU568" s="39">
        <f t="shared" si="421"/>
        <v>284890.12161131611</v>
      </c>
      <c r="AV568" s="39">
        <f t="shared" si="432"/>
        <v>0</v>
      </c>
      <c r="AW568" s="3">
        <f t="shared" si="404"/>
        <v>494</v>
      </c>
      <c r="AX568" s="69">
        <f t="shared" si="422"/>
        <v>0</v>
      </c>
      <c r="AY568" s="75">
        <f t="shared" si="405"/>
        <v>0</v>
      </c>
      <c r="AZ568" s="75">
        <f t="shared" si="406"/>
        <v>0</v>
      </c>
      <c r="BA568" s="75">
        <f t="shared" si="407"/>
        <v>0</v>
      </c>
      <c r="BB568" s="75">
        <f t="shared" si="408"/>
        <v>0</v>
      </c>
      <c r="BD568" s="214">
        <f t="shared" si="423"/>
        <v>481329.80589756725</v>
      </c>
      <c r="BE568" s="214">
        <f t="shared" si="409"/>
        <v>2342.8971688131633</v>
      </c>
      <c r="BF568" s="214">
        <f t="shared" si="410"/>
        <v>-796.45230468114164</v>
      </c>
      <c r="BG568" s="224">
        <f t="shared" si="428"/>
        <v>0</v>
      </c>
      <c r="BH568" s="19">
        <f t="shared" si="424"/>
        <v>1084690.2630509392</v>
      </c>
      <c r="BI568" s="214">
        <f t="shared" si="411"/>
        <v>5279.7847031356987</v>
      </c>
      <c r="BJ568" s="214">
        <f t="shared" si="412"/>
        <v>0</v>
      </c>
      <c r="BK568" s="19">
        <f t="shared" si="429"/>
        <v>0</v>
      </c>
    </row>
    <row r="569" spans="1:63">
      <c r="A569" s="165">
        <f t="shared" si="413"/>
        <v>103.22279260780287</v>
      </c>
      <c r="B569" s="69">
        <f t="shared" si="414"/>
        <v>42</v>
      </c>
      <c r="C569" s="70">
        <f t="shared" si="415"/>
        <v>495</v>
      </c>
      <c r="D569" s="13">
        <f t="shared" si="384"/>
        <v>4.8675505653430484E-3</v>
      </c>
      <c r="E569" s="15">
        <f t="shared" si="385"/>
        <v>1</v>
      </c>
      <c r="F569" s="15">
        <f t="shared" si="416"/>
        <v>0</v>
      </c>
      <c r="G569" s="15">
        <f t="shared" si="386"/>
        <v>0</v>
      </c>
      <c r="H569" s="73">
        <f t="shared" si="387"/>
        <v>0</v>
      </c>
      <c r="I569" s="189"/>
      <c r="J569" s="189"/>
      <c r="K569" s="5">
        <f t="shared" si="430"/>
        <v>284890.12161131611</v>
      </c>
      <c r="M569" s="5">
        <f t="shared" si="388"/>
        <v>1386.7170725098115</v>
      </c>
      <c r="N569" s="5">
        <f t="shared" si="389"/>
        <v>-471.4052426383725</v>
      </c>
      <c r="O569" s="5">
        <f t="shared" si="390"/>
        <v>0</v>
      </c>
      <c r="P569" s="5">
        <f t="shared" si="391"/>
        <v>0</v>
      </c>
      <c r="Q569" s="5">
        <f t="shared" si="425"/>
        <v>0</v>
      </c>
      <c r="R569" s="5">
        <f t="shared" si="417"/>
        <v>0</v>
      </c>
      <c r="S569" s="5">
        <f t="shared" si="392"/>
        <v>0</v>
      </c>
      <c r="T569" s="5">
        <f t="shared" si="393"/>
        <v>0</v>
      </c>
      <c r="U569" s="74">
        <f t="shared" si="394"/>
        <v>0</v>
      </c>
      <c r="V569" s="75">
        <f t="shared" si="395"/>
        <v>0</v>
      </c>
      <c r="W569" s="5">
        <f t="shared" si="396"/>
        <v>0</v>
      </c>
      <c r="X569" s="5">
        <f t="shared" si="397"/>
        <v>285805.43344118755</v>
      </c>
      <c r="Y569" s="5">
        <f t="shared" si="418"/>
        <v>100000</v>
      </c>
      <c r="Z569" s="215">
        <f t="shared" si="398"/>
        <v>1</v>
      </c>
      <c r="AA569" s="216">
        <f t="shared" si="419"/>
        <v>0</v>
      </c>
      <c r="AB569" s="72">
        <f t="shared" si="426"/>
        <v>105651.83946229343</v>
      </c>
      <c r="AC569" s="72">
        <f t="shared" si="399"/>
        <v>0</v>
      </c>
      <c r="AD569" s="72">
        <f t="shared" si="400"/>
        <v>0</v>
      </c>
      <c r="AE569" s="72">
        <f t="shared" si="420"/>
        <v>-59.515679521795548</v>
      </c>
      <c r="AF569" s="70">
        <f t="shared" si="401"/>
        <v>0</v>
      </c>
      <c r="AG569" s="70">
        <f t="shared" si="402"/>
        <v>5101.9242410293373</v>
      </c>
      <c r="AH569" s="1">
        <f t="shared" si="435"/>
        <v>0</v>
      </c>
      <c r="AI569" s="1">
        <f t="shared" si="435"/>
        <v>0</v>
      </c>
      <c r="AJ569" s="1">
        <f t="shared" si="435"/>
        <v>0</v>
      </c>
      <c r="AK569" s="1">
        <f t="shared" si="435"/>
        <v>0</v>
      </c>
      <c r="AL569" s="1">
        <f t="shared" si="435"/>
        <v>0</v>
      </c>
      <c r="AM569" s="1">
        <f t="shared" si="435"/>
        <v>0</v>
      </c>
      <c r="AN569" s="1">
        <f t="shared" si="435"/>
        <v>0</v>
      </c>
      <c r="AO569" s="1">
        <f t="shared" si="435"/>
        <v>0</v>
      </c>
      <c r="AP569" s="1">
        <f t="shared" si="435"/>
        <v>0</v>
      </c>
      <c r="AQ569" s="1">
        <f t="shared" si="435"/>
        <v>0</v>
      </c>
      <c r="AR569" s="1">
        <f t="shared" si="435"/>
        <v>0</v>
      </c>
      <c r="AS569" s="1">
        <f t="shared" si="435"/>
        <v>0</v>
      </c>
      <c r="AT569" s="39">
        <f t="shared" si="403"/>
        <v>285805.43344118755</v>
      </c>
      <c r="AU569" s="39">
        <f t="shared" si="421"/>
        <v>285805.43344118755</v>
      </c>
      <c r="AV569" s="39">
        <f t="shared" si="432"/>
        <v>0</v>
      </c>
      <c r="AW569" s="3">
        <f t="shared" si="404"/>
        <v>495</v>
      </c>
      <c r="AX569" s="69">
        <f t="shared" si="422"/>
        <v>0</v>
      </c>
      <c r="AY569" s="75">
        <f t="shared" si="405"/>
        <v>0</v>
      </c>
      <c r="AZ569" s="75">
        <f t="shared" si="406"/>
        <v>0</v>
      </c>
      <c r="BA569" s="75">
        <f t="shared" si="407"/>
        <v>0</v>
      </c>
      <c r="BB569" s="75">
        <f t="shared" si="408"/>
        <v>0</v>
      </c>
      <c r="BD569" s="214">
        <f t="shared" si="423"/>
        <v>482876.25076169928</v>
      </c>
      <c r="BE569" s="214">
        <f t="shared" si="409"/>
        <v>2350.4245673858409</v>
      </c>
      <c r="BF569" s="214">
        <f t="shared" si="410"/>
        <v>-799.01119374433495</v>
      </c>
      <c r="BG569" s="224">
        <f t="shared" si="428"/>
        <v>0</v>
      </c>
      <c r="BH569" s="19">
        <f t="shared" si="424"/>
        <v>1089970.0477540749</v>
      </c>
      <c r="BI569" s="214">
        <f t="shared" si="411"/>
        <v>5305.484322152337</v>
      </c>
      <c r="BJ569" s="214">
        <f t="shared" si="412"/>
        <v>0</v>
      </c>
      <c r="BK569" s="19">
        <f t="shared" si="429"/>
        <v>0</v>
      </c>
    </row>
    <row r="570" spans="1:63">
      <c r="A570" s="165">
        <f t="shared" si="413"/>
        <v>103.3061259411362</v>
      </c>
      <c r="B570" s="69">
        <f t="shared" si="414"/>
        <v>42</v>
      </c>
      <c r="C570" s="70">
        <f t="shared" si="415"/>
        <v>496</v>
      </c>
      <c r="D570" s="13">
        <f t="shared" si="384"/>
        <v>4.8675505653430484E-3</v>
      </c>
      <c r="E570" s="15">
        <f t="shared" si="385"/>
        <v>1</v>
      </c>
      <c r="F570" s="15">
        <f t="shared" si="416"/>
        <v>0</v>
      </c>
      <c r="G570" s="15">
        <f t="shared" si="386"/>
        <v>0</v>
      </c>
      <c r="H570" s="73">
        <f t="shared" si="387"/>
        <v>0</v>
      </c>
      <c r="I570" s="189"/>
      <c r="J570" s="189"/>
      <c r="K570" s="5">
        <f t="shared" si="430"/>
        <v>285805.43344118755</v>
      </c>
      <c r="M570" s="5">
        <f t="shared" si="388"/>
        <v>1391.1723991247675</v>
      </c>
      <c r="N570" s="5">
        <f t="shared" si="389"/>
        <v>-472.91980127876997</v>
      </c>
      <c r="O570" s="5">
        <f t="shared" si="390"/>
        <v>0</v>
      </c>
      <c r="P570" s="5">
        <f t="shared" si="391"/>
        <v>0</v>
      </c>
      <c r="Q570" s="5">
        <f t="shared" si="425"/>
        <v>0</v>
      </c>
      <c r="R570" s="5">
        <f t="shared" si="417"/>
        <v>0</v>
      </c>
      <c r="S570" s="5">
        <f t="shared" si="392"/>
        <v>0</v>
      </c>
      <c r="T570" s="5">
        <f t="shared" si="393"/>
        <v>0</v>
      </c>
      <c r="U570" s="74">
        <f t="shared" si="394"/>
        <v>0</v>
      </c>
      <c r="V570" s="75">
        <f t="shared" si="395"/>
        <v>0</v>
      </c>
      <c r="W570" s="5">
        <f t="shared" si="396"/>
        <v>0</v>
      </c>
      <c r="X570" s="5">
        <f t="shared" si="397"/>
        <v>286723.68603903352</v>
      </c>
      <c r="Y570" s="5">
        <f t="shared" si="418"/>
        <v>100000</v>
      </c>
      <c r="Z570" s="215">
        <f t="shared" si="398"/>
        <v>1</v>
      </c>
      <c r="AA570" s="216">
        <f t="shared" si="419"/>
        <v>0</v>
      </c>
      <c r="AB570" s="72">
        <f t="shared" si="426"/>
        <v>105651.83946229343</v>
      </c>
      <c r="AC570" s="72">
        <f t="shared" si="399"/>
        <v>0</v>
      </c>
      <c r="AD570" s="72">
        <f t="shared" si="400"/>
        <v>0</v>
      </c>
      <c r="AE570" s="72">
        <f t="shared" si="420"/>
        <v>-59.706895016460756</v>
      </c>
      <c r="AF570" s="70">
        <f t="shared" si="401"/>
        <v>0</v>
      </c>
      <c r="AG570" s="70">
        <f t="shared" si="402"/>
        <v>5450.8602282108186</v>
      </c>
      <c r="AH570" s="1">
        <f t="shared" si="435"/>
        <v>0</v>
      </c>
      <c r="AI570" s="1">
        <f t="shared" si="435"/>
        <v>0</v>
      </c>
      <c r="AJ570" s="1">
        <f t="shared" si="435"/>
        <v>0</v>
      </c>
      <c r="AK570" s="1">
        <f t="shared" si="435"/>
        <v>0</v>
      </c>
      <c r="AL570" s="1">
        <f t="shared" si="435"/>
        <v>0</v>
      </c>
      <c r="AM570" s="1">
        <f t="shared" si="435"/>
        <v>0</v>
      </c>
      <c r="AN570" s="1">
        <f t="shared" si="435"/>
        <v>0</v>
      </c>
      <c r="AO570" s="1">
        <f t="shared" si="435"/>
        <v>0</v>
      </c>
      <c r="AP570" s="1">
        <f t="shared" si="435"/>
        <v>0</v>
      </c>
      <c r="AQ570" s="1">
        <f t="shared" si="435"/>
        <v>0</v>
      </c>
      <c r="AR570" s="1">
        <f t="shared" si="435"/>
        <v>0</v>
      </c>
      <c r="AS570" s="1">
        <f t="shared" si="435"/>
        <v>0</v>
      </c>
      <c r="AT570" s="39">
        <f t="shared" si="403"/>
        <v>286723.68603903352</v>
      </c>
      <c r="AU570" s="39">
        <f t="shared" si="421"/>
        <v>286723.68603903352</v>
      </c>
      <c r="AV570" s="39">
        <f t="shared" si="432"/>
        <v>0</v>
      </c>
      <c r="AW570" s="3">
        <f t="shared" si="404"/>
        <v>496</v>
      </c>
      <c r="AX570" s="69">
        <f t="shared" si="422"/>
        <v>0</v>
      </c>
      <c r="AY570" s="75">
        <f t="shared" si="405"/>
        <v>0</v>
      </c>
      <c r="AZ570" s="75">
        <f t="shared" si="406"/>
        <v>0</v>
      </c>
      <c r="BA570" s="75">
        <f t="shared" si="407"/>
        <v>0</v>
      </c>
      <c r="BB570" s="75">
        <f t="shared" si="408"/>
        <v>0</v>
      </c>
      <c r="BD570" s="214">
        <f t="shared" si="423"/>
        <v>484427.66413534083</v>
      </c>
      <c r="BE570" s="214">
        <f t="shared" si="409"/>
        <v>2357.9761504297908</v>
      </c>
      <c r="BF570" s="214">
        <f t="shared" si="410"/>
        <v>-801.57830415763226</v>
      </c>
      <c r="BG570" s="224">
        <f t="shared" si="428"/>
        <v>0</v>
      </c>
      <c r="BH570" s="19">
        <f t="shared" si="424"/>
        <v>1095275.5320762272</v>
      </c>
      <c r="BI570" s="214">
        <f t="shared" si="411"/>
        <v>5331.3090353640482</v>
      </c>
      <c r="BJ570" s="214">
        <f t="shared" si="412"/>
        <v>0</v>
      </c>
      <c r="BK570" s="19">
        <f t="shared" si="429"/>
        <v>0</v>
      </c>
    </row>
    <row r="571" spans="1:63">
      <c r="A571" s="165">
        <f t="shared" si="413"/>
        <v>103.38945927446954</v>
      </c>
      <c r="B571" s="69">
        <f t="shared" si="414"/>
        <v>42</v>
      </c>
      <c r="C571" s="70">
        <f t="shared" si="415"/>
        <v>497</v>
      </c>
      <c r="D571" s="13">
        <f t="shared" si="384"/>
        <v>4.8675505653430484E-3</v>
      </c>
      <c r="E571" s="15">
        <f t="shared" si="385"/>
        <v>1</v>
      </c>
      <c r="F571" s="15">
        <f t="shared" si="416"/>
        <v>0</v>
      </c>
      <c r="G571" s="15">
        <f t="shared" si="386"/>
        <v>0</v>
      </c>
      <c r="H571" s="73">
        <f t="shared" si="387"/>
        <v>0</v>
      </c>
      <c r="I571" s="189"/>
      <c r="J571" s="189"/>
      <c r="K571" s="5">
        <f t="shared" si="430"/>
        <v>286723.68603903352</v>
      </c>
      <c r="M571" s="5">
        <f t="shared" si="388"/>
        <v>1395.6420400765403</v>
      </c>
      <c r="N571" s="5">
        <f t="shared" si="389"/>
        <v>-474.43922598273178</v>
      </c>
      <c r="O571" s="5">
        <f t="shared" si="390"/>
        <v>0</v>
      </c>
      <c r="P571" s="5">
        <f t="shared" si="391"/>
        <v>0</v>
      </c>
      <c r="Q571" s="5">
        <f t="shared" si="425"/>
        <v>0</v>
      </c>
      <c r="R571" s="5">
        <f t="shared" si="417"/>
        <v>0</v>
      </c>
      <c r="S571" s="5">
        <f t="shared" si="392"/>
        <v>0</v>
      </c>
      <c r="T571" s="5">
        <f t="shared" si="393"/>
        <v>0</v>
      </c>
      <c r="U571" s="74">
        <f t="shared" si="394"/>
        <v>0</v>
      </c>
      <c r="V571" s="75">
        <f t="shared" si="395"/>
        <v>0</v>
      </c>
      <c r="W571" s="5">
        <f t="shared" si="396"/>
        <v>0</v>
      </c>
      <c r="X571" s="5">
        <f t="shared" si="397"/>
        <v>287644.88885312731</v>
      </c>
      <c r="Y571" s="5">
        <f t="shared" si="418"/>
        <v>100000</v>
      </c>
      <c r="Z571" s="215">
        <f t="shared" si="398"/>
        <v>1</v>
      </c>
      <c r="AA571" s="216">
        <f t="shared" si="419"/>
        <v>0</v>
      </c>
      <c r="AB571" s="72">
        <f t="shared" si="426"/>
        <v>105651.83946229343</v>
      </c>
      <c r="AC571" s="72">
        <f t="shared" si="399"/>
        <v>0</v>
      </c>
      <c r="AD571" s="72">
        <f t="shared" si="400"/>
        <v>0</v>
      </c>
      <c r="AE571" s="72">
        <f t="shared" si="420"/>
        <v>-59.898724859574862</v>
      </c>
      <c r="AF571" s="70">
        <f t="shared" si="401"/>
        <v>0</v>
      </c>
      <c r="AG571" s="70">
        <f t="shared" si="402"/>
        <v>5800.9172975664551</v>
      </c>
      <c r="AH571" s="1">
        <f t="shared" si="435"/>
        <v>0</v>
      </c>
      <c r="AI571" s="1">
        <f t="shared" si="435"/>
        <v>0</v>
      </c>
      <c r="AJ571" s="1">
        <f t="shared" si="435"/>
        <v>0</v>
      </c>
      <c r="AK571" s="1">
        <f t="shared" si="435"/>
        <v>0</v>
      </c>
      <c r="AL571" s="1">
        <f t="shared" si="435"/>
        <v>0</v>
      </c>
      <c r="AM571" s="1">
        <f t="shared" si="435"/>
        <v>0</v>
      </c>
      <c r="AN571" s="1">
        <f t="shared" si="435"/>
        <v>0</v>
      </c>
      <c r="AO571" s="1">
        <f t="shared" si="435"/>
        <v>0</v>
      </c>
      <c r="AP571" s="1">
        <f t="shared" si="435"/>
        <v>0</v>
      </c>
      <c r="AQ571" s="1">
        <f t="shared" si="435"/>
        <v>0</v>
      </c>
      <c r="AR571" s="1">
        <f t="shared" si="435"/>
        <v>0</v>
      </c>
      <c r="AS571" s="1">
        <f t="shared" si="435"/>
        <v>0</v>
      </c>
      <c r="AT571" s="39">
        <f t="shared" si="403"/>
        <v>287644.88885312731</v>
      </c>
      <c r="AU571" s="39">
        <f t="shared" si="421"/>
        <v>287644.88885312731</v>
      </c>
      <c r="AV571" s="39">
        <f t="shared" si="432"/>
        <v>0</v>
      </c>
      <c r="AW571" s="3">
        <f t="shared" si="404"/>
        <v>497</v>
      </c>
      <c r="AX571" s="69">
        <f t="shared" si="422"/>
        <v>0</v>
      </c>
      <c r="AY571" s="75">
        <f t="shared" si="405"/>
        <v>0</v>
      </c>
      <c r="AZ571" s="75">
        <f t="shared" si="406"/>
        <v>0</v>
      </c>
      <c r="BA571" s="75">
        <f t="shared" si="407"/>
        <v>0</v>
      </c>
      <c r="BB571" s="75">
        <f t="shared" si="408"/>
        <v>0</v>
      </c>
      <c r="BD571" s="214">
        <f t="shared" si="423"/>
        <v>485984.06198161299</v>
      </c>
      <c r="BE571" s="214">
        <f t="shared" si="409"/>
        <v>2365.5519956463113</v>
      </c>
      <c r="BF571" s="214">
        <f t="shared" si="410"/>
        <v>-804.15366233507291</v>
      </c>
      <c r="BG571" s="224">
        <f t="shared" si="428"/>
        <v>0</v>
      </c>
      <c r="BH571" s="19">
        <f t="shared" si="424"/>
        <v>1100606.8411115913</v>
      </c>
      <c r="BI571" s="214">
        <f t="shared" si="411"/>
        <v>5357.2594516731533</v>
      </c>
      <c r="BJ571" s="214">
        <f t="shared" si="412"/>
        <v>0</v>
      </c>
      <c r="BK571" s="19">
        <f t="shared" si="429"/>
        <v>0</v>
      </c>
    </row>
    <row r="572" spans="1:63">
      <c r="A572" s="165">
        <f t="shared" si="413"/>
        <v>103.47279260780287</v>
      </c>
      <c r="B572" s="69">
        <f t="shared" si="414"/>
        <v>42</v>
      </c>
      <c r="C572" s="70">
        <f t="shared" si="415"/>
        <v>498</v>
      </c>
      <c r="D572" s="13">
        <f t="shared" si="384"/>
        <v>4.8675505653430484E-3</v>
      </c>
      <c r="E572" s="15">
        <f t="shared" si="385"/>
        <v>1</v>
      </c>
      <c r="F572" s="15">
        <f t="shared" si="416"/>
        <v>0</v>
      </c>
      <c r="G572" s="15">
        <f t="shared" si="386"/>
        <v>0</v>
      </c>
      <c r="H572" s="73">
        <f t="shared" si="387"/>
        <v>0</v>
      </c>
      <c r="I572" s="189"/>
      <c r="J572" s="189"/>
      <c r="K572" s="5">
        <f t="shared" si="430"/>
        <v>287644.88885312731</v>
      </c>
      <c r="M572" s="5">
        <f t="shared" si="388"/>
        <v>1400.1260413550781</v>
      </c>
      <c r="N572" s="5">
        <f t="shared" si="389"/>
        <v>-475.96353238423455</v>
      </c>
      <c r="O572" s="5">
        <f t="shared" si="390"/>
        <v>0</v>
      </c>
      <c r="P572" s="5">
        <f t="shared" si="391"/>
        <v>0</v>
      </c>
      <c r="Q572" s="5">
        <f t="shared" si="425"/>
        <v>0</v>
      </c>
      <c r="R572" s="5">
        <f t="shared" si="417"/>
        <v>0</v>
      </c>
      <c r="S572" s="5">
        <f t="shared" si="392"/>
        <v>0</v>
      </c>
      <c r="T572" s="5">
        <f t="shared" si="393"/>
        <v>0</v>
      </c>
      <c r="U572" s="74">
        <f t="shared" si="394"/>
        <v>0</v>
      </c>
      <c r="V572" s="75">
        <f t="shared" si="395"/>
        <v>0</v>
      </c>
      <c r="W572" s="5">
        <f t="shared" si="396"/>
        <v>0</v>
      </c>
      <c r="X572" s="5">
        <f t="shared" si="397"/>
        <v>288569.05136209814</v>
      </c>
      <c r="Y572" s="5">
        <f t="shared" si="418"/>
        <v>100000</v>
      </c>
      <c r="Z572" s="215">
        <f t="shared" si="398"/>
        <v>1</v>
      </c>
      <c r="AA572" s="216">
        <f t="shared" si="419"/>
        <v>0</v>
      </c>
      <c r="AB572" s="72">
        <f t="shared" si="426"/>
        <v>105651.83946229343</v>
      </c>
      <c r="AC572" s="72">
        <f t="shared" si="399"/>
        <v>0</v>
      </c>
      <c r="AD572" s="72">
        <f t="shared" si="400"/>
        <v>0</v>
      </c>
      <c r="AE572" s="72">
        <f t="shared" si="420"/>
        <v>-60.091171024952907</v>
      </c>
      <c r="AF572" s="70">
        <f t="shared" si="401"/>
        <v>0</v>
      </c>
      <c r="AG572" s="70">
        <f t="shared" si="402"/>
        <v>6152.099050975361</v>
      </c>
      <c r="AH572" s="1">
        <f t="shared" si="435"/>
        <v>0</v>
      </c>
      <c r="AI572" s="1">
        <f t="shared" si="435"/>
        <v>0</v>
      </c>
      <c r="AJ572" s="1">
        <f t="shared" si="435"/>
        <v>0</v>
      </c>
      <c r="AK572" s="1">
        <f t="shared" si="435"/>
        <v>0</v>
      </c>
      <c r="AL572" s="1">
        <f t="shared" si="435"/>
        <v>0</v>
      </c>
      <c r="AM572" s="1">
        <f t="shared" si="435"/>
        <v>0</v>
      </c>
      <c r="AN572" s="1">
        <f t="shared" si="435"/>
        <v>0</v>
      </c>
      <c r="AO572" s="1">
        <f t="shared" si="435"/>
        <v>0</v>
      </c>
      <c r="AP572" s="1">
        <f t="shared" si="435"/>
        <v>0</v>
      </c>
      <c r="AQ572" s="1">
        <f t="shared" si="435"/>
        <v>0</v>
      </c>
      <c r="AR572" s="1">
        <f t="shared" si="435"/>
        <v>0</v>
      </c>
      <c r="AS572" s="1">
        <f t="shared" si="435"/>
        <v>0</v>
      </c>
      <c r="AT572" s="39">
        <f t="shared" si="403"/>
        <v>288569.05136209814</v>
      </c>
      <c r="AU572" s="39">
        <f t="shared" si="421"/>
        <v>288569.05136209814</v>
      </c>
      <c r="AV572" s="39">
        <f t="shared" si="432"/>
        <v>0</v>
      </c>
      <c r="AW572" s="3">
        <f t="shared" si="404"/>
        <v>498</v>
      </c>
      <c r="AX572" s="69">
        <f t="shared" si="422"/>
        <v>0</v>
      </c>
      <c r="AY572" s="75">
        <f t="shared" si="405"/>
        <v>0</v>
      </c>
      <c r="AZ572" s="75">
        <f t="shared" si="406"/>
        <v>0</v>
      </c>
      <c r="BA572" s="75">
        <f t="shared" si="407"/>
        <v>0</v>
      </c>
      <c r="BB572" s="75">
        <f t="shared" si="408"/>
        <v>0</v>
      </c>
      <c r="BD572" s="214">
        <f t="shared" si="423"/>
        <v>487545.46031492425</v>
      </c>
      <c r="BE572" s="214">
        <f t="shared" si="409"/>
        <v>2373.1521809863461</v>
      </c>
      <c r="BF572" s="214">
        <f t="shared" si="410"/>
        <v>-806.73729477556151</v>
      </c>
      <c r="BG572" s="224">
        <f t="shared" si="428"/>
        <v>0</v>
      </c>
      <c r="BH572" s="19">
        <f t="shared" si="424"/>
        <v>1105964.1005632645</v>
      </c>
      <c r="BI572" s="214">
        <f t="shared" si="411"/>
        <v>5383.3361829458336</v>
      </c>
      <c r="BJ572" s="214">
        <f t="shared" si="412"/>
        <v>0</v>
      </c>
      <c r="BK572" s="19">
        <f t="shared" si="429"/>
        <v>0</v>
      </c>
    </row>
    <row r="573" spans="1:63">
      <c r="A573" s="165">
        <f t="shared" si="413"/>
        <v>103.5561259411362</v>
      </c>
      <c r="B573" s="69">
        <f t="shared" si="414"/>
        <v>42</v>
      </c>
      <c r="C573" s="70">
        <f t="shared" si="415"/>
        <v>499</v>
      </c>
      <c r="D573" s="13">
        <f t="shared" si="384"/>
        <v>4.8675505653430484E-3</v>
      </c>
      <c r="E573" s="15">
        <f t="shared" si="385"/>
        <v>1</v>
      </c>
      <c r="F573" s="15">
        <f t="shared" si="416"/>
        <v>0</v>
      </c>
      <c r="G573" s="15">
        <f t="shared" si="386"/>
        <v>0</v>
      </c>
      <c r="H573" s="73">
        <f t="shared" si="387"/>
        <v>0</v>
      </c>
      <c r="I573" s="189"/>
      <c r="J573" s="189"/>
      <c r="K573" s="5">
        <f t="shared" si="430"/>
        <v>288569.05136209814</v>
      </c>
      <c r="M573" s="5">
        <f t="shared" si="388"/>
        <v>1404.624449098088</v>
      </c>
      <c r="N573" s="5">
        <f t="shared" si="389"/>
        <v>-477.49273616748496</v>
      </c>
      <c r="O573" s="5">
        <f t="shared" si="390"/>
        <v>0</v>
      </c>
      <c r="P573" s="5">
        <f t="shared" si="391"/>
        <v>0</v>
      </c>
      <c r="Q573" s="5">
        <f t="shared" si="425"/>
        <v>0</v>
      </c>
      <c r="R573" s="5">
        <f t="shared" si="417"/>
        <v>0</v>
      </c>
      <c r="S573" s="5">
        <f t="shared" si="392"/>
        <v>0</v>
      </c>
      <c r="T573" s="5">
        <f t="shared" si="393"/>
        <v>0</v>
      </c>
      <c r="U573" s="74">
        <f t="shared" si="394"/>
        <v>0</v>
      </c>
      <c r="V573" s="75">
        <f t="shared" si="395"/>
        <v>0</v>
      </c>
      <c r="W573" s="5">
        <f t="shared" si="396"/>
        <v>0</v>
      </c>
      <c r="X573" s="5">
        <f t="shared" si="397"/>
        <v>289496.1830750287</v>
      </c>
      <c r="Y573" s="5">
        <f t="shared" si="418"/>
        <v>100000</v>
      </c>
      <c r="Z573" s="215">
        <f t="shared" si="398"/>
        <v>1</v>
      </c>
      <c r="AA573" s="216">
        <f t="shared" si="419"/>
        <v>0</v>
      </c>
      <c r="AB573" s="72">
        <f t="shared" si="426"/>
        <v>105651.83946229343</v>
      </c>
      <c r="AC573" s="72">
        <f t="shared" si="399"/>
        <v>0</v>
      </c>
      <c r="AD573" s="72">
        <f t="shared" si="400"/>
        <v>0</v>
      </c>
      <c r="AE573" s="72">
        <f t="shared" si="420"/>
        <v>-60.284235492751506</v>
      </c>
      <c r="AF573" s="70">
        <f t="shared" si="401"/>
        <v>0</v>
      </c>
      <c r="AG573" s="70">
        <f t="shared" si="402"/>
        <v>6504.4091018889885</v>
      </c>
      <c r="AH573" s="1">
        <f t="shared" si="435"/>
        <v>0</v>
      </c>
      <c r="AI573" s="1">
        <f t="shared" si="435"/>
        <v>0</v>
      </c>
      <c r="AJ573" s="1">
        <f t="shared" si="435"/>
        <v>0</v>
      </c>
      <c r="AK573" s="1">
        <f t="shared" si="435"/>
        <v>0</v>
      </c>
      <c r="AL573" s="1">
        <f t="shared" si="435"/>
        <v>0</v>
      </c>
      <c r="AM573" s="1">
        <f t="shared" si="435"/>
        <v>0</v>
      </c>
      <c r="AN573" s="1">
        <f t="shared" si="435"/>
        <v>0</v>
      </c>
      <c r="AO573" s="1">
        <f t="shared" si="435"/>
        <v>0</v>
      </c>
      <c r="AP573" s="1">
        <f t="shared" si="435"/>
        <v>0</v>
      </c>
      <c r="AQ573" s="1">
        <f t="shared" si="435"/>
        <v>0</v>
      </c>
      <c r="AR573" s="1">
        <f t="shared" si="435"/>
        <v>0</v>
      </c>
      <c r="AS573" s="1">
        <f t="shared" si="435"/>
        <v>0</v>
      </c>
      <c r="AT573" s="39">
        <f t="shared" si="403"/>
        <v>289496.1830750287</v>
      </c>
      <c r="AU573" s="39">
        <f t="shared" si="421"/>
        <v>289496.1830750287</v>
      </c>
      <c r="AV573" s="39">
        <f t="shared" si="432"/>
        <v>0</v>
      </c>
      <c r="AW573" s="3">
        <f t="shared" si="404"/>
        <v>499</v>
      </c>
      <c r="AX573" s="69">
        <f t="shared" si="422"/>
        <v>0</v>
      </c>
      <c r="AY573" s="75">
        <f t="shared" si="405"/>
        <v>0</v>
      </c>
      <c r="AZ573" s="75">
        <f t="shared" si="406"/>
        <v>0</v>
      </c>
      <c r="BA573" s="75">
        <f t="shared" si="407"/>
        <v>0</v>
      </c>
      <c r="BB573" s="75">
        <f t="shared" si="408"/>
        <v>0</v>
      </c>
      <c r="BD573" s="214">
        <f t="shared" si="423"/>
        <v>489111.87520113506</v>
      </c>
      <c r="BE573" s="214">
        <f t="shared" si="409"/>
        <v>2380.7767846512834</v>
      </c>
      <c r="BF573" s="214">
        <f t="shared" si="410"/>
        <v>-809.32922806313968</v>
      </c>
      <c r="BG573" s="224">
        <f t="shared" si="428"/>
        <v>0</v>
      </c>
      <c r="BH573" s="19">
        <f t="shared" si="424"/>
        <v>1111347.4367462103</v>
      </c>
      <c r="BI573" s="214">
        <f t="shared" si="411"/>
        <v>5409.5398440265635</v>
      </c>
      <c r="BJ573" s="214">
        <f t="shared" si="412"/>
        <v>0</v>
      </c>
      <c r="BK573" s="19">
        <f t="shared" si="429"/>
        <v>0</v>
      </c>
    </row>
    <row r="574" spans="1:63">
      <c r="A574" s="165">
        <f t="shared" si="413"/>
        <v>103.63945927446954</v>
      </c>
      <c r="B574" s="69">
        <f t="shared" si="414"/>
        <v>42</v>
      </c>
      <c r="C574" s="70">
        <f t="shared" si="415"/>
        <v>500</v>
      </c>
      <c r="D574" s="13">
        <f t="shared" si="384"/>
        <v>4.8675505653430484E-3</v>
      </c>
      <c r="E574" s="15">
        <f t="shared" si="385"/>
        <v>1</v>
      </c>
      <c r="F574" s="15">
        <f t="shared" si="416"/>
        <v>0</v>
      </c>
      <c r="G574" s="15">
        <f t="shared" si="386"/>
        <v>0</v>
      </c>
      <c r="H574" s="73">
        <f t="shared" si="387"/>
        <v>0</v>
      </c>
      <c r="I574" s="189"/>
      <c r="J574" s="189"/>
      <c r="K574" s="5">
        <f t="shared" si="430"/>
        <v>289496.1830750287</v>
      </c>
      <c r="M574" s="5">
        <f t="shared" si="388"/>
        <v>1409.1373095915105</v>
      </c>
      <c r="N574" s="5">
        <f t="shared" si="389"/>
        <v>-479.02685306708054</v>
      </c>
      <c r="O574" s="5">
        <f t="shared" si="390"/>
        <v>0</v>
      </c>
      <c r="P574" s="5">
        <f t="shared" si="391"/>
        <v>0</v>
      </c>
      <c r="Q574" s="5">
        <f t="shared" si="425"/>
        <v>0</v>
      </c>
      <c r="R574" s="5">
        <f t="shared" si="417"/>
        <v>0</v>
      </c>
      <c r="S574" s="5">
        <f t="shared" si="392"/>
        <v>0</v>
      </c>
      <c r="T574" s="5">
        <f t="shared" si="393"/>
        <v>0</v>
      </c>
      <c r="U574" s="74">
        <f t="shared" si="394"/>
        <v>0</v>
      </c>
      <c r="V574" s="75">
        <f t="shared" si="395"/>
        <v>0</v>
      </c>
      <c r="W574" s="5">
        <f t="shared" si="396"/>
        <v>0</v>
      </c>
      <c r="X574" s="5">
        <f t="shared" si="397"/>
        <v>290426.29353155312</v>
      </c>
      <c r="Y574" s="5">
        <f t="shared" si="418"/>
        <v>100000</v>
      </c>
      <c r="Z574" s="215">
        <f t="shared" si="398"/>
        <v>1</v>
      </c>
      <c r="AA574" s="216">
        <f t="shared" si="419"/>
        <v>0</v>
      </c>
      <c r="AB574" s="72">
        <f t="shared" si="426"/>
        <v>105651.83946229343</v>
      </c>
      <c r="AC574" s="72">
        <f t="shared" si="399"/>
        <v>0</v>
      </c>
      <c r="AD574" s="72">
        <f t="shared" si="400"/>
        <v>0</v>
      </c>
      <c r="AE574" s="72">
        <f t="shared" si="420"/>
        <v>-60.47792024948923</v>
      </c>
      <c r="AF574" s="70">
        <f t="shared" si="401"/>
        <v>0</v>
      </c>
      <c r="AG574" s="70">
        <f t="shared" si="402"/>
        <v>6857.851075368264</v>
      </c>
      <c r="AH574" s="1">
        <f t="shared" si="435"/>
        <v>0</v>
      </c>
      <c r="AI574" s="1">
        <f t="shared" si="435"/>
        <v>0</v>
      </c>
      <c r="AJ574" s="1">
        <f t="shared" si="435"/>
        <v>0</v>
      </c>
      <c r="AK574" s="1">
        <f t="shared" si="435"/>
        <v>0</v>
      </c>
      <c r="AL574" s="1">
        <f t="shared" si="435"/>
        <v>0</v>
      </c>
      <c r="AM574" s="1">
        <f t="shared" si="435"/>
        <v>0</v>
      </c>
      <c r="AN574" s="1">
        <f t="shared" si="435"/>
        <v>0</v>
      </c>
      <c r="AO574" s="1">
        <f t="shared" si="435"/>
        <v>0</v>
      </c>
      <c r="AP574" s="1">
        <f t="shared" si="435"/>
        <v>0</v>
      </c>
      <c r="AQ574" s="1">
        <f t="shared" si="435"/>
        <v>0</v>
      </c>
      <c r="AR574" s="1">
        <f t="shared" si="435"/>
        <v>0</v>
      </c>
      <c r="AS574" s="1">
        <f t="shared" si="435"/>
        <v>0</v>
      </c>
      <c r="AT574" s="39">
        <f t="shared" si="403"/>
        <v>290426.29353155312</v>
      </c>
      <c r="AU574" s="39">
        <f t="shared" si="421"/>
        <v>290426.29353155312</v>
      </c>
      <c r="AV574" s="39">
        <f t="shared" si="432"/>
        <v>0</v>
      </c>
      <c r="AW574" s="3">
        <f t="shared" si="404"/>
        <v>500</v>
      </c>
      <c r="AX574" s="69">
        <f t="shared" si="422"/>
        <v>0</v>
      </c>
      <c r="AY574" s="75">
        <f t="shared" si="405"/>
        <v>0</v>
      </c>
      <c r="AZ574" s="75">
        <f t="shared" si="406"/>
        <v>0</v>
      </c>
      <c r="BA574" s="75">
        <f t="shared" si="407"/>
        <v>0</v>
      </c>
      <c r="BB574" s="75">
        <f t="shared" si="408"/>
        <v>0</v>
      </c>
      <c r="BD574" s="214">
        <f t="shared" si="423"/>
        <v>490683.32275772322</v>
      </c>
      <c r="BE574" s="214">
        <f t="shared" si="409"/>
        <v>2388.4258850937613</v>
      </c>
      <c r="BF574" s="214">
        <f t="shared" si="410"/>
        <v>-811.92948886725981</v>
      </c>
      <c r="BG574" s="224">
        <f t="shared" si="428"/>
        <v>0</v>
      </c>
      <c r="BH574" s="19">
        <f t="shared" si="424"/>
        <v>1116756.9765902369</v>
      </c>
      <c r="BI574" s="214">
        <f t="shared" si="411"/>
        <v>5435.8710527526009</v>
      </c>
      <c r="BJ574" s="214">
        <f t="shared" si="412"/>
        <v>0</v>
      </c>
      <c r="BK574" s="19">
        <f t="shared" si="429"/>
        <v>0</v>
      </c>
    </row>
    <row r="575" spans="1:63">
      <c r="A575" s="165">
        <f t="shared" si="413"/>
        <v>103.72279260780287</v>
      </c>
      <c r="B575" s="69">
        <f t="shared" si="414"/>
        <v>42</v>
      </c>
      <c r="C575" s="70">
        <f t="shared" si="415"/>
        <v>501</v>
      </c>
      <c r="D575" s="13">
        <f t="shared" si="384"/>
        <v>4.8675505653430484E-3</v>
      </c>
      <c r="E575" s="15">
        <f t="shared" si="385"/>
        <v>1</v>
      </c>
      <c r="F575" s="15">
        <f t="shared" si="416"/>
        <v>0</v>
      </c>
      <c r="G575" s="15">
        <f t="shared" si="386"/>
        <v>0</v>
      </c>
      <c r="H575" s="73">
        <f t="shared" si="387"/>
        <v>0</v>
      </c>
      <c r="I575" s="189"/>
      <c r="J575" s="189"/>
      <c r="K575" s="5">
        <f t="shared" si="430"/>
        <v>290426.29353155312</v>
      </c>
      <c r="M575" s="5">
        <f t="shared" si="388"/>
        <v>1413.6646692699976</v>
      </c>
      <c r="N575" s="5">
        <f t="shared" si="389"/>
        <v>-480.56589886817216</v>
      </c>
      <c r="O575" s="5">
        <f t="shared" si="390"/>
        <v>0</v>
      </c>
      <c r="P575" s="5">
        <f t="shared" si="391"/>
        <v>0</v>
      </c>
      <c r="Q575" s="5">
        <f t="shared" si="425"/>
        <v>0</v>
      </c>
      <c r="R575" s="5">
        <f t="shared" si="417"/>
        <v>0</v>
      </c>
      <c r="S575" s="5">
        <f t="shared" si="392"/>
        <v>0</v>
      </c>
      <c r="T575" s="5">
        <f t="shared" si="393"/>
        <v>0</v>
      </c>
      <c r="U575" s="74">
        <f t="shared" si="394"/>
        <v>0</v>
      </c>
      <c r="V575" s="75">
        <f t="shared" si="395"/>
        <v>0</v>
      </c>
      <c r="W575" s="5">
        <f t="shared" si="396"/>
        <v>0</v>
      </c>
      <c r="X575" s="5">
        <f t="shared" si="397"/>
        <v>291359.39230195491</v>
      </c>
      <c r="Y575" s="5">
        <f t="shared" si="418"/>
        <v>100000</v>
      </c>
      <c r="Z575" s="215">
        <f t="shared" si="398"/>
        <v>1</v>
      </c>
      <c r="AA575" s="216">
        <f t="shared" si="419"/>
        <v>0</v>
      </c>
      <c r="AB575" s="72">
        <f t="shared" si="426"/>
        <v>105651.83946229343</v>
      </c>
      <c r="AC575" s="72">
        <f t="shared" si="399"/>
        <v>0</v>
      </c>
      <c r="AD575" s="72">
        <f t="shared" si="400"/>
        <v>0</v>
      </c>
      <c r="AE575" s="72">
        <f t="shared" si="420"/>
        <v>-60.672227288067084</v>
      </c>
      <c r="AF575" s="70">
        <f t="shared" si="401"/>
        <v>0</v>
      </c>
      <c r="AG575" s="70">
        <f t="shared" si="402"/>
        <v>7212.428608120943</v>
      </c>
      <c r="AH575" s="1">
        <f t="shared" ref="AH575:AS584" si="436">IF($B575&lt;=AH$74,1,0)</f>
        <v>0</v>
      </c>
      <c r="AI575" s="1">
        <f t="shared" si="436"/>
        <v>0</v>
      </c>
      <c r="AJ575" s="1">
        <f t="shared" si="436"/>
        <v>0</v>
      </c>
      <c r="AK575" s="1">
        <f t="shared" si="436"/>
        <v>0</v>
      </c>
      <c r="AL575" s="1">
        <f t="shared" si="436"/>
        <v>0</v>
      </c>
      <c r="AM575" s="1">
        <f t="shared" si="436"/>
        <v>0</v>
      </c>
      <c r="AN575" s="1">
        <f t="shared" si="436"/>
        <v>0</v>
      </c>
      <c r="AO575" s="1">
        <f t="shared" si="436"/>
        <v>0</v>
      </c>
      <c r="AP575" s="1">
        <f t="shared" si="436"/>
        <v>0</v>
      </c>
      <c r="AQ575" s="1">
        <f t="shared" si="436"/>
        <v>0</v>
      </c>
      <c r="AR575" s="1">
        <f t="shared" si="436"/>
        <v>0</v>
      </c>
      <c r="AS575" s="1">
        <f t="shared" si="436"/>
        <v>0</v>
      </c>
      <c r="AT575" s="39">
        <f t="shared" si="403"/>
        <v>291359.39230195491</v>
      </c>
      <c r="AU575" s="39">
        <f t="shared" si="421"/>
        <v>291359.39230195491</v>
      </c>
      <c r="AV575" s="39">
        <f t="shared" si="432"/>
        <v>0</v>
      </c>
      <c r="AW575" s="3">
        <f t="shared" si="404"/>
        <v>501</v>
      </c>
      <c r="AX575" s="69">
        <f t="shared" si="422"/>
        <v>0</v>
      </c>
      <c r="AY575" s="75">
        <f t="shared" si="405"/>
        <v>0</v>
      </c>
      <c r="AZ575" s="75">
        <f t="shared" si="406"/>
        <v>0</v>
      </c>
      <c r="BA575" s="75">
        <f t="shared" si="407"/>
        <v>0</v>
      </c>
      <c r="BB575" s="75">
        <f t="shared" si="408"/>
        <v>0</v>
      </c>
      <c r="BD575" s="214">
        <f t="shared" si="423"/>
        <v>492259.81915394968</v>
      </c>
      <c r="BE575" s="214">
        <f t="shared" si="409"/>
        <v>2396.0995610184746</v>
      </c>
      <c r="BF575" s="214">
        <f t="shared" si="410"/>
        <v>-814.53810394305935</v>
      </c>
      <c r="BG575" s="224">
        <f t="shared" si="428"/>
        <v>0</v>
      </c>
      <c r="BH575" s="19">
        <f t="shared" si="424"/>
        <v>1122192.8476429896</v>
      </c>
      <c r="BI575" s="214">
        <f t="shared" si="411"/>
        <v>5462.3304299685597</v>
      </c>
      <c r="BJ575" s="214">
        <f t="shared" si="412"/>
        <v>0</v>
      </c>
      <c r="BK575" s="19">
        <f t="shared" si="429"/>
        <v>0</v>
      </c>
    </row>
    <row r="576" spans="1:63">
      <c r="A576" s="165">
        <f t="shared" si="413"/>
        <v>103.8061259411362</v>
      </c>
      <c r="B576" s="69">
        <f t="shared" si="414"/>
        <v>42</v>
      </c>
      <c r="C576" s="70">
        <f t="shared" si="415"/>
        <v>502</v>
      </c>
      <c r="D576" s="13">
        <f t="shared" si="384"/>
        <v>4.8675505653430484E-3</v>
      </c>
      <c r="E576" s="15">
        <f t="shared" si="385"/>
        <v>1</v>
      </c>
      <c r="F576" s="15">
        <f t="shared" si="416"/>
        <v>0</v>
      </c>
      <c r="G576" s="15">
        <f t="shared" si="386"/>
        <v>0</v>
      </c>
      <c r="H576" s="73">
        <f t="shared" si="387"/>
        <v>0</v>
      </c>
      <c r="I576" s="189"/>
      <c r="J576" s="189"/>
      <c r="K576" s="5">
        <f t="shared" si="430"/>
        <v>291359.39230195491</v>
      </c>
      <c r="M576" s="5">
        <f t="shared" si="388"/>
        <v>1418.2065747173876</v>
      </c>
      <c r="N576" s="5">
        <f t="shared" si="389"/>
        <v>-482.10988940662594</v>
      </c>
      <c r="O576" s="5">
        <f t="shared" si="390"/>
        <v>0</v>
      </c>
      <c r="P576" s="5">
        <f t="shared" si="391"/>
        <v>0</v>
      </c>
      <c r="Q576" s="5">
        <f t="shared" si="425"/>
        <v>0</v>
      </c>
      <c r="R576" s="5">
        <f t="shared" si="417"/>
        <v>0</v>
      </c>
      <c r="S576" s="5">
        <f t="shared" si="392"/>
        <v>0</v>
      </c>
      <c r="T576" s="5">
        <f t="shared" si="393"/>
        <v>0</v>
      </c>
      <c r="U576" s="74">
        <f t="shared" si="394"/>
        <v>0</v>
      </c>
      <c r="V576" s="75">
        <f t="shared" si="395"/>
        <v>0</v>
      </c>
      <c r="W576" s="5">
        <f t="shared" si="396"/>
        <v>0</v>
      </c>
      <c r="X576" s="5">
        <f t="shared" si="397"/>
        <v>292295.48898726562</v>
      </c>
      <c r="Y576" s="5">
        <f t="shared" si="418"/>
        <v>100000</v>
      </c>
      <c r="Z576" s="215">
        <f t="shared" si="398"/>
        <v>1</v>
      </c>
      <c r="AA576" s="216">
        <f t="shared" si="419"/>
        <v>0</v>
      </c>
      <c r="AB576" s="72">
        <f t="shared" si="426"/>
        <v>105651.83946229343</v>
      </c>
      <c r="AC576" s="72">
        <f t="shared" si="399"/>
        <v>0</v>
      </c>
      <c r="AD576" s="72">
        <f t="shared" si="400"/>
        <v>0</v>
      </c>
      <c r="AE576" s="72">
        <f t="shared" si="420"/>
        <v>-60.867158607788944</v>
      </c>
      <c r="AF576" s="70">
        <f t="shared" si="401"/>
        <v>0</v>
      </c>
      <c r="AG576" s="70">
        <f t="shared" si="402"/>
        <v>7568.1453485390084</v>
      </c>
      <c r="AH576" s="1">
        <f t="shared" si="436"/>
        <v>0</v>
      </c>
      <c r="AI576" s="1">
        <f t="shared" si="436"/>
        <v>0</v>
      </c>
      <c r="AJ576" s="1">
        <f t="shared" si="436"/>
        <v>0</v>
      </c>
      <c r="AK576" s="1">
        <f t="shared" si="436"/>
        <v>0</v>
      </c>
      <c r="AL576" s="1">
        <f t="shared" si="436"/>
        <v>0</v>
      </c>
      <c r="AM576" s="1">
        <f t="shared" si="436"/>
        <v>0</v>
      </c>
      <c r="AN576" s="1">
        <f t="shared" si="436"/>
        <v>0</v>
      </c>
      <c r="AO576" s="1">
        <f t="shared" si="436"/>
        <v>0</v>
      </c>
      <c r="AP576" s="1">
        <f t="shared" si="436"/>
        <v>0</v>
      </c>
      <c r="AQ576" s="1">
        <f t="shared" si="436"/>
        <v>0</v>
      </c>
      <c r="AR576" s="1">
        <f t="shared" si="436"/>
        <v>0</v>
      </c>
      <c r="AS576" s="1">
        <f t="shared" si="436"/>
        <v>0</v>
      </c>
      <c r="AT576" s="39">
        <f t="shared" si="403"/>
        <v>292295.48898726562</v>
      </c>
      <c r="AU576" s="39">
        <f t="shared" si="421"/>
        <v>292295.48898726562</v>
      </c>
      <c r="AV576" s="39">
        <f t="shared" si="432"/>
        <v>0</v>
      </c>
      <c r="AW576" s="3">
        <f t="shared" si="404"/>
        <v>502</v>
      </c>
      <c r="AX576" s="69">
        <f t="shared" si="422"/>
        <v>0</v>
      </c>
      <c r="AY576" s="75">
        <f t="shared" si="405"/>
        <v>0</v>
      </c>
      <c r="AZ576" s="75">
        <f t="shared" si="406"/>
        <v>0</v>
      </c>
      <c r="BA576" s="75">
        <f t="shared" si="407"/>
        <v>0</v>
      </c>
      <c r="BB576" s="75">
        <f t="shared" si="408"/>
        <v>0</v>
      </c>
      <c r="BD576" s="214">
        <f t="shared" si="423"/>
        <v>493841.38061102509</v>
      </c>
      <c r="BE576" s="214">
        <f t="shared" si="409"/>
        <v>2403.7978913829866</v>
      </c>
      <c r="BF576" s="214">
        <f t="shared" si="410"/>
        <v>-817.15510013163657</v>
      </c>
      <c r="BG576" s="224">
        <f t="shared" si="428"/>
        <v>0</v>
      </c>
      <c r="BH576" s="19">
        <f t="shared" si="424"/>
        <v>1127655.1780729583</v>
      </c>
      <c r="BI576" s="214">
        <f t="shared" si="411"/>
        <v>5488.9185995410435</v>
      </c>
      <c r="BJ576" s="214">
        <f t="shared" si="412"/>
        <v>0</v>
      </c>
      <c r="BK576" s="19">
        <f t="shared" si="429"/>
        <v>0</v>
      </c>
    </row>
    <row r="577" spans="1:63">
      <c r="A577" s="165">
        <f t="shared" si="413"/>
        <v>103.88945927446954</v>
      </c>
      <c r="B577" s="69">
        <f t="shared" si="414"/>
        <v>42</v>
      </c>
      <c r="C577" s="70">
        <f t="shared" si="415"/>
        <v>503</v>
      </c>
      <c r="D577" s="13">
        <f t="shared" si="384"/>
        <v>4.8675505653430484E-3</v>
      </c>
      <c r="E577" s="15">
        <f t="shared" si="385"/>
        <v>1</v>
      </c>
      <c r="F577" s="15">
        <f t="shared" si="416"/>
        <v>0</v>
      </c>
      <c r="G577" s="15">
        <f t="shared" si="386"/>
        <v>0</v>
      </c>
      <c r="H577" s="73">
        <f t="shared" si="387"/>
        <v>0</v>
      </c>
      <c r="I577" s="189"/>
      <c r="J577" s="189"/>
      <c r="K577" s="5">
        <f t="shared" si="430"/>
        <v>292295.48898726562</v>
      </c>
      <c r="M577" s="5">
        <f t="shared" si="388"/>
        <v>1422.7630726671875</v>
      </c>
      <c r="N577" s="5">
        <f t="shared" si="389"/>
        <v>-483.65884056918651</v>
      </c>
      <c r="O577" s="5">
        <f t="shared" si="390"/>
        <v>0</v>
      </c>
      <c r="P577" s="5">
        <f t="shared" si="391"/>
        <v>0</v>
      </c>
      <c r="Q577" s="5">
        <f t="shared" si="425"/>
        <v>0</v>
      </c>
      <c r="R577" s="5">
        <f t="shared" si="417"/>
        <v>0</v>
      </c>
      <c r="S577" s="5">
        <f t="shared" si="392"/>
        <v>0</v>
      </c>
      <c r="T577" s="5">
        <f t="shared" si="393"/>
        <v>0</v>
      </c>
      <c r="U577" s="74">
        <f t="shared" si="394"/>
        <v>0</v>
      </c>
      <c r="V577" s="75">
        <f t="shared" si="395"/>
        <v>0</v>
      </c>
      <c r="W577" s="5">
        <f t="shared" si="396"/>
        <v>0</v>
      </c>
      <c r="X577" s="5">
        <f t="shared" si="397"/>
        <v>293234.5932193636</v>
      </c>
      <c r="Y577" s="5">
        <f t="shared" si="418"/>
        <v>100000</v>
      </c>
      <c r="Z577" s="215">
        <f t="shared" si="398"/>
        <v>1</v>
      </c>
      <c r="AA577" s="216">
        <f t="shared" si="419"/>
        <v>0</v>
      </c>
      <c r="AB577" s="72">
        <f t="shared" si="426"/>
        <v>105651.83946229343</v>
      </c>
      <c r="AC577" s="72">
        <f t="shared" si="399"/>
        <v>0</v>
      </c>
      <c r="AD577" s="72">
        <f t="shared" si="400"/>
        <v>0</v>
      </c>
      <c r="AE577" s="72">
        <f t="shared" si="420"/>
        <v>-61.062716214382178</v>
      </c>
      <c r="AF577" s="70">
        <f t="shared" si="401"/>
        <v>0</v>
      </c>
      <c r="AG577" s="70">
        <f t="shared" si="402"/>
        <v>7925.0049567362439</v>
      </c>
      <c r="AH577" s="1">
        <f t="shared" si="436"/>
        <v>0</v>
      </c>
      <c r="AI577" s="1">
        <f t="shared" si="436"/>
        <v>0</v>
      </c>
      <c r="AJ577" s="1">
        <f t="shared" si="436"/>
        <v>0</v>
      </c>
      <c r="AK577" s="1">
        <f t="shared" si="436"/>
        <v>0</v>
      </c>
      <c r="AL577" s="1">
        <f t="shared" si="436"/>
        <v>0</v>
      </c>
      <c r="AM577" s="1">
        <f t="shared" si="436"/>
        <v>0</v>
      </c>
      <c r="AN577" s="1">
        <f t="shared" si="436"/>
        <v>0</v>
      </c>
      <c r="AO577" s="1">
        <f t="shared" si="436"/>
        <v>0</v>
      </c>
      <c r="AP577" s="1">
        <f t="shared" si="436"/>
        <v>0</v>
      </c>
      <c r="AQ577" s="1">
        <f t="shared" si="436"/>
        <v>0</v>
      </c>
      <c r="AR577" s="1">
        <f t="shared" si="436"/>
        <v>0</v>
      </c>
      <c r="AS577" s="1">
        <f t="shared" si="436"/>
        <v>0</v>
      </c>
      <c r="AT577" s="39">
        <f t="shared" si="403"/>
        <v>293234.5932193636</v>
      </c>
      <c r="AU577" s="39">
        <f t="shared" si="421"/>
        <v>293234.5932193636</v>
      </c>
      <c r="AV577" s="39">
        <f t="shared" si="432"/>
        <v>0</v>
      </c>
      <c r="AW577" s="3">
        <f t="shared" si="404"/>
        <v>503</v>
      </c>
      <c r="AX577" s="69">
        <f t="shared" si="422"/>
        <v>0</v>
      </c>
      <c r="AY577" s="75">
        <f t="shared" si="405"/>
        <v>0</v>
      </c>
      <c r="AZ577" s="75">
        <f t="shared" si="406"/>
        <v>0</v>
      </c>
      <c r="BA577" s="75">
        <f t="shared" si="407"/>
        <v>0</v>
      </c>
      <c r="BB577" s="75">
        <f t="shared" si="408"/>
        <v>0</v>
      </c>
      <c r="BD577" s="214">
        <f t="shared" si="423"/>
        <v>495428.02340227645</v>
      </c>
      <c r="BE577" s="214">
        <f t="shared" si="409"/>
        <v>2411.5209553985396</v>
      </c>
      <c r="BF577" s="214">
        <f t="shared" si="410"/>
        <v>-819.7805043603264</v>
      </c>
      <c r="BG577" s="224">
        <f t="shared" si="428"/>
        <v>0</v>
      </c>
      <c r="BH577" s="19">
        <f t="shared" si="424"/>
        <v>1133144.0966724993</v>
      </c>
      <c r="BI577" s="214">
        <f t="shared" si="411"/>
        <v>5515.6361883733616</v>
      </c>
      <c r="BJ577" s="214">
        <f t="shared" si="412"/>
        <v>0</v>
      </c>
      <c r="BK577" s="19">
        <f t="shared" si="429"/>
        <v>0</v>
      </c>
    </row>
    <row r="578" spans="1:63">
      <c r="A578" s="165">
        <f t="shared" si="413"/>
        <v>103.97279260780287</v>
      </c>
      <c r="B578" s="69">
        <f t="shared" si="414"/>
        <v>42</v>
      </c>
      <c r="C578" s="70">
        <f t="shared" si="415"/>
        <v>504</v>
      </c>
      <c r="D578" s="13">
        <f t="shared" si="384"/>
        <v>4.8675505653430484E-3</v>
      </c>
      <c r="E578" s="15">
        <f t="shared" si="385"/>
        <v>1</v>
      </c>
      <c r="F578" s="15">
        <f t="shared" si="416"/>
        <v>0</v>
      </c>
      <c r="G578" s="15">
        <f t="shared" si="386"/>
        <v>0</v>
      </c>
      <c r="H578" s="73">
        <f t="shared" si="387"/>
        <v>0</v>
      </c>
      <c r="I578" s="189"/>
      <c r="J578" s="189"/>
      <c r="K578" s="5">
        <f t="shared" si="430"/>
        <v>293234.5932193636</v>
      </c>
      <c r="M578" s="5">
        <f t="shared" si="388"/>
        <v>1427.334210003052</v>
      </c>
      <c r="N578" s="5">
        <f t="shared" si="389"/>
        <v>-485.21276829364041</v>
      </c>
      <c r="O578" s="5">
        <f t="shared" si="390"/>
        <v>0</v>
      </c>
      <c r="P578" s="5">
        <f t="shared" si="391"/>
        <v>0</v>
      </c>
      <c r="Q578" s="5">
        <f t="shared" si="425"/>
        <v>0</v>
      </c>
      <c r="R578" s="5">
        <f t="shared" si="417"/>
        <v>0</v>
      </c>
      <c r="S578" s="5">
        <f t="shared" si="392"/>
        <v>0</v>
      </c>
      <c r="T578" s="5">
        <f t="shared" si="393"/>
        <v>0</v>
      </c>
      <c r="U578" s="74">
        <f t="shared" si="394"/>
        <v>0</v>
      </c>
      <c r="V578" s="75">
        <f t="shared" si="395"/>
        <v>0</v>
      </c>
      <c r="W578" s="5">
        <f t="shared" si="396"/>
        <v>0</v>
      </c>
      <c r="X578" s="5">
        <f t="shared" si="397"/>
        <v>294176.714661073</v>
      </c>
      <c r="Y578" s="5">
        <f t="shared" si="418"/>
        <v>100000</v>
      </c>
      <c r="Z578" s="215">
        <f t="shared" si="398"/>
        <v>1</v>
      </c>
      <c r="AA578" s="216">
        <f t="shared" si="419"/>
        <v>0</v>
      </c>
      <c r="AB578" s="72">
        <f t="shared" si="426"/>
        <v>105651.83946229343</v>
      </c>
      <c r="AC578" s="72">
        <f t="shared" si="399"/>
        <v>0</v>
      </c>
      <c r="AD578" s="72">
        <f t="shared" si="400"/>
        <v>0</v>
      </c>
      <c r="AE578" s="72">
        <f t="shared" si="420"/>
        <v>-61.258902120018313</v>
      </c>
      <c r="AF578" s="70">
        <f t="shared" si="401"/>
        <v>0</v>
      </c>
      <c r="AG578" s="70">
        <f t="shared" si="402"/>
        <v>8283.0111045858212</v>
      </c>
      <c r="AH578" s="1">
        <f t="shared" si="436"/>
        <v>0</v>
      </c>
      <c r="AI578" s="1">
        <f t="shared" si="436"/>
        <v>0</v>
      </c>
      <c r="AJ578" s="1">
        <f t="shared" si="436"/>
        <v>0</v>
      </c>
      <c r="AK578" s="1">
        <f t="shared" si="436"/>
        <v>0</v>
      </c>
      <c r="AL578" s="1">
        <f t="shared" si="436"/>
        <v>0</v>
      </c>
      <c r="AM578" s="1">
        <f t="shared" si="436"/>
        <v>0</v>
      </c>
      <c r="AN578" s="1">
        <f t="shared" si="436"/>
        <v>0</v>
      </c>
      <c r="AO578" s="1">
        <f t="shared" si="436"/>
        <v>0</v>
      </c>
      <c r="AP578" s="1">
        <f t="shared" si="436"/>
        <v>0</v>
      </c>
      <c r="AQ578" s="1">
        <f t="shared" si="436"/>
        <v>0</v>
      </c>
      <c r="AR578" s="1">
        <f t="shared" si="436"/>
        <v>0</v>
      </c>
      <c r="AS578" s="1">
        <f t="shared" si="436"/>
        <v>0</v>
      </c>
      <c r="AT578" s="39">
        <f t="shared" si="403"/>
        <v>294176.714661073</v>
      </c>
      <c r="AU578" s="39">
        <f t="shared" si="421"/>
        <v>294176.714661073</v>
      </c>
      <c r="AV578" s="39">
        <f t="shared" si="432"/>
        <v>0</v>
      </c>
      <c r="AW578" s="3">
        <f t="shared" si="404"/>
        <v>504</v>
      </c>
      <c r="AX578" s="69">
        <f t="shared" si="422"/>
        <v>0</v>
      </c>
      <c r="AY578" s="75">
        <f t="shared" si="405"/>
        <v>0</v>
      </c>
      <c r="AZ578" s="75">
        <f t="shared" si="406"/>
        <v>0</v>
      </c>
      <c r="BA578" s="75">
        <f t="shared" si="407"/>
        <v>0</v>
      </c>
      <c r="BB578" s="75">
        <f t="shared" si="408"/>
        <v>0</v>
      </c>
      <c r="BD578" s="214">
        <f t="shared" si="423"/>
        <v>497019.76385331468</v>
      </c>
      <c r="BE578" s="214">
        <f t="shared" si="409"/>
        <v>2419.2688325308704</v>
      </c>
      <c r="BF578" s="214">
        <f t="shared" si="410"/>
        <v>-822.41434364297686</v>
      </c>
      <c r="BG578" s="224">
        <f t="shared" si="428"/>
        <v>0</v>
      </c>
      <c r="BH578" s="19">
        <f t="shared" si="424"/>
        <v>1138659.7328608728</v>
      </c>
      <c r="BI578" s="214">
        <f t="shared" si="411"/>
        <v>5542.4838264203054</v>
      </c>
      <c r="BJ578" s="214">
        <f t="shared" si="412"/>
        <v>0</v>
      </c>
      <c r="BK578" s="19">
        <f t="shared" si="429"/>
        <v>0</v>
      </c>
    </row>
    <row r="579" spans="1:63">
      <c r="A579" s="165">
        <f t="shared" si="413"/>
        <v>104.0561259411362</v>
      </c>
      <c r="B579" s="69">
        <f t="shared" si="414"/>
        <v>43</v>
      </c>
      <c r="C579" s="70">
        <f t="shared" si="415"/>
        <v>505</v>
      </c>
      <c r="D579" s="13">
        <f t="shared" si="384"/>
        <v>4.8675505653430484E-3</v>
      </c>
      <c r="E579" s="15">
        <f t="shared" si="385"/>
        <v>1</v>
      </c>
      <c r="F579" s="15">
        <f t="shared" si="416"/>
        <v>0</v>
      </c>
      <c r="G579" s="15">
        <f t="shared" si="386"/>
        <v>0</v>
      </c>
      <c r="H579" s="73">
        <f t="shared" si="387"/>
        <v>0</v>
      </c>
      <c r="I579" s="189"/>
      <c r="J579" s="189"/>
      <c r="K579" s="5">
        <f t="shared" si="430"/>
        <v>294176.714661073</v>
      </c>
      <c r="M579" s="5">
        <f t="shared" si="388"/>
        <v>1431.9200337592665</v>
      </c>
      <c r="N579" s="5">
        <f t="shared" si="389"/>
        <v>-486.77168856898004</v>
      </c>
      <c r="O579" s="5">
        <f t="shared" si="390"/>
        <v>0</v>
      </c>
      <c r="P579" s="5">
        <f t="shared" si="391"/>
        <v>0</v>
      </c>
      <c r="Q579" s="5">
        <f t="shared" si="425"/>
        <v>0</v>
      </c>
      <c r="R579" s="5">
        <f t="shared" si="417"/>
        <v>0</v>
      </c>
      <c r="S579" s="5">
        <f t="shared" si="392"/>
        <v>0</v>
      </c>
      <c r="T579" s="5">
        <f t="shared" si="393"/>
        <v>0</v>
      </c>
      <c r="U579" s="74">
        <f t="shared" si="394"/>
        <v>0</v>
      </c>
      <c r="V579" s="75">
        <f t="shared" si="395"/>
        <v>0</v>
      </c>
      <c r="W579" s="5">
        <f t="shared" si="396"/>
        <v>0</v>
      </c>
      <c r="X579" s="5">
        <f t="shared" si="397"/>
        <v>295121.86300626327</v>
      </c>
      <c r="Y579" s="5">
        <f t="shared" si="418"/>
        <v>100000</v>
      </c>
      <c r="Z579" s="215">
        <f t="shared" si="398"/>
        <v>1</v>
      </c>
      <c r="AA579" s="216">
        <f t="shared" si="419"/>
        <v>0</v>
      </c>
      <c r="AB579" s="72">
        <f t="shared" si="426"/>
        <v>105651.83946229343</v>
      </c>
      <c r="AC579" s="72">
        <f t="shared" si="399"/>
        <v>0</v>
      </c>
      <c r="AD579" s="72">
        <f t="shared" si="400"/>
        <v>0</v>
      </c>
      <c r="AE579" s="72">
        <f t="shared" si="420"/>
        <v>-61.455718343333665</v>
      </c>
      <c r="AF579" s="70">
        <f t="shared" si="401"/>
        <v>0</v>
      </c>
      <c r="AG579" s="70">
        <f t="shared" si="402"/>
        <v>8642.1674757581204</v>
      </c>
      <c r="AH579" s="1">
        <f t="shared" si="436"/>
        <v>0</v>
      </c>
      <c r="AI579" s="1">
        <f t="shared" si="436"/>
        <v>0</v>
      </c>
      <c r="AJ579" s="1">
        <f t="shared" si="436"/>
        <v>0</v>
      </c>
      <c r="AK579" s="1">
        <f t="shared" si="436"/>
        <v>0</v>
      </c>
      <c r="AL579" s="1">
        <f t="shared" si="436"/>
        <v>0</v>
      </c>
      <c r="AM579" s="1">
        <f t="shared" si="436"/>
        <v>0</v>
      </c>
      <c r="AN579" s="1">
        <f t="shared" si="436"/>
        <v>0</v>
      </c>
      <c r="AO579" s="1">
        <f t="shared" si="436"/>
        <v>0</v>
      </c>
      <c r="AP579" s="1">
        <f t="shared" si="436"/>
        <v>0</v>
      </c>
      <c r="AQ579" s="1">
        <f t="shared" si="436"/>
        <v>0</v>
      </c>
      <c r="AR579" s="1">
        <f t="shared" si="436"/>
        <v>0</v>
      </c>
      <c r="AS579" s="1">
        <f t="shared" si="436"/>
        <v>0</v>
      </c>
      <c r="AT579" s="39">
        <f t="shared" si="403"/>
        <v>295121.86300626327</v>
      </c>
      <c r="AU579" s="39">
        <f t="shared" si="421"/>
        <v>295121.86300626327</v>
      </c>
      <c r="AV579" s="39">
        <f t="shared" si="432"/>
        <v>0</v>
      </c>
      <c r="AW579" s="3">
        <f t="shared" si="404"/>
        <v>505</v>
      </c>
      <c r="AX579" s="69">
        <f t="shared" si="422"/>
        <v>0</v>
      </c>
      <c r="AY579" s="75">
        <f t="shared" si="405"/>
        <v>0</v>
      </c>
      <c r="AZ579" s="75">
        <f t="shared" si="406"/>
        <v>0</v>
      </c>
      <c r="BA579" s="75">
        <f t="shared" si="407"/>
        <v>0</v>
      </c>
      <c r="BB579" s="75">
        <f t="shared" si="408"/>
        <v>0</v>
      </c>
      <c r="BD579" s="214">
        <f t="shared" si="423"/>
        <v>498616.61834220256</v>
      </c>
      <c r="BE579" s="214">
        <f t="shared" si="409"/>
        <v>2427.0416025010272</v>
      </c>
      <c r="BF579" s="214">
        <f t="shared" si="410"/>
        <v>-825.05664508022858</v>
      </c>
      <c r="BG579" s="224">
        <f t="shared" si="428"/>
        <v>0</v>
      </c>
      <c r="BH579" s="19">
        <f t="shared" si="424"/>
        <v>1144202.216687293</v>
      </c>
      <c r="BI579" s="214">
        <f t="shared" si="411"/>
        <v>5569.462146703002</v>
      </c>
      <c r="BJ579" s="214">
        <f t="shared" si="412"/>
        <v>0</v>
      </c>
      <c r="BK579" s="19">
        <f t="shared" si="429"/>
        <v>0</v>
      </c>
    </row>
    <row r="580" spans="1:63">
      <c r="A580" s="165">
        <f t="shared" si="413"/>
        <v>104.13945927446954</v>
      </c>
      <c r="B580" s="69">
        <f t="shared" si="414"/>
        <v>43</v>
      </c>
      <c r="C580" s="70">
        <f t="shared" si="415"/>
        <v>506</v>
      </c>
      <c r="D580" s="13">
        <f t="shared" si="384"/>
        <v>4.8675505653430484E-3</v>
      </c>
      <c r="E580" s="15">
        <f t="shared" si="385"/>
        <v>1</v>
      </c>
      <c r="F580" s="15">
        <f t="shared" si="416"/>
        <v>0</v>
      </c>
      <c r="G580" s="15">
        <f t="shared" si="386"/>
        <v>0</v>
      </c>
      <c r="H580" s="73">
        <f t="shared" si="387"/>
        <v>0</v>
      </c>
      <c r="I580" s="189"/>
      <c r="J580" s="189"/>
      <c r="K580" s="5">
        <f t="shared" si="430"/>
        <v>295121.86300626327</v>
      </c>
      <c r="M580" s="5">
        <f t="shared" si="388"/>
        <v>1436.5205911212304</v>
      </c>
      <c r="N580" s="5">
        <f t="shared" si="389"/>
        <v>-488.33561743556794</v>
      </c>
      <c r="O580" s="5">
        <f t="shared" si="390"/>
        <v>0</v>
      </c>
      <c r="P580" s="5">
        <f t="shared" si="391"/>
        <v>0</v>
      </c>
      <c r="Q580" s="5">
        <f t="shared" si="425"/>
        <v>0</v>
      </c>
      <c r="R580" s="5">
        <f t="shared" si="417"/>
        <v>0</v>
      </c>
      <c r="S580" s="5">
        <f t="shared" si="392"/>
        <v>0</v>
      </c>
      <c r="T580" s="5">
        <f t="shared" si="393"/>
        <v>0</v>
      </c>
      <c r="U580" s="74">
        <f t="shared" si="394"/>
        <v>0</v>
      </c>
      <c r="V580" s="75">
        <f t="shared" si="395"/>
        <v>0</v>
      </c>
      <c r="W580" s="5">
        <f t="shared" si="396"/>
        <v>0</v>
      </c>
      <c r="X580" s="5">
        <f t="shared" si="397"/>
        <v>296070.04797994893</v>
      </c>
      <c r="Y580" s="5">
        <f t="shared" si="418"/>
        <v>100000</v>
      </c>
      <c r="Z580" s="215">
        <f t="shared" si="398"/>
        <v>1</v>
      </c>
      <c r="AA580" s="216">
        <f t="shared" si="419"/>
        <v>0</v>
      </c>
      <c r="AB580" s="72">
        <f t="shared" si="426"/>
        <v>105651.83946229343</v>
      </c>
      <c r="AC580" s="72">
        <f t="shared" si="399"/>
        <v>0</v>
      </c>
      <c r="AD580" s="72">
        <f t="shared" si="400"/>
        <v>0</v>
      </c>
      <c r="AE580" s="72">
        <f t="shared" si="420"/>
        <v>-61.653166909450135</v>
      </c>
      <c r="AF580" s="70">
        <f t="shared" si="401"/>
        <v>0</v>
      </c>
      <c r="AG580" s="70">
        <f t="shared" si="402"/>
        <v>9002.4777657586674</v>
      </c>
      <c r="AH580" s="1">
        <f t="shared" si="436"/>
        <v>0</v>
      </c>
      <c r="AI580" s="1">
        <f t="shared" si="436"/>
        <v>0</v>
      </c>
      <c r="AJ580" s="1">
        <f t="shared" si="436"/>
        <v>0</v>
      </c>
      <c r="AK580" s="1">
        <f t="shared" si="436"/>
        <v>0</v>
      </c>
      <c r="AL580" s="1">
        <f t="shared" si="436"/>
        <v>0</v>
      </c>
      <c r="AM580" s="1">
        <f t="shared" si="436"/>
        <v>0</v>
      </c>
      <c r="AN580" s="1">
        <f t="shared" si="436"/>
        <v>0</v>
      </c>
      <c r="AO580" s="1">
        <f t="shared" si="436"/>
        <v>0</v>
      </c>
      <c r="AP580" s="1">
        <f t="shared" si="436"/>
        <v>0</v>
      </c>
      <c r="AQ580" s="1">
        <f t="shared" si="436"/>
        <v>0</v>
      </c>
      <c r="AR580" s="1">
        <f t="shared" si="436"/>
        <v>0</v>
      </c>
      <c r="AS580" s="1">
        <f t="shared" si="436"/>
        <v>0</v>
      </c>
      <c r="AT580" s="39">
        <f t="shared" si="403"/>
        <v>296070.04797994893</v>
      </c>
      <c r="AU580" s="39">
        <f t="shared" si="421"/>
        <v>296070.04797994893</v>
      </c>
      <c r="AV580" s="39">
        <f t="shared" si="432"/>
        <v>0</v>
      </c>
      <c r="AW580" s="3">
        <f t="shared" si="404"/>
        <v>506</v>
      </c>
      <c r="AX580" s="69">
        <f t="shared" si="422"/>
        <v>0</v>
      </c>
      <c r="AY580" s="75">
        <f t="shared" si="405"/>
        <v>0</v>
      </c>
      <c r="AZ580" s="75">
        <f t="shared" si="406"/>
        <v>0</v>
      </c>
      <c r="BA580" s="75">
        <f t="shared" si="407"/>
        <v>0</v>
      </c>
      <c r="BB580" s="75">
        <f t="shared" si="408"/>
        <v>0</v>
      </c>
      <c r="BD580" s="214">
        <f t="shared" si="423"/>
        <v>500218.60329962336</v>
      </c>
      <c r="BE580" s="214">
        <f t="shared" si="409"/>
        <v>2434.8393452861919</v>
      </c>
      <c r="BF580" s="214">
        <f t="shared" si="410"/>
        <v>-827.70743585979187</v>
      </c>
      <c r="BG580" s="224">
        <f t="shared" si="428"/>
        <v>0</v>
      </c>
      <c r="BH580" s="19">
        <f t="shared" si="424"/>
        <v>1149771.6788339959</v>
      </c>
      <c r="BI580" s="214">
        <f t="shared" si="411"/>
        <v>5596.571785323843</v>
      </c>
      <c r="BJ580" s="214">
        <f t="shared" si="412"/>
        <v>0</v>
      </c>
      <c r="BK580" s="19">
        <f t="shared" si="429"/>
        <v>0</v>
      </c>
    </row>
    <row r="581" spans="1:63">
      <c r="A581" s="165">
        <f t="shared" si="413"/>
        <v>104.22279260780287</v>
      </c>
      <c r="B581" s="69">
        <f t="shared" si="414"/>
        <v>43</v>
      </c>
      <c r="C581" s="70">
        <f t="shared" si="415"/>
        <v>507</v>
      </c>
      <c r="D581" s="13">
        <f t="shared" si="384"/>
        <v>4.8675505653430484E-3</v>
      </c>
      <c r="E581" s="15">
        <f t="shared" si="385"/>
        <v>1</v>
      </c>
      <c r="F581" s="15">
        <f t="shared" si="416"/>
        <v>0</v>
      </c>
      <c r="G581" s="15">
        <f t="shared" si="386"/>
        <v>0</v>
      </c>
      <c r="H581" s="73">
        <f t="shared" si="387"/>
        <v>0</v>
      </c>
      <c r="I581" s="189"/>
      <c r="J581" s="189"/>
      <c r="K581" s="5">
        <f t="shared" si="430"/>
        <v>296070.04797994893</v>
      </c>
      <c r="M581" s="5">
        <f t="shared" si="388"/>
        <v>1441.1359294259439</v>
      </c>
      <c r="N581" s="5">
        <f t="shared" si="389"/>
        <v>-489.90457098530231</v>
      </c>
      <c r="O581" s="5">
        <f t="shared" si="390"/>
        <v>0</v>
      </c>
      <c r="P581" s="5">
        <f t="shared" si="391"/>
        <v>0</v>
      </c>
      <c r="Q581" s="5">
        <f t="shared" si="425"/>
        <v>0</v>
      </c>
      <c r="R581" s="5">
        <f t="shared" si="417"/>
        <v>0</v>
      </c>
      <c r="S581" s="5">
        <f t="shared" si="392"/>
        <v>0</v>
      </c>
      <c r="T581" s="5">
        <f t="shared" si="393"/>
        <v>0</v>
      </c>
      <c r="U581" s="74">
        <f t="shared" si="394"/>
        <v>0</v>
      </c>
      <c r="V581" s="75">
        <f t="shared" si="395"/>
        <v>0</v>
      </c>
      <c r="W581" s="5">
        <f t="shared" si="396"/>
        <v>0</v>
      </c>
      <c r="X581" s="5">
        <f t="shared" si="397"/>
        <v>297021.27933838958</v>
      </c>
      <c r="Y581" s="5">
        <f t="shared" si="418"/>
        <v>100000</v>
      </c>
      <c r="Z581" s="215">
        <f t="shared" si="398"/>
        <v>1</v>
      </c>
      <c r="AA581" s="216">
        <f t="shared" si="419"/>
        <v>0</v>
      </c>
      <c r="AB581" s="72">
        <f t="shared" si="426"/>
        <v>105651.83946229343</v>
      </c>
      <c r="AC581" s="72">
        <f t="shared" si="399"/>
        <v>0</v>
      </c>
      <c r="AD581" s="72">
        <f t="shared" si="400"/>
        <v>0</v>
      </c>
      <c r="AE581" s="72">
        <f t="shared" si="420"/>
        <v>-61.851249849996051</v>
      </c>
      <c r="AF581" s="70">
        <f t="shared" si="401"/>
        <v>0</v>
      </c>
      <c r="AG581" s="70">
        <f t="shared" si="402"/>
        <v>9363.9456819661136</v>
      </c>
      <c r="AH581" s="1">
        <f t="shared" si="436"/>
        <v>0</v>
      </c>
      <c r="AI581" s="1">
        <f t="shared" si="436"/>
        <v>0</v>
      </c>
      <c r="AJ581" s="1">
        <f t="shared" si="436"/>
        <v>0</v>
      </c>
      <c r="AK581" s="1">
        <f t="shared" si="436"/>
        <v>0</v>
      </c>
      <c r="AL581" s="1">
        <f t="shared" si="436"/>
        <v>0</v>
      </c>
      <c r="AM581" s="1">
        <f t="shared" si="436"/>
        <v>0</v>
      </c>
      <c r="AN581" s="1">
        <f t="shared" si="436"/>
        <v>0</v>
      </c>
      <c r="AO581" s="1">
        <f t="shared" si="436"/>
        <v>0</v>
      </c>
      <c r="AP581" s="1">
        <f t="shared" si="436"/>
        <v>0</v>
      </c>
      <c r="AQ581" s="1">
        <f t="shared" si="436"/>
        <v>0</v>
      </c>
      <c r="AR581" s="1">
        <f t="shared" si="436"/>
        <v>0</v>
      </c>
      <c r="AS581" s="1">
        <f t="shared" si="436"/>
        <v>0</v>
      </c>
      <c r="AT581" s="39">
        <f t="shared" si="403"/>
        <v>297021.27933838958</v>
      </c>
      <c r="AU581" s="39">
        <f t="shared" si="421"/>
        <v>297021.27933838958</v>
      </c>
      <c r="AV581" s="39">
        <f t="shared" si="432"/>
        <v>0</v>
      </c>
      <c r="AW581" s="3">
        <f t="shared" si="404"/>
        <v>507</v>
      </c>
      <c r="AX581" s="69">
        <f t="shared" si="422"/>
        <v>0</v>
      </c>
      <c r="AY581" s="75">
        <f t="shared" si="405"/>
        <v>0</v>
      </c>
      <c r="AZ581" s="75">
        <f t="shared" si="406"/>
        <v>0</v>
      </c>
      <c r="BA581" s="75">
        <f t="shared" si="407"/>
        <v>0</v>
      </c>
      <c r="BB581" s="75">
        <f t="shared" si="408"/>
        <v>0</v>
      </c>
      <c r="BD581" s="214">
        <f t="shared" si="423"/>
        <v>501825.73520904977</v>
      </c>
      <c r="BE581" s="214">
        <f t="shared" si="409"/>
        <v>2442.662141120501</v>
      </c>
      <c r="BF581" s="214">
        <f t="shared" si="410"/>
        <v>-830.36674325672823</v>
      </c>
      <c r="BG581" s="224">
        <f t="shared" si="428"/>
        <v>0</v>
      </c>
      <c r="BH581" s="19">
        <f t="shared" si="424"/>
        <v>1155368.2506193197</v>
      </c>
      <c r="BI581" s="214">
        <f t="shared" si="411"/>
        <v>5623.8133814814782</v>
      </c>
      <c r="BJ581" s="214">
        <f t="shared" si="412"/>
        <v>0</v>
      </c>
      <c r="BK581" s="19">
        <f t="shared" si="429"/>
        <v>0</v>
      </c>
    </row>
    <row r="582" spans="1:63">
      <c r="A582" s="165">
        <f t="shared" si="413"/>
        <v>104.3061259411362</v>
      </c>
      <c r="B582" s="69">
        <f t="shared" si="414"/>
        <v>43</v>
      </c>
      <c r="C582" s="70">
        <f t="shared" si="415"/>
        <v>508</v>
      </c>
      <c r="D582" s="13">
        <f t="shared" si="384"/>
        <v>4.8675505653430484E-3</v>
      </c>
      <c r="E582" s="15">
        <f t="shared" si="385"/>
        <v>1</v>
      </c>
      <c r="F582" s="15">
        <f t="shared" si="416"/>
        <v>0</v>
      </c>
      <c r="G582" s="15">
        <f t="shared" si="386"/>
        <v>0</v>
      </c>
      <c r="H582" s="73">
        <f t="shared" si="387"/>
        <v>0</v>
      </c>
      <c r="I582" s="189"/>
      <c r="J582" s="189"/>
      <c r="K582" s="5">
        <f t="shared" si="430"/>
        <v>297021.27933838958</v>
      </c>
      <c r="M582" s="5">
        <f t="shared" si="388"/>
        <v>1445.7660961624938</v>
      </c>
      <c r="N582" s="5">
        <f t="shared" si="389"/>
        <v>-491.47856536178239</v>
      </c>
      <c r="O582" s="5">
        <f t="shared" si="390"/>
        <v>0</v>
      </c>
      <c r="P582" s="5">
        <f t="shared" si="391"/>
        <v>0</v>
      </c>
      <c r="Q582" s="5">
        <f t="shared" si="425"/>
        <v>0</v>
      </c>
      <c r="R582" s="5">
        <f t="shared" si="417"/>
        <v>0</v>
      </c>
      <c r="S582" s="5">
        <f t="shared" si="392"/>
        <v>0</v>
      </c>
      <c r="T582" s="5">
        <f t="shared" si="393"/>
        <v>0</v>
      </c>
      <c r="U582" s="74">
        <f t="shared" si="394"/>
        <v>0</v>
      </c>
      <c r="V582" s="75">
        <f t="shared" si="395"/>
        <v>0</v>
      </c>
      <c r="W582" s="5">
        <f t="shared" si="396"/>
        <v>0</v>
      </c>
      <c r="X582" s="5">
        <f t="shared" si="397"/>
        <v>297975.56686919031</v>
      </c>
      <c r="Y582" s="5">
        <f t="shared" si="418"/>
        <v>100000</v>
      </c>
      <c r="Z582" s="215">
        <f t="shared" si="398"/>
        <v>1</v>
      </c>
      <c r="AA582" s="216">
        <f t="shared" si="419"/>
        <v>0</v>
      </c>
      <c r="AB582" s="72">
        <f t="shared" si="426"/>
        <v>105651.83946229343</v>
      </c>
      <c r="AC582" s="72">
        <f t="shared" si="399"/>
        <v>0</v>
      </c>
      <c r="AD582" s="72">
        <f t="shared" si="400"/>
        <v>0</v>
      </c>
      <c r="AE582" s="72">
        <f t="shared" si="420"/>
        <v>-62.049969203127141</v>
      </c>
      <c r="AF582" s="70">
        <f t="shared" si="401"/>
        <v>0</v>
      </c>
      <c r="AG582" s="70">
        <f t="shared" si="402"/>
        <v>9726.5749436703918</v>
      </c>
      <c r="AH582" s="1">
        <f t="shared" si="436"/>
        <v>0</v>
      </c>
      <c r="AI582" s="1">
        <f t="shared" si="436"/>
        <v>0</v>
      </c>
      <c r="AJ582" s="1">
        <f t="shared" si="436"/>
        <v>0</v>
      </c>
      <c r="AK582" s="1">
        <f t="shared" si="436"/>
        <v>0</v>
      </c>
      <c r="AL582" s="1">
        <f t="shared" si="436"/>
        <v>0</v>
      </c>
      <c r="AM582" s="1">
        <f t="shared" si="436"/>
        <v>0</v>
      </c>
      <c r="AN582" s="1">
        <f t="shared" si="436"/>
        <v>0</v>
      </c>
      <c r="AO582" s="1">
        <f t="shared" si="436"/>
        <v>0</v>
      </c>
      <c r="AP582" s="1">
        <f t="shared" si="436"/>
        <v>0</v>
      </c>
      <c r="AQ582" s="1">
        <f t="shared" si="436"/>
        <v>0</v>
      </c>
      <c r="AR582" s="1">
        <f t="shared" si="436"/>
        <v>0</v>
      </c>
      <c r="AS582" s="1">
        <f t="shared" si="436"/>
        <v>0</v>
      </c>
      <c r="AT582" s="39">
        <f t="shared" si="403"/>
        <v>297975.56686919031</v>
      </c>
      <c r="AU582" s="39">
        <f t="shared" si="421"/>
        <v>297975.56686919031</v>
      </c>
      <c r="AV582" s="39">
        <f t="shared" si="432"/>
        <v>0</v>
      </c>
      <c r="AW582" s="3">
        <f t="shared" si="404"/>
        <v>508</v>
      </c>
      <c r="AX582" s="69">
        <f t="shared" si="422"/>
        <v>0</v>
      </c>
      <c r="AY582" s="75">
        <f t="shared" si="405"/>
        <v>0</v>
      </c>
      <c r="AZ582" s="75">
        <f t="shared" si="406"/>
        <v>0</v>
      </c>
      <c r="BA582" s="75">
        <f t="shared" si="407"/>
        <v>0</v>
      </c>
      <c r="BB582" s="75">
        <f t="shared" si="408"/>
        <v>0</v>
      </c>
      <c r="BD582" s="214">
        <f t="shared" si="423"/>
        <v>503438.03060691355</v>
      </c>
      <c r="BE582" s="214">
        <f t="shared" si="409"/>
        <v>2450.5100704958732</v>
      </c>
      <c r="BF582" s="214">
        <f t="shared" si="410"/>
        <v>-833.03459463372906</v>
      </c>
      <c r="BG582" s="224">
        <f t="shared" si="428"/>
        <v>0</v>
      </c>
      <c r="BH582" s="19">
        <f t="shared" si="424"/>
        <v>1160992.0640008012</v>
      </c>
      <c r="BI582" s="214">
        <f t="shared" si="411"/>
        <v>5651.1875774858927</v>
      </c>
      <c r="BJ582" s="214">
        <f t="shared" si="412"/>
        <v>0</v>
      </c>
      <c r="BK582" s="19">
        <f t="shared" si="429"/>
        <v>0</v>
      </c>
    </row>
    <row r="583" spans="1:63">
      <c r="A583" s="165">
        <f t="shared" si="413"/>
        <v>104.38945927446954</v>
      </c>
      <c r="B583" s="69">
        <f t="shared" si="414"/>
        <v>43</v>
      </c>
      <c r="C583" s="70">
        <f t="shared" si="415"/>
        <v>509</v>
      </c>
      <c r="D583" s="13">
        <f t="shared" si="384"/>
        <v>4.8675505653430484E-3</v>
      </c>
      <c r="E583" s="15">
        <f t="shared" si="385"/>
        <v>1</v>
      </c>
      <c r="F583" s="15">
        <f t="shared" si="416"/>
        <v>0</v>
      </c>
      <c r="G583" s="15">
        <f t="shared" si="386"/>
        <v>0</v>
      </c>
      <c r="H583" s="73">
        <f t="shared" si="387"/>
        <v>0</v>
      </c>
      <c r="I583" s="189"/>
      <c r="J583" s="189"/>
      <c r="K583" s="5">
        <f t="shared" si="430"/>
        <v>297975.56686919031</v>
      </c>
      <c r="M583" s="5">
        <f t="shared" si="388"/>
        <v>1450.4111389725426</v>
      </c>
      <c r="N583" s="5">
        <f t="shared" si="389"/>
        <v>-493.05761676047439</v>
      </c>
      <c r="O583" s="5">
        <f t="shared" si="390"/>
        <v>0</v>
      </c>
      <c r="P583" s="5">
        <f t="shared" si="391"/>
        <v>0</v>
      </c>
      <c r="Q583" s="5">
        <f t="shared" si="425"/>
        <v>0</v>
      </c>
      <c r="R583" s="5">
        <f t="shared" si="417"/>
        <v>0</v>
      </c>
      <c r="S583" s="5">
        <f t="shared" si="392"/>
        <v>0</v>
      </c>
      <c r="T583" s="5">
        <f t="shared" si="393"/>
        <v>0</v>
      </c>
      <c r="U583" s="74">
        <f t="shared" si="394"/>
        <v>0</v>
      </c>
      <c r="V583" s="75">
        <f t="shared" si="395"/>
        <v>0</v>
      </c>
      <c r="W583" s="5">
        <f t="shared" si="396"/>
        <v>0</v>
      </c>
      <c r="X583" s="5">
        <f t="shared" si="397"/>
        <v>298932.92039140238</v>
      </c>
      <c r="Y583" s="5">
        <f t="shared" si="418"/>
        <v>100000</v>
      </c>
      <c r="Z583" s="215">
        <f t="shared" si="398"/>
        <v>1</v>
      </c>
      <c r="AA583" s="216">
        <f t="shared" si="419"/>
        <v>0</v>
      </c>
      <c r="AB583" s="72">
        <f t="shared" si="426"/>
        <v>105651.83946229343</v>
      </c>
      <c r="AC583" s="72">
        <f t="shared" si="399"/>
        <v>0</v>
      </c>
      <c r="AD583" s="72">
        <f t="shared" si="400"/>
        <v>0</v>
      </c>
      <c r="AE583" s="72">
        <f t="shared" si="420"/>
        <v>-62.249327013547358</v>
      </c>
      <c r="AF583" s="70">
        <f t="shared" si="401"/>
        <v>0</v>
      </c>
      <c r="AG583" s="70">
        <f t="shared" si="402"/>
        <v>10090.369282110987</v>
      </c>
      <c r="AH583" s="1">
        <f t="shared" si="436"/>
        <v>0</v>
      </c>
      <c r="AI583" s="1">
        <f t="shared" si="436"/>
        <v>0</v>
      </c>
      <c r="AJ583" s="1">
        <f t="shared" si="436"/>
        <v>0</v>
      </c>
      <c r="AK583" s="1">
        <f t="shared" si="436"/>
        <v>0</v>
      </c>
      <c r="AL583" s="1">
        <f t="shared" si="436"/>
        <v>0</v>
      </c>
      <c r="AM583" s="1">
        <f t="shared" si="436"/>
        <v>0</v>
      </c>
      <c r="AN583" s="1">
        <f t="shared" si="436"/>
        <v>0</v>
      </c>
      <c r="AO583" s="1">
        <f t="shared" si="436"/>
        <v>0</v>
      </c>
      <c r="AP583" s="1">
        <f t="shared" si="436"/>
        <v>0</v>
      </c>
      <c r="AQ583" s="1">
        <f t="shared" si="436"/>
        <v>0</v>
      </c>
      <c r="AR583" s="1">
        <f t="shared" si="436"/>
        <v>0</v>
      </c>
      <c r="AS583" s="1">
        <f t="shared" si="436"/>
        <v>0</v>
      </c>
      <c r="AT583" s="39">
        <f t="shared" si="403"/>
        <v>298932.92039140238</v>
      </c>
      <c r="AU583" s="39">
        <f t="shared" si="421"/>
        <v>298932.92039140238</v>
      </c>
      <c r="AV583" s="39">
        <f t="shared" si="432"/>
        <v>0</v>
      </c>
      <c r="AW583" s="3">
        <f t="shared" si="404"/>
        <v>509</v>
      </c>
      <c r="AX583" s="69">
        <f t="shared" si="422"/>
        <v>0</v>
      </c>
      <c r="AY583" s="75">
        <f t="shared" si="405"/>
        <v>0</v>
      </c>
      <c r="AZ583" s="75">
        <f t="shared" si="406"/>
        <v>0</v>
      </c>
      <c r="BA583" s="75">
        <f t="shared" si="407"/>
        <v>0</v>
      </c>
      <c r="BB583" s="75">
        <f t="shared" si="408"/>
        <v>0</v>
      </c>
      <c r="BD583" s="214">
        <f t="shared" si="423"/>
        <v>505055.50608277571</v>
      </c>
      <c r="BE583" s="214">
        <f t="shared" si="409"/>
        <v>2458.3832141628345</v>
      </c>
      <c r="BF583" s="214">
        <f t="shared" si="410"/>
        <v>-835.71101744139912</v>
      </c>
      <c r="BG583" s="224">
        <f t="shared" si="428"/>
        <v>0</v>
      </c>
      <c r="BH583" s="19">
        <f t="shared" si="424"/>
        <v>1166643.251578287</v>
      </c>
      <c r="BI583" s="214">
        <f t="shared" si="411"/>
        <v>5678.6950187735429</v>
      </c>
      <c r="BJ583" s="214">
        <f t="shared" si="412"/>
        <v>0</v>
      </c>
      <c r="BK583" s="19">
        <f t="shared" si="429"/>
        <v>0</v>
      </c>
    </row>
    <row r="584" spans="1:63">
      <c r="A584" s="165">
        <f t="shared" si="413"/>
        <v>104.47279260780287</v>
      </c>
      <c r="B584" s="69">
        <f t="shared" si="414"/>
        <v>43</v>
      </c>
      <c r="C584" s="70">
        <f t="shared" si="415"/>
        <v>510</v>
      </c>
      <c r="D584" s="13">
        <f t="shared" si="384"/>
        <v>4.8675505653430484E-3</v>
      </c>
      <c r="E584" s="15">
        <f t="shared" si="385"/>
        <v>1</v>
      </c>
      <c r="F584" s="15">
        <f t="shared" si="416"/>
        <v>0</v>
      </c>
      <c r="G584" s="15">
        <f t="shared" si="386"/>
        <v>0</v>
      </c>
      <c r="H584" s="73">
        <f t="shared" si="387"/>
        <v>0</v>
      </c>
      <c r="I584" s="189"/>
      <c r="J584" s="189"/>
      <c r="K584" s="5">
        <f t="shared" si="430"/>
        <v>298932.92039140238</v>
      </c>
      <c r="M584" s="5">
        <f t="shared" si="388"/>
        <v>1455.0711056508192</v>
      </c>
      <c r="N584" s="5">
        <f t="shared" si="389"/>
        <v>-494.64174142887839</v>
      </c>
      <c r="O584" s="5">
        <f t="shared" si="390"/>
        <v>0</v>
      </c>
      <c r="P584" s="5">
        <f t="shared" si="391"/>
        <v>0</v>
      </c>
      <c r="Q584" s="5">
        <f t="shared" si="425"/>
        <v>0</v>
      </c>
      <c r="R584" s="5">
        <f t="shared" si="417"/>
        <v>0</v>
      </c>
      <c r="S584" s="5">
        <f t="shared" si="392"/>
        <v>0</v>
      </c>
      <c r="T584" s="5">
        <f t="shared" si="393"/>
        <v>0</v>
      </c>
      <c r="U584" s="74">
        <f t="shared" si="394"/>
        <v>0</v>
      </c>
      <c r="V584" s="75">
        <f t="shared" si="395"/>
        <v>0</v>
      </c>
      <c r="W584" s="5">
        <f t="shared" si="396"/>
        <v>0</v>
      </c>
      <c r="X584" s="5">
        <f t="shared" si="397"/>
        <v>299893.34975562431</v>
      </c>
      <c r="Y584" s="5">
        <f t="shared" si="418"/>
        <v>100000</v>
      </c>
      <c r="Z584" s="215">
        <f t="shared" si="398"/>
        <v>1</v>
      </c>
      <c r="AA584" s="216">
        <f t="shared" si="419"/>
        <v>0</v>
      </c>
      <c r="AB584" s="72">
        <f t="shared" si="426"/>
        <v>105651.83946229343</v>
      </c>
      <c r="AC584" s="72">
        <f t="shared" si="399"/>
        <v>0</v>
      </c>
      <c r="AD584" s="72">
        <f t="shared" si="400"/>
        <v>0</v>
      </c>
      <c r="AE584" s="72">
        <f t="shared" si="420"/>
        <v>-62.449325332530051</v>
      </c>
      <c r="AF584" s="70">
        <f t="shared" si="401"/>
        <v>0</v>
      </c>
      <c r="AG584" s="70">
        <f t="shared" si="402"/>
        <v>10455.332440515311</v>
      </c>
      <c r="AH584" s="1">
        <f t="shared" si="436"/>
        <v>0</v>
      </c>
      <c r="AI584" s="1">
        <f t="shared" si="436"/>
        <v>0</v>
      </c>
      <c r="AJ584" s="1">
        <f t="shared" si="436"/>
        <v>0</v>
      </c>
      <c r="AK584" s="1">
        <f t="shared" si="436"/>
        <v>0</v>
      </c>
      <c r="AL584" s="1">
        <f t="shared" si="436"/>
        <v>0</v>
      </c>
      <c r="AM584" s="1">
        <f t="shared" si="436"/>
        <v>0</v>
      </c>
      <c r="AN584" s="1">
        <f t="shared" si="436"/>
        <v>0</v>
      </c>
      <c r="AO584" s="1">
        <f t="shared" si="436"/>
        <v>0</v>
      </c>
      <c r="AP584" s="1">
        <f t="shared" si="436"/>
        <v>0</v>
      </c>
      <c r="AQ584" s="1">
        <f t="shared" si="436"/>
        <v>0</v>
      </c>
      <c r="AR584" s="1">
        <f t="shared" si="436"/>
        <v>0</v>
      </c>
      <c r="AS584" s="1">
        <f t="shared" si="436"/>
        <v>0</v>
      </c>
      <c r="AT584" s="39">
        <f t="shared" si="403"/>
        <v>299893.34975562431</v>
      </c>
      <c r="AU584" s="39">
        <f t="shared" si="421"/>
        <v>299893.34975562431</v>
      </c>
      <c r="AV584" s="39">
        <f t="shared" si="432"/>
        <v>0</v>
      </c>
      <c r="AW584" s="3">
        <f t="shared" si="404"/>
        <v>510</v>
      </c>
      <c r="AX584" s="69">
        <f t="shared" si="422"/>
        <v>0</v>
      </c>
      <c r="AY584" s="75">
        <f t="shared" si="405"/>
        <v>0</v>
      </c>
      <c r="AZ584" s="75">
        <f t="shared" si="406"/>
        <v>0</v>
      </c>
      <c r="BA584" s="75">
        <f t="shared" si="407"/>
        <v>0</v>
      </c>
      <c r="BB584" s="75">
        <f t="shared" si="408"/>
        <v>0</v>
      </c>
      <c r="BD584" s="214">
        <f t="shared" si="423"/>
        <v>506678.17827949714</v>
      </c>
      <c r="BE584" s="214">
        <f t="shared" si="409"/>
        <v>2466.281653131352</v>
      </c>
      <c r="BF584" s="214">
        <f t="shared" si="410"/>
        <v>-838.39603921853757</v>
      </c>
      <c r="BG584" s="224">
        <f t="shared" si="428"/>
        <v>0</v>
      </c>
      <c r="BH584" s="19">
        <f t="shared" si="424"/>
        <v>1172321.9465970604</v>
      </c>
      <c r="BI584" s="214">
        <f t="shared" si="411"/>
        <v>5706.3363539225847</v>
      </c>
      <c r="BJ584" s="214">
        <f t="shared" si="412"/>
        <v>0</v>
      </c>
      <c r="BK584" s="19">
        <f t="shared" si="429"/>
        <v>0</v>
      </c>
    </row>
    <row r="585" spans="1:63">
      <c r="A585" s="165">
        <f t="shared" si="413"/>
        <v>104.5561259411362</v>
      </c>
      <c r="B585" s="69">
        <f t="shared" si="414"/>
        <v>43</v>
      </c>
      <c r="C585" s="70">
        <f t="shared" si="415"/>
        <v>511</v>
      </c>
      <c r="D585" s="13">
        <f t="shared" si="384"/>
        <v>4.8675505653430484E-3</v>
      </c>
      <c r="E585" s="15">
        <f t="shared" si="385"/>
        <v>1</v>
      </c>
      <c r="F585" s="15">
        <f t="shared" si="416"/>
        <v>0</v>
      </c>
      <c r="G585" s="15">
        <f t="shared" si="386"/>
        <v>0</v>
      </c>
      <c r="H585" s="73">
        <f t="shared" si="387"/>
        <v>0</v>
      </c>
      <c r="I585" s="189"/>
      <c r="J585" s="189"/>
      <c r="K585" s="5">
        <f t="shared" si="430"/>
        <v>299893.34975562431</v>
      </c>
      <c r="M585" s="5">
        <f t="shared" si="388"/>
        <v>1459.7460441456096</v>
      </c>
      <c r="N585" s="5">
        <f t="shared" si="389"/>
        <v>-496.23095566669519</v>
      </c>
      <c r="O585" s="5">
        <f t="shared" si="390"/>
        <v>0</v>
      </c>
      <c r="P585" s="5">
        <f t="shared" si="391"/>
        <v>0</v>
      </c>
      <c r="Q585" s="5">
        <f t="shared" si="425"/>
        <v>0</v>
      </c>
      <c r="R585" s="5">
        <f t="shared" si="417"/>
        <v>0</v>
      </c>
      <c r="S585" s="5">
        <f t="shared" si="392"/>
        <v>0</v>
      </c>
      <c r="T585" s="5">
        <f t="shared" si="393"/>
        <v>0</v>
      </c>
      <c r="U585" s="74">
        <f t="shared" si="394"/>
        <v>0</v>
      </c>
      <c r="V585" s="75">
        <f t="shared" si="395"/>
        <v>0</v>
      </c>
      <c r="W585" s="5">
        <f t="shared" si="396"/>
        <v>0</v>
      </c>
      <c r="X585" s="5">
        <f t="shared" si="397"/>
        <v>300856.86484410323</v>
      </c>
      <c r="Y585" s="5">
        <f t="shared" si="418"/>
        <v>100000</v>
      </c>
      <c r="Z585" s="215">
        <f t="shared" si="398"/>
        <v>1</v>
      </c>
      <c r="AA585" s="216">
        <f t="shared" si="419"/>
        <v>0</v>
      </c>
      <c r="AB585" s="72">
        <f t="shared" si="426"/>
        <v>105651.83946229343</v>
      </c>
      <c r="AC585" s="72">
        <f t="shared" si="399"/>
        <v>0</v>
      </c>
      <c r="AD585" s="72">
        <f t="shared" si="400"/>
        <v>0</v>
      </c>
      <c r="AE585" s="72">
        <f t="shared" si="420"/>
        <v>-62.649966217938982</v>
      </c>
      <c r="AF585" s="70">
        <f t="shared" si="401"/>
        <v>0</v>
      </c>
      <c r="AG585" s="70">
        <f t="shared" si="402"/>
        <v>10821.468174137306</v>
      </c>
      <c r="AH585" s="1">
        <f t="shared" ref="AH585:AS594" si="437">IF($B585&lt;=AH$74,1,0)</f>
        <v>0</v>
      </c>
      <c r="AI585" s="1">
        <f t="shared" si="437"/>
        <v>0</v>
      </c>
      <c r="AJ585" s="1">
        <f t="shared" si="437"/>
        <v>0</v>
      </c>
      <c r="AK585" s="1">
        <f t="shared" si="437"/>
        <v>0</v>
      </c>
      <c r="AL585" s="1">
        <f t="shared" si="437"/>
        <v>0</v>
      </c>
      <c r="AM585" s="1">
        <f t="shared" si="437"/>
        <v>0</v>
      </c>
      <c r="AN585" s="1">
        <f t="shared" si="437"/>
        <v>0</v>
      </c>
      <c r="AO585" s="1">
        <f t="shared" si="437"/>
        <v>0</v>
      </c>
      <c r="AP585" s="1">
        <f t="shared" si="437"/>
        <v>0</v>
      </c>
      <c r="AQ585" s="1">
        <f t="shared" si="437"/>
        <v>0</v>
      </c>
      <c r="AR585" s="1">
        <f t="shared" si="437"/>
        <v>0</v>
      </c>
      <c r="AS585" s="1">
        <f t="shared" si="437"/>
        <v>0</v>
      </c>
      <c r="AT585" s="39">
        <f t="shared" si="403"/>
        <v>300856.86484410323</v>
      </c>
      <c r="AU585" s="39">
        <f t="shared" si="421"/>
        <v>300856.86484410323</v>
      </c>
      <c r="AV585" s="39">
        <f t="shared" si="432"/>
        <v>0</v>
      </c>
      <c r="AW585" s="3">
        <f t="shared" si="404"/>
        <v>511</v>
      </c>
      <c r="AX585" s="69">
        <f t="shared" si="422"/>
        <v>0</v>
      </c>
      <c r="AY585" s="75">
        <f t="shared" si="405"/>
        <v>0</v>
      </c>
      <c r="AZ585" s="75">
        <f t="shared" si="406"/>
        <v>0</v>
      </c>
      <c r="BA585" s="75">
        <f t="shared" si="407"/>
        <v>0</v>
      </c>
      <c r="BB585" s="75">
        <f t="shared" si="408"/>
        <v>0</v>
      </c>
      <c r="BD585" s="214">
        <f t="shared" si="423"/>
        <v>508306.06389340997</v>
      </c>
      <c r="BE585" s="214">
        <f t="shared" si="409"/>
        <v>2474.2054686716674</v>
      </c>
      <c r="BF585" s="214">
        <f t="shared" si="410"/>
        <v>-841.08968759242214</v>
      </c>
      <c r="BG585" s="224">
        <f t="shared" si="428"/>
        <v>0</v>
      </c>
      <c r="BH585" s="19">
        <f t="shared" si="424"/>
        <v>1178028.2829509829</v>
      </c>
      <c r="BI585" s="214">
        <f t="shared" si="411"/>
        <v>5734.1122346681577</v>
      </c>
      <c r="BJ585" s="214">
        <f t="shared" si="412"/>
        <v>0</v>
      </c>
      <c r="BK585" s="19">
        <f t="shared" si="429"/>
        <v>0</v>
      </c>
    </row>
    <row r="586" spans="1:63">
      <c r="A586" s="165">
        <f t="shared" si="413"/>
        <v>104.63945927446954</v>
      </c>
      <c r="B586" s="69">
        <f t="shared" si="414"/>
        <v>43</v>
      </c>
      <c r="C586" s="70">
        <f t="shared" si="415"/>
        <v>512</v>
      </c>
      <c r="D586" s="13">
        <f t="shared" si="384"/>
        <v>4.8675505653430484E-3</v>
      </c>
      <c r="E586" s="15">
        <f t="shared" si="385"/>
        <v>1</v>
      </c>
      <c r="F586" s="15">
        <f t="shared" si="416"/>
        <v>0</v>
      </c>
      <c r="G586" s="15">
        <f t="shared" si="386"/>
        <v>0</v>
      </c>
      <c r="H586" s="73">
        <f t="shared" si="387"/>
        <v>0</v>
      </c>
      <c r="I586" s="189"/>
      <c r="J586" s="189"/>
      <c r="K586" s="5">
        <f t="shared" si="430"/>
        <v>300856.86484410323</v>
      </c>
      <c r="M586" s="5">
        <f t="shared" si="388"/>
        <v>1464.4360025592518</v>
      </c>
      <c r="N586" s="5">
        <f t="shared" si="389"/>
        <v>-497.82527582599442</v>
      </c>
      <c r="O586" s="5">
        <f t="shared" si="390"/>
        <v>0</v>
      </c>
      <c r="P586" s="5">
        <f t="shared" si="391"/>
        <v>0</v>
      </c>
      <c r="Q586" s="5">
        <f t="shared" si="425"/>
        <v>0</v>
      </c>
      <c r="R586" s="5">
        <f t="shared" si="417"/>
        <v>0</v>
      </c>
      <c r="S586" s="5">
        <f t="shared" si="392"/>
        <v>0</v>
      </c>
      <c r="T586" s="5">
        <f t="shared" si="393"/>
        <v>0</v>
      </c>
      <c r="U586" s="74">
        <f t="shared" si="394"/>
        <v>0</v>
      </c>
      <c r="V586" s="75">
        <f t="shared" si="395"/>
        <v>0</v>
      </c>
      <c r="W586" s="5">
        <f t="shared" si="396"/>
        <v>0</v>
      </c>
      <c r="X586" s="5">
        <f t="shared" si="397"/>
        <v>301823.47557083651</v>
      </c>
      <c r="Y586" s="5">
        <f t="shared" si="418"/>
        <v>100000</v>
      </c>
      <c r="Z586" s="215">
        <f t="shared" si="398"/>
        <v>1</v>
      </c>
      <c r="AA586" s="216">
        <f t="shared" si="419"/>
        <v>0</v>
      </c>
      <c r="AB586" s="72">
        <f t="shared" si="426"/>
        <v>105651.83946229343</v>
      </c>
      <c r="AC586" s="72">
        <f t="shared" si="399"/>
        <v>0</v>
      </c>
      <c r="AD586" s="72">
        <f t="shared" si="400"/>
        <v>0</v>
      </c>
      <c r="AE586" s="72">
        <f t="shared" si="420"/>
        <v>-62.851251734249587</v>
      </c>
      <c r="AF586" s="70">
        <f t="shared" si="401"/>
        <v>0</v>
      </c>
      <c r="AG586" s="70">
        <f t="shared" si="402"/>
        <v>11188.780250295953</v>
      </c>
      <c r="AH586" s="1">
        <f t="shared" si="437"/>
        <v>0</v>
      </c>
      <c r="AI586" s="1">
        <f t="shared" si="437"/>
        <v>0</v>
      </c>
      <c r="AJ586" s="1">
        <f t="shared" si="437"/>
        <v>0</v>
      </c>
      <c r="AK586" s="1">
        <f t="shared" si="437"/>
        <v>0</v>
      </c>
      <c r="AL586" s="1">
        <f t="shared" si="437"/>
        <v>0</v>
      </c>
      <c r="AM586" s="1">
        <f t="shared" si="437"/>
        <v>0</v>
      </c>
      <c r="AN586" s="1">
        <f t="shared" si="437"/>
        <v>0</v>
      </c>
      <c r="AO586" s="1">
        <f t="shared" si="437"/>
        <v>0</v>
      </c>
      <c r="AP586" s="1">
        <f t="shared" si="437"/>
        <v>0</v>
      </c>
      <c r="AQ586" s="1">
        <f t="shared" si="437"/>
        <v>0</v>
      </c>
      <c r="AR586" s="1">
        <f t="shared" si="437"/>
        <v>0</v>
      </c>
      <c r="AS586" s="1">
        <f t="shared" si="437"/>
        <v>0</v>
      </c>
      <c r="AT586" s="39">
        <f t="shared" si="403"/>
        <v>301823.47557083651</v>
      </c>
      <c r="AU586" s="39">
        <f t="shared" si="421"/>
        <v>301823.47557083651</v>
      </c>
      <c r="AV586" s="39">
        <f t="shared" si="432"/>
        <v>0</v>
      </c>
      <c r="AW586" s="3">
        <f t="shared" si="404"/>
        <v>512</v>
      </c>
      <c r="AX586" s="69">
        <f t="shared" si="422"/>
        <v>0</v>
      </c>
      <c r="AY586" s="75">
        <f t="shared" si="405"/>
        <v>0</v>
      </c>
      <c r="AZ586" s="75">
        <f t="shared" si="406"/>
        <v>0</v>
      </c>
      <c r="BA586" s="75">
        <f t="shared" si="407"/>
        <v>0</v>
      </c>
      <c r="BB586" s="75">
        <f t="shared" si="408"/>
        <v>0</v>
      </c>
      <c r="BD586" s="214">
        <f t="shared" si="423"/>
        <v>509939.17967448925</v>
      </c>
      <c r="BE586" s="214">
        <f t="shared" si="409"/>
        <v>2482.1547423151305</v>
      </c>
      <c r="BF586" s="214">
        <f t="shared" si="410"/>
        <v>-843.79199027909294</v>
      </c>
      <c r="BG586" s="224">
        <f t="shared" si="428"/>
        <v>0</v>
      </c>
      <c r="BH586" s="19">
        <f t="shared" si="424"/>
        <v>1183762.395185651</v>
      </c>
      <c r="BI586" s="214">
        <f t="shared" si="411"/>
        <v>5762.0233159177569</v>
      </c>
      <c r="BJ586" s="214">
        <f t="shared" si="412"/>
        <v>0</v>
      </c>
      <c r="BK586" s="19">
        <f t="shared" si="429"/>
        <v>0</v>
      </c>
    </row>
    <row r="587" spans="1:63">
      <c r="A587" s="165">
        <f t="shared" si="413"/>
        <v>104.72279260780287</v>
      </c>
      <c r="B587" s="69">
        <f t="shared" si="414"/>
        <v>43</v>
      </c>
      <c r="C587" s="70">
        <f t="shared" si="415"/>
        <v>513</v>
      </c>
      <c r="D587" s="13">
        <f t="shared" ref="D587:D650" si="438">Growth_Rate_1_Monthly</f>
        <v>4.8675505653430484E-3</v>
      </c>
      <c r="E587" s="15">
        <f t="shared" ref="E587:E650" si="439">IF(Gtee_Flag="on",1,0)</f>
        <v>1</v>
      </c>
      <c r="F587" s="15">
        <f t="shared" si="416"/>
        <v>0</v>
      </c>
      <c r="G587" s="15">
        <f t="shared" ref="G587:G650" si="440">IF(AND(RP_Flag = "Yes",RP_Allowed="Yes"),IF(RP_PremFreq = "Annual",IF(MOD(C587-1, 12) = 0, 1, 0), IF(RP_PremFreq = "Half-Yearly", IF(MOD(C587-1, 6) = 0, 1, 0), IF(RP_PremFreq = "Quarterly", IF(MOD(C587-1, 3) = 0, 1, 0), IF(RP_PremFreq = "Monthly", IF(MOD(C587-1, 1) = 0, 1, 0), "Error")))),0)</f>
        <v>0</v>
      </c>
      <c r="H587" s="73">
        <f t="shared" ref="H587:H650" si="441">IF(ISERROR(VLOOKUP(Product_Code,Product_Parameters,B587+8,FALSE)),0,VLOOKUP(Product_Code,Product_Parameters,B587+8,FALSE))</f>
        <v>0</v>
      </c>
      <c r="I587" s="189"/>
      <c r="J587" s="189"/>
      <c r="K587" s="5">
        <f t="shared" si="430"/>
        <v>301823.47557083651</v>
      </c>
      <c r="M587" s="5">
        <f t="shared" ref="M587:M650" si="442">(K587+L587)*D587</f>
        <v>1469.1410291486291</v>
      </c>
      <c r="N587" s="5">
        <f t="shared" ref="N587:N650" si="443">-(($K587+(L587)+M587/2)*(External_Fund_Charge_Monthly+Fund_Charge_Monthly+Gtee_Charge_Monthly*$E587))-I587*Government_Levy</f>
        <v>-499.42471831138261</v>
      </c>
      <c r="O587" s="5">
        <f t="shared" ref="O587:O650" si="444">(Reg_Contrib/Contrib_Per_Year)*(1+RP_Escalation_Rate)^(B587-1)*G587</f>
        <v>0</v>
      </c>
      <c r="P587" s="5">
        <f t="shared" ref="P587:P650" si="445">O587*(RP_Allocation_Rate-1)</f>
        <v>0</v>
      </c>
      <c r="Q587" s="5">
        <f t="shared" si="425"/>
        <v>0</v>
      </c>
      <c r="R587" s="5">
        <f t="shared" si="417"/>
        <v>0</v>
      </c>
      <c r="S587" s="5">
        <f t="shared" ref="S587:S650" si="446">(Q587+R587)*D587</f>
        <v>0</v>
      </c>
      <c r="T587" s="5">
        <f t="shared" ref="T587:T650" si="447">-(($Q587+(R587)+S587/2)*(External_Fund_Charge_Monthly+Fund_Charge_Monthly+Gtee_Charge_Monthly*$E587))-O587*Government_Levy</f>
        <v>0</v>
      </c>
      <c r="U587" s="74">
        <f t="shared" ref="U587:U650" si="448">IF(OR(Reg_Income_Flag="No",Income_Type="Fixed Percent"),0,IF(C587&gt;=Regular_Income_Start_Month,
MIN(Regular_Income_Amount/12*(1+Income_Escalation_Rate_Annual)^($B587-1),AU587),0))</f>
        <v>0</v>
      </c>
      <c r="V587" s="75">
        <f t="shared" ref="V587:V650" si="449">IF(Reg_Income_Flag="No",0,MAX(IF(C587&gt;=Regular_Income_Start_Month,
MIN(IF(Income_Type="Fixed Percent",$C$43,0)/12*(K587+L587+M587+N587+Q587+R587+S587+T587),AU587),0),0))</f>
        <v>0</v>
      </c>
      <c r="W587" s="5">
        <f t="shared" ref="W587:W650" si="450">-MAX(U587:V587)</f>
        <v>0</v>
      </c>
      <c r="X587" s="5">
        <f t="shared" ref="X587:X650" si="451">SUM(K587:N587,Q587:T587)</f>
        <v>302793.19188167376</v>
      </c>
      <c r="Y587" s="5">
        <f t="shared" si="418"/>
        <v>100000</v>
      </c>
      <c r="Z587" s="215">
        <f t="shared" ref="Z587:Z650" si="452">IFERROR(SUM(K587:N587)/X587,0)</f>
        <v>1</v>
      </c>
      <c r="AA587" s="216">
        <f t="shared" si="419"/>
        <v>0</v>
      </c>
      <c r="AB587" s="72">
        <f t="shared" si="426"/>
        <v>105651.83946229343</v>
      </c>
      <c r="AC587" s="72">
        <f t="shared" ref="AC587:AC650" si="453">IF(Y587=0,0,-IF(F587=1,1,AA587)*(MAX(X587+AB587-Y587,0)*Exit_Tax_Rate-AB587))</f>
        <v>0</v>
      </c>
      <c r="AD587" s="72">
        <f t="shared" ref="AD587:AD650" si="454">W587-IF(F587=1,AA587,1)*AC587</f>
        <v>0</v>
      </c>
      <c r="AE587" s="72">
        <f t="shared" si="420"/>
        <v>-63.053183952570144</v>
      </c>
      <c r="AF587" s="70">
        <f t="shared" ref="AF587:AF650" si="455">SUM(K587:N587,SUM(AC587:AD587)*Z587)*$H587</f>
        <v>0</v>
      </c>
      <c r="AG587" s="70">
        <f t="shared" ref="AG587:AG650" si="456">IF(F587=1,0,MAX(X587+AB587+AC587+AD587-AF587-Y587,0)*Exit_Tax_Rate-AB587)</f>
        <v>11557.272448414107</v>
      </c>
      <c r="AH587" s="1">
        <f t="shared" si="437"/>
        <v>0</v>
      </c>
      <c r="AI587" s="1">
        <f t="shared" si="437"/>
        <v>0</v>
      </c>
      <c r="AJ587" s="1">
        <f t="shared" si="437"/>
        <v>0</v>
      </c>
      <c r="AK587" s="1">
        <f t="shared" si="437"/>
        <v>0</v>
      </c>
      <c r="AL587" s="1">
        <f t="shared" si="437"/>
        <v>0</v>
      </c>
      <c r="AM587" s="1">
        <f t="shared" si="437"/>
        <v>0</v>
      </c>
      <c r="AN587" s="1">
        <f t="shared" si="437"/>
        <v>0</v>
      </c>
      <c r="AO587" s="1">
        <f t="shared" si="437"/>
        <v>0</v>
      </c>
      <c r="AP587" s="1">
        <f t="shared" si="437"/>
        <v>0</v>
      </c>
      <c r="AQ587" s="1">
        <f t="shared" si="437"/>
        <v>0</v>
      </c>
      <c r="AR587" s="1">
        <f t="shared" si="437"/>
        <v>0</v>
      </c>
      <c r="AS587" s="1">
        <f t="shared" si="437"/>
        <v>0</v>
      </c>
      <c r="AT587" s="39">
        <f t="shared" ref="AT587:AT650" si="457">SUM(K587:N587,Q587:T587,W587,AC587)</f>
        <v>302793.19188167376</v>
      </c>
      <c r="AU587" s="39">
        <f t="shared" si="421"/>
        <v>302793.19188167376</v>
      </c>
      <c r="AV587" s="39">
        <f t="shared" si="432"/>
        <v>0</v>
      </c>
      <c r="AW587" s="3">
        <f t="shared" ref="AW587:AW650" si="458">C587</f>
        <v>513</v>
      </c>
      <c r="AX587" s="69">
        <f t="shared" si="422"/>
        <v>0</v>
      </c>
      <c r="AY587" s="75">
        <f t="shared" ref="AY587:AY650" si="459">IF(OR(AND(B587=Fund_Zero_Year,BD588=0,BD587&gt;0),C587=$C$53*12),-BH587,IF(AND(B587+1=Fund_Zero_Year,BD588=0,BD587&gt;0),-BH587,0))</f>
        <v>0</v>
      </c>
      <c r="AZ587" s="75">
        <f t="shared" ref="AZ587:AZ650" si="460">IF(OR(AND(B587=Fund_Zero_Year,BD588=0,BD587&gt;0),C587=$C$53*12),-BD587,IF(AND(B587+1=Fund_Zero_Year,BD588=0,BD587&gt;0),-BD587,0))</f>
        <v>0</v>
      </c>
      <c r="BA587" s="75">
        <f t="shared" ref="BA587:BA650" si="461">AY587+AX587+IF(OR(B587&gt;Fund_Zero_Year,BD587=0,C587&gt;MAX($C$53,$C$52)*12),0,W587)</f>
        <v>0</v>
      </c>
      <c r="BB587" s="75">
        <f t="shared" ref="BB587:BB650" si="462">AZ587+AX587+IF(OR(B587&gt;Fund_Zero_Year,BD587=0,C587&gt;MAX($C$53,$C$52)*12),0,W587)</f>
        <v>0</v>
      </c>
      <c r="BD587" s="214">
        <f t="shared" si="423"/>
        <v>511577.54242652527</v>
      </c>
      <c r="BE587" s="214">
        <f t="shared" ref="BE587:BE650" si="463">BD587*D587</f>
        <v>2490.1295558550405</v>
      </c>
      <c r="BF587" s="214">
        <f t="shared" ref="BF587:BF650" si="464">-(BD587+BE587/2)*(External_Fund_Charge_Monthly+Fund_Charge_Monthly+Gtee_Charge_Monthly*$E587)-(I587+O587)*Government_Levy</f>
        <v>-846.50297508363781</v>
      </c>
      <c r="BG587" s="224">
        <f t="shared" si="428"/>
        <v>0</v>
      </c>
      <c r="BH587" s="19">
        <f t="shared" si="424"/>
        <v>1189524.4185015687</v>
      </c>
      <c r="BI587" s="214">
        <f t="shared" ref="BI587:BI650" si="465">BH587*D587</f>
        <v>5790.0702557666718</v>
      </c>
      <c r="BJ587" s="214">
        <f t="shared" ref="BJ587:BJ650" si="466">-(I587+O587)*Government_Levy</f>
        <v>0</v>
      </c>
      <c r="BK587" s="19">
        <f t="shared" si="429"/>
        <v>0</v>
      </c>
    </row>
    <row r="588" spans="1:63">
      <c r="A588" s="165">
        <f t="shared" ref="A588:A651" si="467">$C$35+C587/12</f>
        <v>104.8061259411362</v>
      </c>
      <c r="B588" s="69">
        <f t="shared" ref="B588:B651" si="468">INT((C588-1)/12)+1</f>
        <v>43</v>
      </c>
      <c r="C588" s="70">
        <f t="shared" ref="C588:C651" si="469">C587+1</f>
        <v>514</v>
      </c>
      <c r="D588" s="13">
        <f t="shared" si="438"/>
        <v>4.8675505653430484E-3</v>
      </c>
      <c r="E588" s="15">
        <f t="shared" si="439"/>
        <v>1</v>
      </c>
      <c r="F588" s="15">
        <f t="shared" ref="F588:F651" si="470">IF(MOD(C588,96)=0,1,0)</f>
        <v>0</v>
      </c>
      <c r="G588" s="15">
        <f t="shared" si="440"/>
        <v>0</v>
      </c>
      <c r="H588" s="73">
        <f t="shared" si="441"/>
        <v>0</v>
      </c>
      <c r="I588" s="189"/>
      <c r="J588" s="189"/>
      <c r="K588" s="5">
        <f t="shared" si="430"/>
        <v>302793.19188167376</v>
      </c>
      <c r="M588" s="5">
        <f t="shared" si="442"/>
        <v>1473.8611723256672</v>
      </c>
      <c r="N588" s="5">
        <f t="shared" si="443"/>
        <v>-501.02929958017194</v>
      </c>
      <c r="O588" s="5">
        <f t="shared" si="444"/>
        <v>0</v>
      </c>
      <c r="P588" s="5">
        <f t="shared" si="445"/>
        <v>0</v>
      </c>
      <c r="Q588" s="5">
        <f t="shared" si="425"/>
        <v>0</v>
      </c>
      <c r="R588" s="5">
        <f t="shared" ref="R588:R651" si="471">O588+P588</f>
        <v>0</v>
      </c>
      <c r="S588" s="5">
        <f t="shared" si="446"/>
        <v>0</v>
      </c>
      <c r="T588" s="5">
        <f t="shared" si="447"/>
        <v>0</v>
      </c>
      <c r="U588" s="74">
        <f t="shared" si="448"/>
        <v>0</v>
      </c>
      <c r="V588" s="75">
        <f t="shared" si="449"/>
        <v>0</v>
      </c>
      <c r="W588" s="5">
        <f t="shared" si="450"/>
        <v>0</v>
      </c>
      <c r="X588" s="5">
        <f t="shared" si="451"/>
        <v>303766.02375441929</v>
      </c>
      <c r="Y588" s="5">
        <f t="shared" ref="Y588:Y651" si="472">I588+O588+Y587*(1-AA587)</f>
        <v>100000</v>
      </c>
      <c r="Z588" s="215">
        <f t="shared" si="452"/>
        <v>1</v>
      </c>
      <c r="AA588" s="216">
        <f t="shared" ref="AA588:AA651" si="473">IFERROR(-W588/X588,0)</f>
        <v>0</v>
      </c>
      <c r="AB588" s="72">
        <f t="shared" si="426"/>
        <v>105651.83946229343</v>
      </c>
      <c r="AC588" s="72">
        <f t="shared" si="453"/>
        <v>0</v>
      </c>
      <c r="AD588" s="72">
        <f t="shared" si="454"/>
        <v>0</v>
      </c>
      <c r="AE588" s="72">
        <f t="shared" ref="AE588:AE651" si="474">-(($K588+I588+M588/2+N588/2+W588/2+$Q588+O588+S588/2+T588/2))*(Ongoing_Commission_Monthly)</f>
        <v>-63.255764950663128</v>
      </c>
      <c r="AF588" s="70">
        <f t="shared" si="455"/>
        <v>0</v>
      </c>
      <c r="AG588" s="70">
        <f t="shared" si="456"/>
        <v>11926.948560057412</v>
      </c>
      <c r="AH588" s="1">
        <f t="shared" si="437"/>
        <v>0</v>
      </c>
      <c r="AI588" s="1">
        <f t="shared" si="437"/>
        <v>0</v>
      </c>
      <c r="AJ588" s="1">
        <f t="shared" si="437"/>
        <v>0</v>
      </c>
      <c r="AK588" s="1">
        <f t="shared" si="437"/>
        <v>0</v>
      </c>
      <c r="AL588" s="1">
        <f t="shared" si="437"/>
        <v>0</v>
      </c>
      <c r="AM588" s="1">
        <f t="shared" si="437"/>
        <v>0</v>
      </c>
      <c r="AN588" s="1">
        <f t="shared" si="437"/>
        <v>0</v>
      </c>
      <c r="AO588" s="1">
        <f t="shared" si="437"/>
        <v>0</v>
      </c>
      <c r="AP588" s="1">
        <f t="shared" si="437"/>
        <v>0</v>
      </c>
      <c r="AQ588" s="1">
        <f t="shared" si="437"/>
        <v>0</v>
      </c>
      <c r="AR588" s="1">
        <f t="shared" si="437"/>
        <v>0</v>
      </c>
      <c r="AS588" s="1">
        <f t="shared" si="437"/>
        <v>0</v>
      </c>
      <c r="AT588" s="39">
        <f t="shared" si="457"/>
        <v>303766.02375441929</v>
      </c>
      <c r="AU588" s="39">
        <f t="shared" ref="AU588:AU651" si="475">MAX(0,SUM(K588:N588)-$C$51)</f>
        <v>303766.02375441929</v>
      </c>
      <c r="AV588" s="39">
        <f t="shared" si="432"/>
        <v>0</v>
      </c>
      <c r="AW588" s="3">
        <f t="shared" si="458"/>
        <v>514</v>
      </c>
      <c r="AX588" s="69">
        <f t="shared" ref="AX588:AX651" si="476">IF(OR(B588&gt;Fund_Zero_Year,SUM(K588,Q588)=0,C588&gt;$C$53*12),0,I588+O588)</f>
        <v>0</v>
      </c>
      <c r="AY588" s="75">
        <f t="shared" si="459"/>
        <v>0</v>
      </c>
      <c r="AZ588" s="75">
        <f t="shared" si="460"/>
        <v>0</v>
      </c>
      <c r="BA588" s="75">
        <f t="shared" si="461"/>
        <v>0</v>
      </c>
      <c r="BB588" s="75">
        <f t="shared" si="462"/>
        <v>0</v>
      </c>
      <c r="BD588" s="214">
        <f t="shared" ref="BD588:BD651" si="477">SUM(BD587:BG587)+L588+R588</f>
        <v>513221.16900729667</v>
      </c>
      <c r="BE588" s="214">
        <f t="shared" si="463"/>
        <v>2498.1299913474872</v>
      </c>
      <c r="BF588" s="214">
        <f t="shared" si="464"/>
        <v>-849.22266990047842</v>
      </c>
      <c r="BG588" s="224">
        <f t="shared" si="428"/>
        <v>0</v>
      </c>
      <c r="BH588" s="19">
        <f t="shared" ref="BH588:BH651" si="478">SUM(BH587:BK587)+L588+R588</f>
        <v>1195314.4887573353</v>
      </c>
      <c r="BI588" s="214">
        <f t="shared" si="465"/>
        <v>5818.2537155135042</v>
      </c>
      <c r="BJ588" s="214">
        <f t="shared" si="466"/>
        <v>0</v>
      </c>
      <c r="BK588" s="19">
        <f t="shared" si="429"/>
        <v>0</v>
      </c>
    </row>
    <row r="589" spans="1:63">
      <c r="A589" s="165">
        <f t="shared" si="467"/>
        <v>104.88945927446954</v>
      </c>
      <c r="B589" s="69">
        <f t="shared" si="468"/>
        <v>43</v>
      </c>
      <c r="C589" s="70">
        <f t="shared" si="469"/>
        <v>515</v>
      </c>
      <c r="D589" s="13">
        <f t="shared" si="438"/>
        <v>4.8675505653430484E-3</v>
      </c>
      <c r="E589" s="15">
        <f t="shared" si="439"/>
        <v>1</v>
      </c>
      <c r="F589" s="15">
        <f t="shared" si="470"/>
        <v>0</v>
      </c>
      <c r="G589" s="15">
        <f t="shared" si="440"/>
        <v>0</v>
      </c>
      <c r="H589" s="73">
        <f t="shared" si="441"/>
        <v>0</v>
      </c>
      <c r="I589" s="189"/>
      <c r="J589" s="189"/>
      <c r="K589" s="5">
        <f t="shared" si="430"/>
        <v>303766.02375441929</v>
      </c>
      <c r="M589" s="5">
        <f t="shared" si="442"/>
        <v>1478.5964806578336</v>
      </c>
      <c r="N589" s="5">
        <f t="shared" si="443"/>
        <v>-502.63903614254957</v>
      </c>
      <c r="O589" s="5">
        <f t="shared" si="444"/>
        <v>0</v>
      </c>
      <c r="P589" s="5">
        <f t="shared" si="445"/>
        <v>0</v>
      </c>
      <c r="Q589" s="5">
        <f t="shared" ref="Q589:Q652" si="479">SUM(Q588:T588)+SUM(AC588)*(1-Z588)</f>
        <v>0</v>
      </c>
      <c r="R589" s="5">
        <f t="shared" si="471"/>
        <v>0</v>
      </c>
      <c r="S589" s="5">
        <f t="shared" si="446"/>
        <v>0</v>
      </c>
      <c r="T589" s="5">
        <f t="shared" si="447"/>
        <v>0</v>
      </c>
      <c r="U589" s="74">
        <f t="shared" si="448"/>
        <v>0</v>
      </c>
      <c r="V589" s="75">
        <f t="shared" si="449"/>
        <v>0</v>
      </c>
      <c r="W589" s="5">
        <f t="shared" si="450"/>
        <v>0</v>
      </c>
      <c r="X589" s="5">
        <f t="shared" si="451"/>
        <v>304741.98119893455</v>
      </c>
      <c r="Y589" s="5">
        <f t="shared" si="472"/>
        <v>100000</v>
      </c>
      <c r="Z589" s="215">
        <f t="shared" si="452"/>
        <v>1</v>
      </c>
      <c r="AA589" s="216">
        <f t="shared" si="473"/>
        <v>0</v>
      </c>
      <c r="AB589" s="72">
        <f t="shared" ref="AB589:AB652" si="480">-IF(F588=1,AC588*(1-AA588),0)+AB588*(1-AA588)</f>
        <v>105651.83946229343</v>
      </c>
      <c r="AC589" s="72">
        <f t="shared" si="453"/>
        <v>0</v>
      </c>
      <c r="AD589" s="72">
        <f t="shared" si="454"/>
        <v>0</v>
      </c>
      <c r="AE589" s="72">
        <f t="shared" si="474"/>
        <v>-63.458996812966532</v>
      </c>
      <c r="AF589" s="70">
        <f t="shared" si="455"/>
        <v>0</v>
      </c>
      <c r="AG589" s="70">
        <f t="shared" si="456"/>
        <v>12297.812388973209</v>
      </c>
      <c r="AH589" s="1">
        <f t="shared" si="437"/>
        <v>0</v>
      </c>
      <c r="AI589" s="1">
        <f t="shared" si="437"/>
        <v>0</v>
      </c>
      <c r="AJ589" s="1">
        <f t="shared" si="437"/>
        <v>0</v>
      </c>
      <c r="AK589" s="1">
        <f t="shared" si="437"/>
        <v>0</v>
      </c>
      <c r="AL589" s="1">
        <f t="shared" si="437"/>
        <v>0</v>
      </c>
      <c r="AM589" s="1">
        <f t="shared" si="437"/>
        <v>0</v>
      </c>
      <c r="AN589" s="1">
        <f t="shared" si="437"/>
        <v>0</v>
      </c>
      <c r="AO589" s="1">
        <f t="shared" si="437"/>
        <v>0</v>
      </c>
      <c r="AP589" s="1">
        <f t="shared" si="437"/>
        <v>0</v>
      </c>
      <c r="AQ589" s="1">
        <f t="shared" si="437"/>
        <v>0</v>
      </c>
      <c r="AR589" s="1">
        <f t="shared" si="437"/>
        <v>0</v>
      </c>
      <c r="AS589" s="1">
        <f t="shared" si="437"/>
        <v>0</v>
      </c>
      <c r="AT589" s="39">
        <f t="shared" si="457"/>
        <v>304741.98119893455</v>
      </c>
      <c r="AU589" s="39">
        <f t="shared" si="475"/>
        <v>304741.98119893455</v>
      </c>
      <c r="AV589" s="39">
        <f t="shared" si="432"/>
        <v>0</v>
      </c>
      <c r="AW589" s="3">
        <f t="shared" si="458"/>
        <v>515</v>
      </c>
      <c r="AX589" s="69">
        <f t="shared" si="476"/>
        <v>0</v>
      </c>
      <c r="AY589" s="75">
        <f t="shared" si="459"/>
        <v>0</v>
      </c>
      <c r="AZ589" s="75">
        <f t="shared" si="460"/>
        <v>0</v>
      </c>
      <c r="BA589" s="75">
        <f t="shared" si="461"/>
        <v>0</v>
      </c>
      <c r="BB589" s="75">
        <f t="shared" si="462"/>
        <v>0</v>
      </c>
      <c r="BD589" s="214">
        <f t="shared" si="477"/>
        <v>514870.07632874371</v>
      </c>
      <c r="BE589" s="214">
        <f t="shared" si="463"/>
        <v>2506.156131112195</v>
      </c>
      <c r="BF589" s="214">
        <f t="shared" si="464"/>
        <v>-851.95110271365775</v>
      </c>
      <c r="BG589" s="224">
        <f t="shared" ref="BG589:BG652" si="481">W589</f>
        <v>0</v>
      </c>
      <c r="BH589" s="19">
        <f t="shared" si="478"/>
        <v>1201132.7424728489</v>
      </c>
      <c r="BI589" s="214">
        <f t="shared" si="465"/>
        <v>5846.574359675762</v>
      </c>
      <c r="BJ589" s="214">
        <f t="shared" si="466"/>
        <v>0</v>
      </c>
      <c r="BK589" s="19">
        <f t="shared" ref="BK589:BK652" si="482">W589</f>
        <v>0</v>
      </c>
    </row>
    <row r="590" spans="1:63">
      <c r="A590" s="165">
        <f t="shared" si="467"/>
        <v>104.97279260780287</v>
      </c>
      <c r="B590" s="69">
        <f t="shared" si="468"/>
        <v>43</v>
      </c>
      <c r="C590" s="70">
        <f t="shared" si="469"/>
        <v>516</v>
      </c>
      <c r="D590" s="13">
        <f t="shared" si="438"/>
        <v>4.8675505653430484E-3</v>
      </c>
      <c r="E590" s="15">
        <f t="shared" si="439"/>
        <v>1</v>
      </c>
      <c r="F590" s="15">
        <f t="shared" si="470"/>
        <v>0</v>
      </c>
      <c r="G590" s="15">
        <f t="shared" si="440"/>
        <v>0</v>
      </c>
      <c r="H590" s="73">
        <f t="shared" si="441"/>
        <v>0</v>
      </c>
      <c r="I590" s="189"/>
      <c r="J590" s="189"/>
      <c r="K590" s="5">
        <f t="shared" ref="K590:K653" si="483">SUM(K589:N589)+AD589+AC589*Z589</f>
        <v>304741.98119893455</v>
      </c>
      <c r="M590" s="5">
        <f t="shared" si="442"/>
        <v>1483.3470028686345</v>
      </c>
      <c r="N590" s="5">
        <f t="shared" si="443"/>
        <v>-504.25394456174752</v>
      </c>
      <c r="O590" s="5">
        <f t="shared" si="444"/>
        <v>0</v>
      </c>
      <c r="P590" s="5">
        <f t="shared" si="445"/>
        <v>0</v>
      </c>
      <c r="Q590" s="5">
        <f t="shared" si="479"/>
        <v>0</v>
      </c>
      <c r="R590" s="5">
        <f t="shared" si="471"/>
        <v>0</v>
      </c>
      <c r="S590" s="5">
        <f t="shared" si="446"/>
        <v>0</v>
      </c>
      <c r="T590" s="5">
        <f t="shared" si="447"/>
        <v>0</v>
      </c>
      <c r="U590" s="74">
        <f t="shared" si="448"/>
        <v>0</v>
      </c>
      <c r="V590" s="75">
        <f t="shared" si="449"/>
        <v>0</v>
      </c>
      <c r="W590" s="5">
        <f t="shared" si="450"/>
        <v>0</v>
      </c>
      <c r="X590" s="5">
        <f t="shared" si="451"/>
        <v>305721.07425724145</v>
      </c>
      <c r="Y590" s="5">
        <f t="shared" si="472"/>
        <v>100000</v>
      </c>
      <c r="Z590" s="215">
        <f t="shared" si="452"/>
        <v>1</v>
      </c>
      <c r="AA590" s="216">
        <f t="shared" si="473"/>
        <v>0</v>
      </c>
      <c r="AB590" s="72">
        <f t="shared" si="480"/>
        <v>105651.83946229343</v>
      </c>
      <c r="AC590" s="72">
        <f t="shared" si="453"/>
        <v>0</v>
      </c>
      <c r="AD590" s="72">
        <f t="shared" si="454"/>
        <v>0</v>
      </c>
      <c r="AE590" s="72">
        <f t="shared" si="474"/>
        <v>-63.662881630615381</v>
      </c>
      <c r="AF590" s="70">
        <f t="shared" si="455"/>
        <v>0</v>
      </c>
      <c r="AG590" s="70">
        <f t="shared" si="456"/>
        <v>12669.86775112983</v>
      </c>
      <c r="AH590" s="1">
        <f t="shared" si="437"/>
        <v>0</v>
      </c>
      <c r="AI590" s="1">
        <f t="shared" si="437"/>
        <v>0</v>
      </c>
      <c r="AJ590" s="1">
        <f t="shared" si="437"/>
        <v>0</v>
      </c>
      <c r="AK590" s="1">
        <f t="shared" si="437"/>
        <v>0</v>
      </c>
      <c r="AL590" s="1">
        <f t="shared" si="437"/>
        <v>0</v>
      </c>
      <c r="AM590" s="1">
        <f t="shared" si="437"/>
        <v>0</v>
      </c>
      <c r="AN590" s="1">
        <f t="shared" si="437"/>
        <v>0</v>
      </c>
      <c r="AO590" s="1">
        <f t="shared" si="437"/>
        <v>0</v>
      </c>
      <c r="AP590" s="1">
        <f t="shared" si="437"/>
        <v>0</v>
      </c>
      <c r="AQ590" s="1">
        <f t="shared" si="437"/>
        <v>0</v>
      </c>
      <c r="AR590" s="1">
        <f t="shared" si="437"/>
        <v>0</v>
      </c>
      <c r="AS590" s="1">
        <f t="shared" si="437"/>
        <v>0</v>
      </c>
      <c r="AT590" s="39">
        <f t="shared" si="457"/>
        <v>305721.07425724145</v>
      </c>
      <c r="AU590" s="39">
        <f t="shared" si="475"/>
        <v>305721.07425724145</v>
      </c>
      <c r="AV590" s="39">
        <f t="shared" si="432"/>
        <v>0</v>
      </c>
      <c r="AW590" s="3">
        <f t="shared" si="458"/>
        <v>516</v>
      </c>
      <c r="AX590" s="69">
        <f t="shared" si="476"/>
        <v>0</v>
      </c>
      <c r="AY590" s="75">
        <f t="shared" si="459"/>
        <v>0</v>
      </c>
      <c r="AZ590" s="75">
        <f t="shared" si="460"/>
        <v>0</v>
      </c>
      <c r="BA590" s="75">
        <f t="shared" si="461"/>
        <v>0</v>
      </c>
      <c r="BB590" s="75">
        <f t="shared" si="462"/>
        <v>0</v>
      </c>
      <c r="BD590" s="214">
        <f t="shared" si="477"/>
        <v>516524.28135714226</v>
      </c>
      <c r="BE590" s="214">
        <f t="shared" si="463"/>
        <v>2514.2080577333695</v>
      </c>
      <c r="BF590" s="214">
        <f t="shared" si="464"/>
        <v>-854.68830159712672</v>
      </c>
      <c r="BG590" s="224">
        <f t="shared" si="481"/>
        <v>0</v>
      </c>
      <c r="BH590" s="19">
        <f t="shared" si="478"/>
        <v>1206979.3168325247</v>
      </c>
      <c r="BI590" s="214">
        <f t="shared" si="465"/>
        <v>5875.0328560055223</v>
      </c>
      <c r="BJ590" s="214">
        <f t="shared" si="466"/>
        <v>0</v>
      </c>
      <c r="BK590" s="19">
        <f t="shared" si="482"/>
        <v>0</v>
      </c>
    </row>
    <row r="591" spans="1:63">
      <c r="A591" s="165">
        <f t="shared" si="467"/>
        <v>105.0561259411362</v>
      </c>
      <c r="B591" s="69">
        <f t="shared" si="468"/>
        <v>44</v>
      </c>
      <c r="C591" s="70">
        <f t="shared" si="469"/>
        <v>517</v>
      </c>
      <c r="D591" s="13">
        <f t="shared" si="438"/>
        <v>4.8675505653430484E-3</v>
      </c>
      <c r="E591" s="15">
        <f t="shared" si="439"/>
        <v>1</v>
      </c>
      <c r="F591" s="15">
        <f t="shared" si="470"/>
        <v>0</v>
      </c>
      <c r="G591" s="15">
        <f t="shared" si="440"/>
        <v>0</v>
      </c>
      <c r="H591" s="73">
        <f t="shared" si="441"/>
        <v>0</v>
      </c>
      <c r="I591" s="189"/>
      <c r="J591" s="189"/>
      <c r="K591" s="5">
        <f t="shared" si="483"/>
        <v>305721.07425724145</v>
      </c>
      <c r="M591" s="5">
        <f t="shared" si="442"/>
        <v>1488.1127878381196</v>
      </c>
      <c r="N591" s="5">
        <f t="shared" si="443"/>
        <v>-505.87404145421334</v>
      </c>
      <c r="O591" s="5">
        <f t="shared" si="444"/>
        <v>0</v>
      </c>
      <c r="P591" s="5">
        <f t="shared" si="445"/>
        <v>0</v>
      </c>
      <c r="Q591" s="5">
        <f t="shared" si="479"/>
        <v>0</v>
      </c>
      <c r="R591" s="5">
        <f t="shared" si="471"/>
        <v>0</v>
      </c>
      <c r="S591" s="5">
        <f t="shared" si="446"/>
        <v>0</v>
      </c>
      <c r="T591" s="5">
        <f t="shared" si="447"/>
        <v>0</v>
      </c>
      <c r="U591" s="74">
        <f t="shared" si="448"/>
        <v>0</v>
      </c>
      <c r="V591" s="75">
        <f t="shared" si="449"/>
        <v>0</v>
      </c>
      <c r="W591" s="5">
        <f t="shared" si="450"/>
        <v>0</v>
      </c>
      <c r="X591" s="5">
        <f t="shared" si="451"/>
        <v>306703.31300362531</v>
      </c>
      <c r="Y591" s="5">
        <f t="shared" si="472"/>
        <v>100000</v>
      </c>
      <c r="Z591" s="215">
        <f t="shared" si="452"/>
        <v>1</v>
      </c>
      <c r="AA591" s="216">
        <f t="shared" si="473"/>
        <v>0</v>
      </c>
      <c r="AB591" s="72">
        <f t="shared" si="480"/>
        <v>105651.83946229343</v>
      </c>
      <c r="AC591" s="72">
        <f t="shared" si="453"/>
        <v>0</v>
      </c>
      <c r="AD591" s="72">
        <f t="shared" si="454"/>
        <v>0</v>
      </c>
      <c r="AE591" s="72">
        <f t="shared" si="474"/>
        <v>-63.867421501463227</v>
      </c>
      <c r="AF591" s="70">
        <f t="shared" si="455"/>
        <v>0</v>
      </c>
      <c r="AG591" s="70">
        <f t="shared" si="456"/>
        <v>13043.118474755698</v>
      </c>
      <c r="AH591" s="1">
        <f t="shared" si="437"/>
        <v>0</v>
      </c>
      <c r="AI591" s="1">
        <f t="shared" si="437"/>
        <v>0</v>
      </c>
      <c r="AJ591" s="1">
        <f t="shared" si="437"/>
        <v>0</v>
      </c>
      <c r="AK591" s="1">
        <f t="shared" si="437"/>
        <v>0</v>
      </c>
      <c r="AL591" s="1">
        <f t="shared" si="437"/>
        <v>0</v>
      </c>
      <c r="AM591" s="1">
        <f t="shared" si="437"/>
        <v>0</v>
      </c>
      <c r="AN591" s="1">
        <f t="shared" si="437"/>
        <v>0</v>
      </c>
      <c r="AO591" s="1">
        <f t="shared" si="437"/>
        <v>0</v>
      </c>
      <c r="AP591" s="1">
        <f t="shared" si="437"/>
        <v>0</v>
      </c>
      <c r="AQ591" s="1">
        <f t="shared" si="437"/>
        <v>0</v>
      </c>
      <c r="AR591" s="1">
        <f t="shared" si="437"/>
        <v>0</v>
      </c>
      <c r="AS591" s="1">
        <f t="shared" si="437"/>
        <v>0</v>
      </c>
      <c r="AT591" s="39">
        <f t="shared" si="457"/>
        <v>306703.31300362531</v>
      </c>
      <c r="AU591" s="39">
        <f t="shared" si="475"/>
        <v>306703.31300362531</v>
      </c>
      <c r="AV591" s="39">
        <f t="shared" si="432"/>
        <v>0</v>
      </c>
      <c r="AW591" s="3">
        <f t="shared" si="458"/>
        <v>517</v>
      </c>
      <c r="AX591" s="69">
        <f t="shared" si="476"/>
        <v>0</v>
      </c>
      <c r="AY591" s="75">
        <f t="shared" si="459"/>
        <v>0</v>
      </c>
      <c r="AZ591" s="75">
        <f t="shared" si="460"/>
        <v>0</v>
      </c>
      <c r="BA591" s="75">
        <f t="shared" si="461"/>
        <v>0</v>
      </c>
      <c r="BB591" s="75">
        <f t="shared" si="462"/>
        <v>0</v>
      </c>
      <c r="BD591" s="214">
        <f t="shared" si="477"/>
        <v>518183.80111327849</v>
      </c>
      <c r="BE591" s="214">
        <f t="shared" si="463"/>
        <v>2522.2858540605484</v>
      </c>
      <c r="BF591" s="214">
        <f t="shared" si="464"/>
        <v>-857.43429471503441</v>
      </c>
      <c r="BG591" s="224">
        <f t="shared" si="481"/>
        <v>0</v>
      </c>
      <c r="BH591" s="19">
        <f t="shared" si="478"/>
        <v>1212854.3496885302</v>
      </c>
      <c r="BI591" s="214">
        <f t="shared" si="465"/>
        <v>5903.6298755051803</v>
      </c>
      <c r="BJ591" s="214">
        <f t="shared" si="466"/>
        <v>0</v>
      </c>
      <c r="BK591" s="19">
        <f t="shared" si="482"/>
        <v>0</v>
      </c>
    </row>
    <row r="592" spans="1:63">
      <c r="A592" s="165">
        <f t="shared" si="467"/>
        <v>105.13945927446954</v>
      </c>
      <c r="B592" s="69">
        <f t="shared" si="468"/>
        <v>44</v>
      </c>
      <c r="C592" s="70">
        <f t="shared" si="469"/>
        <v>518</v>
      </c>
      <c r="D592" s="13">
        <f t="shared" si="438"/>
        <v>4.8675505653430484E-3</v>
      </c>
      <c r="E592" s="15">
        <f t="shared" si="439"/>
        <v>1</v>
      </c>
      <c r="F592" s="15">
        <f t="shared" si="470"/>
        <v>0</v>
      </c>
      <c r="G592" s="15">
        <f t="shared" si="440"/>
        <v>0</v>
      </c>
      <c r="H592" s="73">
        <f t="shared" si="441"/>
        <v>0</v>
      </c>
      <c r="I592" s="189"/>
      <c r="J592" s="189"/>
      <c r="K592" s="5">
        <f t="shared" si="483"/>
        <v>306703.31300362531</v>
      </c>
      <c r="M592" s="5">
        <f t="shared" si="442"/>
        <v>1492.8938846033823</v>
      </c>
      <c r="N592" s="5">
        <f t="shared" si="443"/>
        <v>-507.4993434897807</v>
      </c>
      <c r="O592" s="5">
        <f t="shared" si="444"/>
        <v>0</v>
      </c>
      <c r="P592" s="5">
        <f t="shared" si="445"/>
        <v>0</v>
      </c>
      <c r="Q592" s="5">
        <f t="shared" si="479"/>
        <v>0</v>
      </c>
      <c r="R592" s="5">
        <f t="shared" si="471"/>
        <v>0</v>
      </c>
      <c r="S592" s="5">
        <f t="shared" si="446"/>
        <v>0</v>
      </c>
      <c r="T592" s="5">
        <f t="shared" si="447"/>
        <v>0</v>
      </c>
      <c r="U592" s="74">
        <f t="shared" si="448"/>
        <v>0</v>
      </c>
      <c r="V592" s="75">
        <f t="shared" si="449"/>
        <v>0</v>
      </c>
      <c r="W592" s="5">
        <f t="shared" si="450"/>
        <v>0</v>
      </c>
      <c r="X592" s="5">
        <f t="shared" si="451"/>
        <v>307688.70754473895</v>
      </c>
      <c r="Y592" s="5">
        <f t="shared" si="472"/>
        <v>100000</v>
      </c>
      <c r="Z592" s="215">
        <f t="shared" si="452"/>
        <v>1</v>
      </c>
      <c r="AA592" s="216">
        <f t="shared" si="473"/>
        <v>0</v>
      </c>
      <c r="AB592" s="72">
        <f t="shared" si="480"/>
        <v>105651.83946229343</v>
      </c>
      <c r="AC592" s="72">
        <f t="shared" si="453"/>
        <v>0</v>
      </c>
      <c r="AD592" s="72">
        <f t="shared" si="454"/>
        <v>0</v>
      </c>
      <c r="AE592" s="72">
        <f t="shared" si="474"/>
        <v>-64.072618530103725</v>
      </c>
      <c r="AF592" s="70">
        <f t="shared" si="455"/>
        <v>0</v>
      </c>
      <c r="AG592" s="70">
        <f t="shared" si="456"/>
        <v>13417.568400378877</v>
      </c>
      <c r="AH592" s="1">
        <f t="shared" si="437"/>
        <v>0</v>
      </c>
      <c r="AI592" s="1">
        <f t="shared" si="437"/>
        <v>0</v>
      </c>
      <c r="AJ592" s="1">
        <f t="shared" si="437"/>
        <v>0</v>
      </c>
      <c r="AK592" s="1">
        <f t="shared" si="437"/>
        <v>0</v>
      </c>
      <c r="AL592" s="1">
        <f t="shared" si="437"/>
        <v>0</v>
      </c>
      <c r="AM592" s="1">
        <f t="shared" si="437"/>
        <v>0</v>
      </c>
      <c r="AN592" s="1">
        <f t="shared" si="437"/>
        <v>0</v>
      </c>
      <c r="AO592" s="1">
        <f t="shared" si="437"/>
        <v>0</v>
      </c>
      <c r="AP592" s="1">
        <f t="shared" si="437"/>
        <v>0</v>
      </c>
      <c r="AQ592" s="1">
        <f t="shared" si="437"/>
        <v>0</v>
      </c>
      <c r="AR592" s="1">
        <f t="shared" si="437"/>
        <v>0</v>
      </c>
      <c r="AS592" s="1">
        <f t="shared" si="437"/>
        <v>0</v>
      </c>
      <c r="AT592" s="39">
        <f t="shared" si="457"/>
        <v>307688.70754473895</v>
      </c>
      <c r="AU592" s="39">
        <f t="shared" si="475"/>
        <v>307688.70754473895</v>
      </c>
      <c r="AV592" s="39">
        <f t="shared" si="432"/>
        <v>0</v>
      </c>
      <c r="AW592" s="3">
        <f t="shared" si="458"/>
        <v>518</v>
      </c>
      <c r="AX592" s="69">
        <f t="shared" si="476"/>
        <v>0</v>
      </c>
      <c r="AY592" s="75">
        <f t="shared" si="459"/>
        <v>0</v>
      </c>
      <c r="AZ592" s="75">
        <f t="shared" si="460"/>
        <v>0</v>
      </c>
      <c r="BA592" s="75">
        <f t="shared" si="461"/>
        <v>0</v>
      </c>
      <c r="BB592" s="75">
        <f t="shared" si="462"/>
        <v>0</v>
      </c>
      <c r="BD592" s="214">
        <f t="shared" si="477"/>
        <v>519848.65267262398</v>
      </c>
      <c r="BE592" s="214">
        <f t="shared" si="463"/>
        <v>2530.3896032094531</v>
      </c>
      <c r="BF592" s="214">
        <f t="shared" si="464"/>
        <v>-860.18911032201743</v>
      </c>
      <c r="BG592" s="224">
        <f t="shared" si="481"/>
        <v>0</v>
      </c>
      <c r="BH592" s="19">
        <f t="shared" si="478"/>
        <v>1218757.9795640353</v>
      </c>
      <c r="BI592" s="214">
        <f t="shared" si="465"/>
        <v>5932.3660924432716</v>
      </c>
      <c r="BJ592" s="214">
        <f t="shared" si="466"/>
        <v>0</v>
      </c>
      <c r="BK592" s="19">
        <f t="shared" si="482"/>
        <v>0</v>
      </c>
    </row>
    <row r="593" spans="1:63">
      <c r="A593" s="165">
        <f t="shared" si="467"/>
        <v>105.22279260780287</v>
      </c>
      <c r="B593" s="69">
        <f t="shared" si="468"/>
        <v>44</v>
      </c>
      <c r="C593" s="70">
        <f t="shared" si="469"/>
        <v>519</v>
      </c>
      <c r="D593" s="13">
        <f t="shared" si="438"/>
        <v>4.8675505653430484E-3</v>
      </c>
      <c r="E593" s="15">
        <f t="shared" si="439"/>
        <v>1</v>
      </c>
      <c r="F593" s="15">
        <f t="shared" si="470"/>
        <v>0</v>
      </c>
      <c r="G593" s="15">
        <f t="shared" si="440"/>
        <v>0</v>
      </c>
      <c r="H593" s="73">
        <f t="shared" si="441"/>
        <v>0</v>
      </c>
      <c r="I593" s="189"/>
      <c r="J593" s="189"/>
      <c r="K593" s="5">
        <f t="shared" si="483"/>
        <v>307688.70754473895</v>
      </c>
      <c r="M593" s="5">
        <f t="shared" si="442"/>
        <v>1497.6903423590659</v>
      </c>
      <c r="N593" s="5">
        <f t="shared" si="443"/>
        <v>-509.12986739184123</v>
      </c>
      <c r="O593" s="5">
        <f t="shared" si="444"/>
        <v>0</v>
      </c>
      <c r="P593" s="5">
        <f t="shared" si="445"/>
        <v>0</v>
      </c>
      <c r="Q593" s="5">
        <f t="shared" si="479"/>
        <v>0</v>
      </c>
      <c r="R593" s="5">
        <f t="shared" si="471"/>
        <v>0</v>
      </c>
      <c r="S593" s="5">
        <f t="shared" si="446"/>
        <v>0</v>
      </c>
      <c r="T593" s="5">
        <f t="shared" si="447"/>
        <v>0</v>
      </c>
      <c r="U593" s="74">
        <f t="shared" si="448"/>
        <v>0</v>
      </c>
      <c r="V593" s="75">
        <f t="shared" si="449"/>
        <v>0</v>
      </c>
      <c r="W593" s="5">
        <f t="shared" si="450"/>
        <v>0</v>
      </c>
      <c r="X593" s="5">
        <f t="shared" si="451"/>
        <v>308677.26801970619</v>
      </c>
      <c r="Y593" s="5">
        <f t="shared" si="472"/>
        <v>100000</v>
      </c>
      <c r="Z593" s="215">
        <f t="shared" si="452"/>
        <v>1</v>
      </c>
      <c r="AA593" s="216">
        <f t="shared" si="473"/>
        <v>0</v>
      </c>
      <c r="AB593" s="72">
        <f t="shared" si="480"/>
        <v>105651.83946229343</v>
      </c>
      <c r="AC593" s="72">
        <f t="shared" si="453"/>
        <v>0</v>
      </c>
      <c r="AD593" s="72">
        <f t="shared" si="454"/>
        <v>0</v>
      </c>
      <c r="AE593" s="72">
        <f t="shared" si="474"/>
        <v>-64.278474827892296</v>
      </c>
      <c r="AF593" s="70">
        <f t="shared" si="455"/>
        <v>0</v>
      </c>
      <c r="AG593" s="70">
        <f t="shared" si="456"/>
        <v>13793.221380866424</v>
      </c>
      <c r="AH593" s="1">
        <f t="shared" si="437"/>
        <v>0</v>
      </c>
      <c r="AI593" s="1">
        <f t="shared" si="437"/>
        <v>0</v>
      </c>
      <c r="AJ593" s="1">
        <f t="shared" si="437"/>
        <v>0</v>
      </c>
      <c r="AK593" s="1">
        <f t="shared" si="437"/>
        <v>0</v>
      </c>
      <c r="AL593" s="1">
        <f t="shared" si="437"/>
        <v>0</v>
      </c>
      <c r="AM593" s="1">
        <f t="shared" si="437"/>
        <v>0</v>
      </c>
      <c r="AN593" s="1">
        <f t="shared" si="437"/>
        <v>0</v>
      </c>
      <c r="AO593" s="1">
        <f t="shared" si="437"/>
        <v>0</v>
      </c>
      <c r="AP593" s="1">
        <f t="shared" si="437"/>
        <v>0</v>
      </c>
      <c r="AQ593" s="1">
        <f t="shared" si="437"/>
        <v>0</v>
      </c>
      <c r="AR593" s="1">
        <f t="shared" si="437"/>
        <v>0</v>
      </c>
      <c r="AS593" s="1">
        <f t="shared" si="437"/>
        <v>0</v>
      </c>
      <c r="AT593" s="39">
        <f t="shared" si="457"/>
        <v>308677.26801970619</v>
      </c>
      <c r="AU593" s="39">
        <f t="shared" si="475"/>
        <v>308677.26801970619</v>
      </c>
      <c r="AV593" s="39">
        <f t="shared" si="432"/>
        <v>0</v>
      </c>
      <c r="AW593" s="3">
        <f t="shared" si="458"/>
        <v>519</v>
      </c>
      <c r="AX593" s="69">
        <f t="shared" si="476"/>
        <v>0</v>
      </c>
      <c r="AY593" s="75">
        <f t="shared" si="459"/>
        <v>0</v>
      </c>
      <c r="AZ593" s="75">
        <f t="shared" si="460"/>
        <v>0</v>
      </c>
      <c r="BA593" s="75">
        <f t="shared" si="461"/>
        <v>0</v>
      </c>
      <c r="BB593" s="75">
        <f t="shared" si="462"/>
        <v>0</v>
      </c>
      <c r="BD593" s="214">
        <f t="shared" si="477"/>
        <v>521518.85316551139</v>
      </c>
      <c r="BE593" s="214">
        <f t="shared" si="463"/>
        <v>2538.5193885628432</v>
      </c>
      <c r="BF593" s="214">
        <f t="shared" si="464"/>
        <v>-862.95277676349031</v>
      </c>
      <c r="BG593" s="224">
        <f t="shared" si="481"/>
        <v>0</v>
      </c>
      <c r="BH593" s="19">
        <f t="shared" si="478"/>
        <v>1224690.3456564785</v>
      </c>
      <c r="BI593" s="214">
        <f t="shared" si="465"/>
        <v>5961.242184370366</v>
      </c>
      <c r="BJ593" s="214">
        <f t="shared" si="466"/>
        <v>0</v>
      </c>
      <c r="BK593" s="19">
        <f t="shared" si="482"/>
        <v>0</v>
      </c>
    </row>
    <row r="594" spans="1:63">
      <c r="A594" s="165">
        <f t="shared" si="467"/>
        <v>105.3061259411362</v>
      </c>
      <c r="B594" s="69">
        <f t="shared" si="468"/>
        <v>44</v>
      </c>
      <c r="C594" s="70">
        <f t="shared" si="469"/>
        <v>520</v>
      </c>
      <c r="D594" s="13">
        <f t="shared" si="438"/>
        <v>4.8675505653430484E-3</v>
      </c>
      <c r="E594" s="15">
        <f t="shared" si="439"/>
        <v>1</v>
      </c>
      <c r="F594" s="15">
        <f t="shared" si="470"/>
        <v>0</v>
      </c>
      <c r="G594" s="15">
        <f t="shared" si="440"/>
        <v>0</v>
      </c>
      <c r="H594" s="73">
        <f t="shared" si="441"/>
        <v>0</v>
      </c>
      <c r="I594" s="189"/>
      <c r="J594" s="189"/>
      <c r="K594" s="5">
        <f t="shared" si="483"/>
        <v>308677.26801970619</v>
      </c>
      <c r="M594" s="5">
        <f t="shared" si="442"/>
        <v>1502.5022104578686</v>
      </c>
      <c r="N594" s="5">
        <f t="shared" si="443"/>
        <v>-510.76562993751651</v>
      </c>
      <c r="O594" s="5">
        <f t="shared" si="444"/>
        <v>0</v>
      </c>
      <c r="P594" s="5">
        <f t="shared" si="445"/>
        <v>0</v>
      </c>
      <c r="Q594" s="5">
        <f t="shared" si="479"/>
        <v>0</v>
      </c>
      <c r="R594" s="5">
        <f t="shared" si="471"/>
        <v>0</v>
      </c>
      <c r="S594" s="5">
        <f t="shared" si="446"/>
        <v>0</v>
      </c>
      <c r="T594" s="5">
        <f t="shared" si="447"/>
        <v>0</v>
      </c>
      <c r="U594" s="74">
        <f t="shared" si="448"/>
        <v>0</v>
      </c>
      <c r="V594" s="75">
        <f t="shared" si="449"/>
        <v>0</v>
      </c>
      <c r="W594" s="5">
        <f t="shared" si="450"/>
        <v>0</v>
      </c>
      <c r="X594" s="5">
        <f t="shared" si="451"/>
        <v>309669.00460022653</v>
      </c>
      <c r="Y594" s="5">
        <f t="shared" si="472"/>
        <v>100000</v>
      </c>
      <c r="Z594" s="215">
        <f t="shared" si="452"/>
        <v>1</v>
      </c>
      <c r="AA594" s="216">
        <f t="shared" si="473"/>
        <v>0</v>
      </c>
      <c r="AB594" s="72">
        <f t="shared" si="480"/>
        <v>105651.83946229343</v>
      </c>
      <c r="AC594" s="72">
        <f t="shared" si="453"/>
        <v>0</v>
      </c>
      <c r="AD594" s="72">
        <f t="shared" si="454"/>
        <v>0</v>
      </c>
      <c r="AE594" s="72">
        <f t="shared" si="474"/>
        <v>-64.484992512967878</v>
      </c>
      <c r="AF594" s="70">
        <f t="shared" si="455"/>
        <v>0</v>
      </c>
      <c r="AG594" s="70">
        <f t="shared" si="456"/>
        <v>14170.081281464154</v>
      </c>
      <c r="AH594" s="1">
        <f t="shared" si="437"/>
        <v>0</v>
      </c>
      <c r="AI594" s="1">
        <f t="shared" si="437"/>
        <v>0</v>
      </c>
      <c r="AJ594" s="1">
        <f t="shared" si="437"/>
        <v>0</v>
      </c>
      <c r="AK594" s="1">
        <f t="shared" si="437"/>
        <v>0</v>
      </c>
      <c r="AL594" s="1">
        <f t="shared" si="437"/>
        <v>0</v>
      </c>
      <c r="AM594" s="1">
        <f t="shared" si="437"/>
        <v>0</v>
      </c>
      <c r="AN594" s="1">
        <f t="shared" si="437"/>
        <v>0</v>
      </c>
      <c r="AO594" s="1">
        <f t="shared" si="437"/>
        <v>0</v>
      </c>
      <c r="AP594" s="1">
        <f t="shared" si="437"/>
        <v>0</v>
      </c>
      <c r="AQ594" s="1">
        <f t="shared" si="437"/>
        <v>0</v>
      </c>
      <c r="AR594" s="1">
        <f t="shared" si="437"/>
        <v>0</v>
      </c>
      <c r="AS594" s="1">
        <f t="shared" si="437"/>
        <v>0</v>
      </c>
      <c r="AT594" s="39">
        <f t="shared" si="457"/>
        <v>309669.00460022653</v>
      </c>
      <c r="AU594" s="39">
        <f t="shared" si="475"/>
        <v>309669.00460022653</v>
      </c>
      <c r="AV594" s="39">
        <f t="shared" si="432"/>
        <v>0</v>
      </c>
      <c r="AW594" s="3">
        <f t="shared" si="458"/>
        <v>520</v>
      </c>
      <c r="AX594" s="69">
        <f t="shared" si="476"/>
        <v>0</v>
      </c>
      <c r="AY594" s="75">
        <f t="shared" si="459"/>
        <v>0</v>
      </c>
      <c r="AZ594" s="75">
        <f t="shared" si="460"/>
        <v>0</v>
      </c>
      <c r="BA594" s="75">
        <f t="shared" si="461"/>
        <v>0</v>
      </c>
      <c r="BB594" s="75">
        <f t="shared" si="462"/>
        <v>0</v>
      </c>
      <c r="BD594" s="214">
        <f t="shared" si="477"/>
        <v>523194.41977731074</v>
      </c>
      <c r="BE594" s="214">
        <f t="shared" si="463"/>
        <v>2546.6752937713773</v>
      </c>
      <c r="BF594" s="214">
        <f t="shared" si="464"/>
        <v>-865.72532247593756</v>
      </c>
      <c r="BG594" s="224">
        <f t="shared" si="481"/>
        <v>0</v>
      </c>
      <c r="BH594" s="19">
        <f t="shared" si="478"/>
        <v>1230651.5878408488</v>
      </c>
      <c r="BI594" s="214">
        <f t="shared" si="465"/>
        <v>5990.258832135044</v>
      </c>
      <c r="BJ594" s="214">
        <f t="shared" si="466"/>
        <v>0</v>
      </c>
      <c r="BK594" s="19">
        <f t="shared" si="482"/>
        <v>0</v>
      </c>
    </row>
    <row r="595" spans="1:63">
      <c r="A595" s="165">
        <f t="shared" si="467"/>
        <v>105.38945927446954</v>
      </c>
      <c r="B595" s="69">
        <f t="shared" si="468"/>
        <v>44</v>
      </c>
      <c r="C595" s="70">
        <f t="shared" si="469"/>
        <v>521</v>
      </c>
      <c r="D595" s="13">
        <f t="shared" si="438"/>
        <v>4.8675505653430484E-3</v>
      </c>
      <c r="E595" s="15">
        <f t="shared" si="439"/>
        <v>1</v>
      </c>
      <c r="F595" s="15">
        <f t="shared" si="470"/>
        <v>0</v>
      </c>
      <c r="G595" s="15">
        <f t="shared" si="440"/>
        <v>0</v>
      </c>
      <c r="H595" s="73">
        <f t="shared" si="441"/>
        <v>0</v>
      </c>
      <c r="I595" s="189"/>
      <c r="J595" s="189"/>
      <c r="K595" s="5">
        <f t="shared" si="483"/>
        <v>309669.00460022653</v>
      </c>
      <c r="M595" s="5">
        <f t="shared" si="442"/>
        <v>1507.3295384110518</v>
      </c>
      <c r="N595" s="5">
        <f t="shared" si="443"/>
        <v>-512.40664795783016</v>
      </c>
      <c r="O595" s="5">
        <f t="shared" si="444"/>
        <v>0</v>
      </c>
      <c r="P595" s="5">
        <f t="shared" si="445"/>
        <v>0</v>
      </c>
      <c r="Q595" s="5">
        <f t="shared" si="479"/>
        <v>0</v>
      </c>
      <c r="R595" s="5">
        <f t="shared" si="471"/>
        <v>0</v>
      </c>
      <c r="S595" s="5">
        <f t="shared" si="446"/>
        <v>0</v>
      </c>
      <c r="T595" s="5">
        <f t="shared" si="447"/>
        <v>0</v>
      </c>
      <c r="U595" s="74">
        <f t="shared" si="448"/>
        <v>0</v>
      </c>
      <c r="V595" s="75">
        <f t="shared" si="449"/>
        <v>0</v>
      </c>
      <c r="W595" s="5">
        <f t="shared" si="450"/>
        <v>0</v>
      </c>
      <c r="X595" s="5">
        <f t="shared" si="451"/>
        <v>310663.92749067978</v>
      </c>
      <c r="Y595" s="5">
        <f t="shared" si="472"/>
        <v>100000</v>
      </c>
      <c r="Z595" s="215">
        <f t="shared" si="452"/>
        <v>1</v>
      </c>
      <c r="AA595" s="216">
        <f t="shared" si="473"/>
        <v>0</v>
      </c>
      <c r="AB595" s="72">
        <f t="shared" si="480"/>
        <v>105651.83946229343</v>
      </c>
      <c r="AC595" s="72">
        <f t="shared" si="453"/>
        <v>0</v>
      </c>
      <c r="AD595" s="72">
        <f t="shared" si="454"/>
        <v>0</v>
      </c>
      <c r="AE595" s="72">
        <f t="shared" si="474"/>
        <v>-64.692173710274588</v>
      </c>
      <c r="AF595" s="70">
        <f t="shared" si="455"/>
        <v>0</v>
      </c>
      <c r="AG595" s="70">
        <f t="shared" si="456"/>
        <v>14548.151979836388</v>
      </c>
      <c r="AH595" s="1">
        <f t="shared" ref="AH595:AS604" si="484">IF($B595&lt;=AH$74,1,0)</f>
        <v>0</v>
      </c>
      <c r="AI595" s="1">
        <f t="shared" si="484"/>
        <v>0</v>
      </c>
      <c r="AJ595" s="1">
        <f t="shared" si="484"/>
        <v>0</v>
      </c>
      <c r="AK595" s="1">
        <f t="shared" si="484"/>
        <v>0</v>
      </c>
      <c r="AL595" s="1">
        <f t="shared" si="484"/>
        <v>0</v>
      </c>
      <c r="AM595" s="1">
        <f t="shared" si="484"/>
        <v>0</v>
      </c>
      <c r="AN595" s="1">
        <f t="shared" si="484"/>
        <v>0</v>
      </c>
      <c r="AO595" s="1">
        <f t="shared" si="484"/>
        <v>0</v>
      </c>
      <c r="AP595" s="1">
        <f t="shared" si="484"/>
        <v>0</v>
      </c>
      <c r="AQ595" s="1">
        <f t="shared" si="484"/>
        <v>0</v>
      </c>
      <c r="AR595" s="1">
        <f t="shared" si="484"/>
        <v>0</v>
      </c>
      <c r="AS595" s="1">
        <f t="shared" si="484"/>
        <v>0</v>
      </c>
      <c r="AT595" s="39">
        <f t="shared" si="457"/>
        <v>310663.92749067978</v>
      </c>
      <c r="AU595" s="39">
        <f t="shared" si="475"/>
        <v>310663.92749067978</v>
      </c>
      <c r="AV595" s="39">
        <f t="shared" si="432"/>
        <v>0</v>
      </c>
      <c r="AW595" s="3">
        <f t="shared" si="458"/>
        <v>521</v>
      </c>
      <c r="AX595" s="69">
        <f t="shared" si="476"/>
        <v>0</v>
      </c>
      <c r="AY595" s="75">
        <f t="shared" si="459"/>
        <v>0</v>
      </c>
      <c r="AZ595" s="75">
        <f t="shared" si="460"/>
        <v>0</v>
      </c>
      <c r="BA595" s="75">
        <f t="shared" si="461"/>
        <v>0</v>
      </c>
      <c r="BB595" s="75">
        <f t="shared" si="462"/>
        <v>0</v>
      </c>
      <c r="BD595" s="214">
        <f t="shared" si="477"/>
        <v>524875.36974860623</v>
      </c>
      <c r="BE595" s="214">
        <f t="shared" si="463"/>
        <v>2554.8574027544696</v>
      </c>
      <c r="BF595" s="214">
        <f t="shared" si="464"/>
        <v>-868.50677598720608</v>
      </c>
      <c r="BG595" s="224">
        <f t="shared" si="481"/>
        <v>0</v>
      </c>
      <c r="BH595" s="19">
        <f t="shared" si="478"/>
        <v>1236641.8466729838</v>
      </c>
      <c r="BI595" s="214">
        <f t="shared" si="465"/>
        <v>6019.4167198999539</v>
      </c>
      <c r="BJ595" s="214">
        <f t="shared" si="466"/>
        <v>0</v>
      </c>
      <c r="BK595" s="19">
        <f t="shared" si="482"/>
        <v>0</v>
      </c>
    </row>
    <row r="596" spans="1:63">
      <c r="A596" s="165">
        <f t="shared" si="467"/>
        <v>105.47279260780287</v>
      </c>
      <c r="B596" s="69">
        <f t="shared" si="468"/>
        <v>44</v>
      </c>
      <c r="C596" s="70">
        <f t="shared" si="469"/>
        <v>522</v>
      </c>
      <c r="D596" s="13">
        <f t="shared" si="438"/>
        <v>4.8675505653430484E-3</v>
      </c>
      <c r="E596" s="15">
        <f t="shared" si="439"/>
        <v>1</v>
      </c>
      <c r="F596" s="15">
        <f t="shared" si="470"/>
        <v>0</v>
      </c>
      <c r="G596" s="15">
        <f t="shared" si="440"/>
        <v>0</v>
      </c>
      <c r="H596" s="73">
        <f t="shared" si="441"/>
        <v>0</v>
      </c>
      <c r="I596" s="189"/>
      <c r="J596" s="189"/>
      <c r="K596" s="5">
        <f t="shared" si="483"/>
        <v>310663.92749067978</v>
      </c>
      <c r="M596" s="5">
        <f t="shared" si="442"/>
        <v>1512.1723758889502</v>
      </c>
      <c r="N596" s="5">
        <f t="shared" si="443"/>
        <v>-514.05293833788221</v>
      </c>
      <c r="O596" s="5">
        <f t="shared" si="444"/>
        <v>0</v>
      </c>
      <c r="P596" s="5">
        <f t="shared" si="445"/>
        <v>0</v>
      </c>
      <c r="Q596" s="5">
        <f t="shared" si="479"/>
        <v>0</v>
      </c>
      <c r="R596" s="5">
        <f t="shared" si="471"/>
        <v>0</v>
      </c>
      <c r="S596" s="5">
        <f t="shared" si="446"/>
        <v>0</v>
      </c>
      <c r="T596" s="5">
        <f t="shared" si="447"/>
        <v>0</v>
      </c>
      <c r="U596" s="74">
        <f t="shared" si="448"/>
        <v>0</v>
      </c>
      <c r="V596" s="75">
        <f t="shared" si="449"/>
        <v>0</v>
      </c>
      <c r="W596" s="5">
        <f t="shared" si="450"/>
        <v>0</v>
      </c>
      <c r="X596" s="5">
        <f t="shared" si="451"/>
        <v>311662.04692823085</v>
      </c>
      <c r="Y596" s="5">
        <f t="shared" si="472"/>
        <v>100000</v>
      </c>
      <c r="Z596" s="215">
        <f t="shared" si="452"/>
        <v>1</v>
      </c>
      <c r="AA596" s="216">
        <f t="shared" si="473"/>
        <v>0</v>
      </c>
      <c r="AB596" s="72">
        <f t="shared" si="480"/>
        <v>105651.83946229343</v>
      </c>
      <c r="AC596" s="72">
        <f t="shared" si="453"/>
        <v>0</v>
      </c>
      <c r="AD596" s="72">
        <f t="shared" si="454"/>
        <v>0</v>
      </c>
      <c r="AE596" s="72">
        <f t="shared" si="474"/>
        <v>-64.900020551583822</v>
      </c>
      <c r="AF596" s="70">
        <f t="shared" si="455"/>
        <v>0</v>
      </c>
      <c r="AG596" s="70">
        <f t="shared" si="456"/>
        <v>14927.437366105791</v>
      </c>
      <c r="AH596" s="1">
        <f t="shared" si="484"/>
        <v>0</v>
      </c>
      <c r="AI596" s="1">
        <f t="shared" si="484"/>
        <v>0</v>
      </c>
      <c r="AJ596" s="1">
        <f t="shared" si="484"/>
        <v>0</v>
      </c>
      <c r="AK596" s="1">
        <f t="shared" si="484"/>
        <v>0</v>
      </c>
      <c r="AL596" s="1">
        <f t="shared" si="484"/>
        <v>0</v>
      </c>
      <c r="AM596" s="1">
        <f t="shared" si="484"/>
        <v>0</v>
      </c>
      <c r="AN596" s="1">
        <f t="shared" si="484"/>
        <v>0</v>
      </c>
      <c r="AO596" s="1">
        <f t="shared" si="484"/>
        <v>0</v>
      </c>
      <c r="AP596" s="1">
        <f t="shared" si="484"/>
        <v>0</v>
      </c>
      <c r="AQ596" s="1">
        <f t="shared" si="484"/>
        <v>0</v>
      </c>
      <c r="AR596" s="1">
        <f t="shared" si="484"/>
        <v>0</v>
      </c>
      <c r="AS596" s="1">
        <f t="shared" si="484"/>
        <v>0</v>
      </c>
      <c r="AT596" s="39">
        <f t="shared" si="457"/>
        <v>311662.04692823085</v>
      </c>
      <c r="AU596" s="39">
        <f t="shared" si="475"/>
        <v>311662.04692823085</v>
      </c>
      <c r="AV596" s="39">
        <f t="shared" si="432"/>
        <v>0</v>
      </c>
      <c r="AW596" s="3">
        <f t="shared" si="458"/>
        <v>522</v>
      </c>
      <c r="AX596" s="69">
        <f t="shared" si="476"/>
        <v>0</v>
      </c>
      <c r="AY596" s="75">
        <f t="shared" si="459"/>
        <v>0</v>
      </c>
      <c r="AZ596" s="75">
        <f t="shared" si="460"/>
        <v>0</v>
      </c>
      <c r="BA596" s="75">
        <f t="shared" si="461"/>
        <v>0</v>
      </c>
      <c r="BB596" s="75">
        <f t="shared" si="462"/>
        <v>0</v>
      </c>
      <c r="BD596" s="214">
        <f t="shared" si="477"/>
        <v>526561.72037537349</v>
      </c>
      <c r="BE596" s="214">
        <f t="shared" si="463"/>
        <v>2563.0657997011576</v>
      </c>
      <c r="BF596" s="214">
        <f t="shared" si="464"/>
        <v>-871.29716591679858</v>
      </c>
      <c r="BG596" s="224">
        <f t="shared" si="481"/>
        <v>0</v>
      </c>
      <c r="BH596" s="19">
        <f t="shared" si="478"/>
        <v>1242661.2633928838</v>
      </c>
      <c r="BI596" s="214">
        <f t="shared" si="465"/>
        <v>6048.7165351579388</v>
      </c>
      <c r="BJ596" s="214">
        <f t="shared" si="466"/>
        <v>0</v>
      </c>
      <c r="BK596" s="19">
        <f t="shared" si="482"/>
        <v>0</v>
      </c>
    </row>
    <row r="597" spans="1:63">
      <c r="A597" s="165">
        <f t="shared" si="467"/>
        <v>105.5561259411362</v>
      </c>
      <c r="B597" s="69">
        <f t="shared" si="468"/>
        <v>44</v>
      </c>
      <c r="C597" s="70">
        <f t="shared" si="469"/>
        <v>523</v>
      </c>
      <c r="D597" s="13">
        <f t="shared" si="438"/>
        <v>4.8675505653430484E-3</v>
      </c>
      <c r="E597" s="15">
        <f t="shared" si="439"/>
        <v>1</v>
      </c>
      <c r="F597" s="15">
        <f t="shared" si="470"/>
        <v>0</v>
      </c>
      <c r="G597" s="15">
        <f t="shared" si="440"/>
        <v>0</v>
      </c>
      <c r="H597" s="73">
        <f t="shared" si="441"/>
        <v>0</v>
      </c>
      <c r="I597" s="189"/>
      <c r="J597" s="189"/>
      <c r="K597" s="5">
        <f t="shared" si="483"/>
        <v>311662.04692823085</v>
      </c>
      <c r="M597" s="5">
        <f t="shared" si="442"/>
        <v>1517.0307727214818</v>
      </c>
      <c r="N597" s="5">
        <f t="shared" si="443"/>
        <v>-515.70451801702188</v>
      </c>
      <c r="O597" s="5">
        <f t="shared" si="444"/>
        <v>0</v>
      </c>
      <c r="P597" s="5">
        <f t="shared" si="445"/>
        <v>0</v>
      </c>
      <c r="Q597" s="5">
        <f t="shared" si="479"/>
        <v>0</v>
      </c>
      <c r="R597" s="5">
        <f t="shared" si="471"/>
        <v>0</v>
      </c>
      <c r="S597" s="5">
        <f t="shared" si="446"/>
        <v>0</v>
      </c>
      <c r="T597" s="5">
        <f t="shared" si="447"/>
        <v>0</v>
      </c>
      <c r="U597" s="74">
        <f t="shared" si="448"/>
        <v>0</v>
      </c>
      <c r="V597" s="75">
        <f t="shared" si="449"/>
        <v>0</v>
      </c>
      <c r="W597" s="5">
        <f t="shared" si="450"/>
        <v>0</v>
      </c>
      <c r="X597" s="5">
        <f t="shared" si="451"/>
        <v>312663.37318293529</v>
      </c>
      <c r="Y597" s="5">
        <f t="shared" si="472"/>
        <v>100000</v>
      </c>
      <c r="Z597" s="215">
        <f t="shared" si="452"/>
        <v>1</v>
      </c>
      <c r="AA597" s="216">
        <f t="shared" si="473"/>
        <v>0</v>
      </c>
      <c r="AB597" s="72">
        <f t="shared" si="480"/>
        <v>105651.83946229343</v>
      </c>
      <c r="AC597" s="72">
        <f t="shared" si="453"/>
        <v>0</v>
      </c>
      <c r="AD597" s="72">
        <f t="shared" si="454"/>
        <v>0</v>
      </c>
      <c r="AE597" s="72">
        <f t="shared" si="474"/>
        <v>-65.108535175515968</v>
      </c>
      <c r="AF597" s="70">
        <f t="shared" si="455"/>
        <v>0</v>
      </c>
      <c r="AG597" s="70">
        <f t="shared" si="456"/>
        <v>15307.941342893493</v>
      </c>
      <c r="AH597" s="1">
        <f t="shared" si="484"/>
        <v>0</v>
      </c>
      <c r="AI597" s="1">
        <f t="shared" si="484"/>
        <v>0</v>
      </c>
      <c r="AJ597" s="1">
        <f t="shared" si="484"/>
        <v>0</v>
      </c>
      <c r="AK597" s="1">
        <f t="shared" si="484"/>
        <v>0</v>
      </c>
      <c r="AL597" s="1">
        <f t="shared" si="484"/>
        <v>0</v>
      </c>
      <c r="AM597" s="1">
        <f t="shared" si="484"/>
        <v>0</v>
      </c>
      <c r="AN597" s="1">
        <f t="shared" si="484"/>
        <v>0</v>
      </c>
      <c r="AO597" s="1">
        <f t="shared" si="484"/>
        <v>0</v>
      </c>
      <c r="AP597" s="1">
        <f t="shared" si="484"/>
        <v>0</v>
      </c>
      <c r="AQ597" s="1">
        <f t="shared" si="484"/>
        <v>0</v>
      </c>
      <c r="AR597" s="1">
        <f t="shared" si="484"/>
        <v>0</v>
      </c>
      <c r="AS597" s="1">
        <f t="shared" si="484"/>
        <v>0</v>
      </c>
      <c r="AT597" s="39">
        <f t="shared" si="457"/>
        <v>312663.37318293529</v>
      </c>
      <c r="AU597" s="39">
        <f t="shared" si="475"/>
        <v>312663.37318293529</v>
      </c>
      <c r="AV597" s="39">
        <f t="shared" si="432"/>
        <v>0</v>
      </c>
      <c r="AW597" s="3">
        <f t="shared" si="458"/>
        <v>523</v>
      </c>
      <c r="AX597" s="69">
        <f t="shared" si="476"/>
        <v>0</v>
      </c>
      <c r="AY597" s="75">
        <f t="shared" si="459"/>
        <v>0</v>
      </c>
      <c r="AZ597" s="75">
        <f t="shared" si="460"/>
        <v>0</v>
      </c>
      <c r="BA597" s="75">
        <f t="shared" si="461"/>
        <v>0</v>
      </c>
      <c r="BB597" s="75">
        <f t="shared" si="462"/>
        <v>0</v>
      </c>
      <c r="BD597" s="214">
        <f t="shared" si="477"/>
        <v>528253.48900915787</v>
      </c>
      <c r="BE597" s="214">
        <f t="shared" si="463"/>
        <v>2571.3005690709642</v>
      </c>
      <c r="BF597" s="214">
        <f t="shared" si="464"/>
        <v>-874.09652097616834</v>
      </c>
      <c r="BG597" s="224">
        <f t="shared" si="481"/>
        <v>0</v>
      </c>
      <c r="BH597" s="19">
        <f t="shared" si="478"/>
        <v>1248709.9799280418</v>
      </c>
      <c r="BI597" s="214">
        <f t="shared" si="465"/>
        <v>6078.1589687482465</v>
      </c>
      <c r="BJ597" s="214">
        <f t="shared" si="466"/>
        <v>0</v>
      </c>
      <c r="BK597" s="19">
        <f t="shared" si="482"/>
        <v>0</v>
      </c>
    </row>
    <row r="598" spans="1:63">
      <c r="A598" s="165">
        <f t="shared" si="467"/>
        <v>105.63945927446954</v>
      </c>
      <c r="B598" s="69">
        <f t="shared" si="468"/>
        <v>44</v>
      </c>
      <c r="C598" s="70">
        <f t="shared" si="469"/>
        <v>524</v>
      </c>
      <c r="D598" s="13">
        <f t="shared" si="438"/>
        <v>4.8675505653430484E-3</v>
      </c>
      <c r="E598" s="15">
        <f t="shared" si="439"/>
        <v>1</v>
      </c>
      <c r="F598" s="15">
        <f t="shared" si="470"/>
        <v>0</v>
      </c>
      <c r="G598" s="15">
        <f t="shared" si="440"/>
        <v>0</v>
      </c>
      <c r="H598" s="73">
        <f t="shared" si="441"/>
        <v>0</v>
      </c>
      <c r="I598" s="189"/>
      <c r="J598" s="189"/>
      <c r="K598" s="5">
        <f t="shared" si="483"/>
        <v>312663.37318293529</v>
      </c>
      <c r="M598" s="5">
        <f t="shared" si="442"/>
        <v>1521.9047788986611</v>
      </c>
      <c r="N598" s="5">
        <f t="shared" si="443"/>
        <v>-517.36140398902171</v>
      </c>
      <c r="O598" s="5">
        <f t="shared" si="444"/>
        <v>0</v>
      </c>
      <c r="P598" s="5">
        <f t="shared" si="445"/>
        <v>0</v>
      </c>
      <c r="Q598" s="5">
        <f t="shared" si="479"/>
        <v>0</v>
      </c>
      <c r="R598" s="5">
        <f t="shared" si="471"/>
        <v>0</v>
      </c>
      <c r="S598" s="5">
        <f t="shared" si="446"/>
        <v>0</v>
      </c>
      <c r="T598" s="5">
        <f t="shared" si="447"/>
        <v>0</v>
      </c>
      <c r="U598" s="74">
        <f t="shared" si="448"/>
        <v>0</v>
      </c>
      <c r="V598" s="75">
        <f t="shared" si="449"/>
        <v>0</v>
      </c>
      <c r="W598" s="5">
        <f t="shared" si="450"/>
        <v>0</v>
      </c>
      <c r="X598" s="5">
        <f t="shared" si="451"/>
        <v>313667.9165578449</v>
      </c>
      <c r="Y598" s="5">
        <f t="shared" si="472"/>
        <v>100000</v>
      </c>
      <c r="Z598" s="215">
        <f t="shared" si="452"/>
        <v>1</v>
      </c>
      <c r="AA598" s="216">
        <f t="shared" si="473"/>
        <v>0</v>
      </c>
      <c r="AB598" s="72">
        <f t="shared" si="480"/>
        <v>105651.83946229343</v>
      </c>
      <c r="AC598" s="72">
        <f t="shared" si="453"/>
        <v>0</v>
      </c>
      <c r="AD598" s="72">
        <f t="shared" si="454"/>
        <v>0</v>
      </c>
      <c r="AE598" s="72">
        <f t="shared" si="474"/>
        <v>-65.317719727562505</v>
      </c>
      <c r="AF598" s="70">
        <f t="shared" si="455"/>
        <v>0</v>
      </c>
      <c r="AG598" s="70">
        <f t="shared" si="456"/>
        <v>15689.667825359138</v>
      </c>
      <c r="AH598" s="1">
        <f t="shared" si="484"/>
        <v>0</v>
      </c>
      <c r="AI598" s="1">
        <f t="shared" si="484"/>
        <v>0</v>
      </c>
      <c r="AJ598" s="1">
        <f t="shared" si="484"/>
        <v>0</v>
      </c>
      <c r="AK598" s="1">
        <f t="shared" si="484"/>
        <v>0</v>
      </c>
      <c r="AL598" s="1">
        <f t="shared" si="484"/>
        <v>0</v>
      </c>
      <c r="AM598" s="1">
        <f t="shared" si="484"/>
        <v>0</v>
      </c>
      <c r="AN598" s="1">
        <f t="shared" si="484"/>
        <v>0</v>
      </c>
      <c r="AO598" s="1">
        <f t="shared" si="484"/>
        <v>0</v>
      </c>
      <c r="AP598" s="1">
        <f t="shared" si="484"/>
        <v>0</v>
      </c>
      <c r="AQ598" s="1">
        <f t="shared" si="484"/>
        <v>0</v>
      </c>
      <c r="AR598" s="1">
        <f t="shared" si="484"/>
        <v>0</v>
      </c>
      <c r="AS598" s="1">
        <f t="shared" si="484"/>
        <v>0</v>
      </c>
      <c r="AT598" s="39">
        <f t="shared" si="457"/>
        <v>313667.9165578449</v>
      </c>
      <c r="AU598" s="39">
        <f t="shared" si="475"/>
        <v>313667.9165578449</v>
      </c>
      <c r="AV598" s="39">
        <f t="shared" si="432"/>
        <v>0</v>
      </c>
      <c r="AW598" s="3">
        <f t="shared" si="458"/>
        <v>524</v>
      </c>
      <c r="AX598" s="69">
        <f t="shared" si="476"/>
        <v>0</v>
      </c>
      <c r="AY598" s="75">
        <f t="shared" si="459"/>
        <v>0</v>
      </c>
      <c r="AZ598" s="75">
        <f t="shared" si="460"/>
        <v>0</v>
      </c>
      <c r="BA598" s="75">
        <f t="shared" si="461"/>
        <v>0</v>
      </c>
      <c r="BB598" s="75">
        <f t="shared" si="462"/>
        <v>0</v>
      </c>
      <c r="BD598" s="214">
        <f t="shared" si="477"/>
        <v>529950.69305725268</v>
      </c>
      <c r="BE598" s="214">
        <f t="shared" si="463"/>
        <v>2579.5617955947705</v>
      </c>
      <c r="BF598" s="214">
        <f t="shared" si="464"/>
        <v>-876.90486996901461</v>
      </c>
      <c r="BG598" s="224">
        <f t="shared" si="481"/>
        <v>0</v>
      </c>
      <c r="BH598" s="19">
        <f t="shared" si="478"/>
        <v>1254788.1388967901</v>
      </c>
      <c r="BI598" s="214">
        <f t="shared" si="465"/>
        <v>6107.7447148728224</v>
      </c>
      <c r="BJ598" s="214">
        <f t="shared" si="466"/>
        <v>0</v>
      </c>
      <c r="BK598" s="19">
        <f t="shared" si="482"/>
        <v>0</v>
      </c>
    </row>
    <row r="599" spans="1:63">
      <c r="A599" s="165">
        <f t="shared" si="467"/>
        <v>105.72279260780287</v>
      </c>
      <c r="B599" s="69">
        <f t="shared" si="468"/>
        <v>44</v>
      </c>
      <c r="C599" s="70">
        <f t="shared" si="469"/>
        <v>525</v>
      </c>
      <c r="D599" s="13">
        <f t="shared" si="438"/>
        <v>4.8675505653430484E-3</v>
      </c>
      <c r="E599" s="15">
        <f t="shared" si="439"/>
        <v>1</v>
      </c>
      <c r="F599" s="15">
        <f t="shared" si="470"/>
        <v>0</v>
      </c>
      <c r="G599" s="15">
        <f t="shared" si="440"/>
        <v>0</v>
      </c>
      <c r="H599" s="73">
        <f t="shared" si="441"/>
        <v>0</v>
      </c>
      <c r="I599" s="189"/>
      <c r="J599" s="189"/>
      <c r="K599" s="5">
        <f t="shared" si="483"/>
        <v>313667.9165578449</v>
      </c>
      <c r="M599" s="5">
        <f t="shared" si="442"/>
        <v>1526.7944445711141</v>
      </c>
      <c r="N599" s="5">
        <f t="shared" si="443"/>
        <v>-519.02361330225335</v>
      </c>
      <c r="O599" s="5">
        <f t="shared" si="444"/>
        <v>0</v>
      </c>
      <c r="P599" s="5">
        <f t="shared" si="445"/>
        <v>0</v>
      </c>
      <c r="Q599" s="5">
        <f t="shared" si="479"/>
        <v>0</v>
      </c>
      <c r="R599" s="5">
        <f t="shared" si="471"/>
        <v>0</v>
      </c>
      <c r="S599" s="5">
        <f t="shared" si="446"/>
        <v>0</v>
      </c>
      <c r="T599" s="5">
        <f t="shared" si="447"/>
        <v>0</v>
      </c>
      <c r="U599" s="74">
        <f t="shared" si="448"/>
        <v>0</v>
      </c>
      <c r="V599" s="75">
        <f t="shared" si="449"/>
        <v>0</v>
      </c>
      <c r="W599" s="5">
        <f t="shared" si="450"/>
        <v>0</v>
      </c>
      <c r="X599" s="5">
        <f t="shared" si="451"/>
        <v>314675.68738911377</v>
      </c>
      <c r="Y599" s="5">
        <f t="shared" si="472"/>
        <v>100000</v>
      </c>
      <c r="Z599" s="215">
        <f t="shared" si="452"/>
        <v>1</v>
      </c>
      <c r="AA599" s="216">
        <f t="shared" si="473"/>
        <v>0</v>
      </c>
      <c r="AB599" s="72">
        <f t="shared" si="480"/>
        <v>105651.83946229343</v>
      </c>
      <c r="AC599" s="72">
        <f t="shared" si="453"/>
        <v>0</v>
      </c>
      <c r="AD599" s="72">
        <f t="shared" si="454"/>
        <v>0</v>
      </c>
      <c r="AE599" s="72">
        <f t="shared" si="474"/>
        <v>-65.527576360108128</v>
      </c>
      <c r="AF599" s="70">
        <f t="shared" si="455"/>
        <v>0</v>
      </c>
      <c r="AG599" s="70">
        <f t="shared" si="456"/>
        <v>16072.620741241306</v>
      </c>
      <c r="AH599" s="1">
        <f t="shared" si="484"/>
        <v>0</v>
      </c>
      <c r="AI599" s="1">
        <f t="shared" si="484"/>
        <v>0</v>
      </c>
      <c r="AJ599" s="1">
        <f t="shared" si="484"/>
        <v>0</v>
      </c>
      <c r="AK599" s="1">
        <f t="shared" si="484"/>
        <v>0</v>
      </c>
      <c r="AL599" s="1">
        <f t="shared" si="484"/>
        <v>0</v>
      </c>
      <c r="AM599" s="1">
        <f t="shared" si="484"/>
        <v>0</v>
      </c>
      <c r="AN599" s="1">
        <f t="shared" si="484"/>
        <v>0</v>
      </c>
      <c r="AO599" s="1">
        <f t="shared" si="484"/>
        <v>0</v>
      </c>
      <c r="AP599" s="1">
        <f t="shared" si="484"/>
        <v>0</v>
      </c>
      <c r="AQ599" s="1">
        <f t="shared" si="484"/>
        <v>0</v>
      </c>
      <c r="AR599" s="1">
        <f t="shared" si="484"/>
        <v>0</v>
      </c>
      <c r="AS599" s="1">
        <f t="shared" si="484"/>
        <v>0</v>
      </c>
      <c r="AT599" s="39">
        <f t="shared" si="457"/>
        <v>314675.68738911377</v>
      </c>
      <c r="AU599" s="39">
        <f t="shared" si="475"/>
        <v>314675.68738911377</v>
      </c>
      <c r="AV599" s="39">
        <f t="shared" ref="AV599:AV662" si="485">IF(W599=0,0,IF(W599&gt;W587,"Y","N"))</f>
        <v>0</v>
      </c>
      <c r="AW599" s="3">
        <f t="shared" si="458"/>
        <v>525</v>
      </c>
      <c r="AX599" s="69">
        <f t="shared" si="476"/>
        <v>0</v>
      </c>
      <c r="AY599" s="75">
        <f t="shared" si="459"/>
        <v>0</v>
      </c>
      <c r="AZ599" s="75">
        <f t="shared" si="460"/>
        <v>0</v>
      </c>
      <c r="BA599" s="75">
        <f t="shared" si="461"/>
        <v>0</v>
      </c>
      <c r="BB599" s="75">
        <f t="shared" si="462"/>
        <v>0</v>
      </c>
      <c r="BD599" s="214">
        <f t="shared" si="477"/>
        <v>531653.34998287843</v>
      </c>
      <c r="BE599" s="214">
        <f t="shared" si="463"/>
        <v>2587.8495642756857</v>
      </c>
      <c r="BF599" s="214">
        <f t="shared" si="464"/>
        <v>-879.72224179157831</v>
      </c>
      <c r="BG599" s="224">
        <f t="shared" si="481"/>
        <v>0</v>
      </c>
      <c r="BH599" s="19">
        <f t="shared" si="478"/>
        <v>1260895.883611663</v>
      </c>
      <c r="BI599" s="214">
        <f t="shared" si="465"/>
        <v>6137.4744711126732</v>
      </c>
      <c r="BJ599" s="214">
        <f t="shared" si="466"/>
        <v>0</v>
      </c>
      <c r="BK599" s="19">
        <f t="shared" si="482"/>
        <v>0</v>
      </c>
    </row>
    <row r="600" spans="1:63">
      <c r="A600" s="165">
        <f t="shared" si="467"/>
        <v>105.8061259411362</v>
      </c>
      <c r="B600" s="69">
        <f t="shared" si="468"/>
        <v>44</v>
      </c>
      <c r="C600" s="70">
        <f t="shared" si="469"/>
        <v>526</v>
      </c>
      <c r="D600" s="13">
        <f t="shared" si="438"/>
        <v>4.8675505653430484E-3</v>
      </c>
      <c r="E600" s="15">
        <f t="shared" si="439"/>
        <v>1</v>
      </c>
      <c r="F600" s="15">
        <f t="shared" si="470"/>
        <v>0</v>
      </c>
      <c r="G600" s="15">
        <f t="shared" si="440"/>
        <v>0</v>
      </c>
      <c r="H600" s="73">
        <f t="shared" si="441"/>
        <v>0</v>
      </c>
      <c r="I600" s="189"/>
      <c r="J600" s="189"/>
      <c r="K600" s="5">
        <f t="shared" si="483"/>
        <v>314675.68738911377</v>
      </c>
      <c r="M600" s="5">
        <f t="shared" si="442"/>
        <v>1531.6998200505932</v>
      </c>
      <c r="N600" s="5">
        <f t="shared" si="443"/>
        <v>-520.69116305986245</v>
      </c>
      <c r="O600" s="5">
        <f t="shared" si="444"/>
        <v>0</v>
      </c>
      <c r="P600" s="5">
        <f t="shared" si="445"/>
        <v>0</v>
      </c>
      <c r="Q600" s="5">
        <f t="shared" si="479"/>
        <v>0</v>
      </c>
      <c r="R600" s="5">
        <f t="shared" si="471"/>
        <v>0</v>
      </c>
      <c r="S600" s="5">
        <f t="shared" si="446"/>
        <v>0</v>
      </c>
      <c r="T600" s="5">
        <f t="shared" si="447"/>
        <v>0</v>
      </c>
      <c r="U600" s="74">
        <f t="shared" si="448"/>
        <v>0</v>
      </c>
      <c r="V600" s="75">
        <f t="shared" si="449"/>
        <v>0</v>
      </c>
      <c r="W600" s="5">
        <f t="shared" si="450"/>
        <v>0</v>
      </c>
      <c r="X600" s="5">
        <f t="shared" si="451"/>
        <v>315686.69604610454</v>
      </c>
      <c r="Y600" s="5">
        <f t="shared" si="472"/>
        <v>100000</v>
      </c>
      <c r="Z600" s="215">
        <f t="shared" si="452"/>
        <v>1</v>
      </c>
      <c r="AA600" s="216">
        <f t="shared" si="473"/>
        <v>0</v>
      </c>
      <c r="AB600" s="72">
        <f t="shared" si="480"/>
        <v>105651.83946229343</v>
      </c>
      <c r="AC600" s="72">
        <f t="shared" si="453"/>
        <v>0</v>
      </c>
      <c r="AD600" s="72">
        <f t="shared" si="454"/>
        <v>0</v>
      </c>
      <c r="AE600" s="72">
        <f t="shared" si="474"/>
        <v>-65.738107232452805</v>
      </c>
      <c r="AF600" s="70">
        <f t="shared" si="455"/>
        <v>0</v>
      </c>
      <c r="AG600" s="70">
        <f t="shared" si="456"/>
        <v>16456.804030897794</v>
      </c>
      <c r="AH600" s="1">
        <f t="shared" si="484"/>
        <v>0</v>
      </c>
      <c r="AI600" s="1">
        <f t="shared" si="484"/>
        <v>0</v>
      </c>
      <c r="AJ600" s="1">
        <f t="shared" si="484"/>
        <v>0</v>
      </c>
      <c r="AK600" s="1">
        <f t="shared" si="484"/>
        <v>0</v>
      </c>
      <c r="AL600" s="1">
        <f t="shared" si="484"/>
        <v>0</v>
      </c>
      <c r="AM600" s="1">
        <f t="shared" si="484"/>
        <v>0</v>
      </c>
      <c r="AN600" s="1">
        <f t="shared" si="484"/>
        <v>0</v>
      </c>
      <c r="AO600" s="1">
        <f t="shared" si="484"/>
        <v>0</v>
      </c>
      <c r="AP600" s="1">
        <f t="shared" si="484"/>
        <v>0</v>
      </c>
      <c r="AQ600" s="1">
        <f t="shared" si="484"/>
        <v>0</v>
      </c>
      <c r="AR600" s="1">
        <f t="shared" si="484"/>
        <v>0</v>
      </c>
      <c r="AS600" s="1">
        <f t="shared" si="484"/>
        <v>0</v>
      </c>
      <c r="AT600" s="39">
        <f t="shared" si="457"/>
        <v>315686.69604610454</v>
      </c>
      <c r="AU600" s="39">
        <f t="shared" si="475"/>
        <v>315686.69604610454</v>
      </c>
      <c r="AV600" s="39">
        <f t="shared" si="485"/>
        <v>0</v>
      </c>
      <c r="AW600" s="3">
        <f t="shared" si="458"/>
        <v>526</v>
      </c>
      <c r="AX600" s="69">
        <f t="shared" si="476"/>
        <v>0</v>
      </c>
      <c r="AY600" s="75">
        <f t="shared" si="459"/>
        <v>0</v>
      </c>
      <c r="AZ600" s="75">
        <f t="shared" si="460"/>
        <v>0</v>
      </c>
      <c r="BA600" s="75">
        <f t="shared" si="461"/>
        <v>0</v>
      </c>
      <c r="BB600" s="75">
        <f t="shared" si="462"/>
        <v>0</v>
      </c>
      <c r="BD600" s="214">
        <f t="shared" si="477"/>
        <v>533361.47730536258</v>
      </c>
      <c r="BE600" s="214">
        <f t="shared" si="463"/>
        <v>2596.1639603899212</v>
      </c>
      <c r="BF600" s="214">
        <f t="shared" si="464"/>
        <v>-882.54866543294099</v>
      </c>
      <c r="BG600" s="224">
        <f t="shared" si="481"/>
        <v>0</v>
      </c>
      <c r="BH600" s="19">
        <f t="shared" si="478"/>
        <v>1267033.3580827757</v>
      </c>
      <c r="BI600" s="214">
        <f t="shared" si="465"/>
        <v>6167.3489384443164</v>
      </c>
      <c r="BJ600" s="214">
        <f t="shared" si="466"/>
        <v>0</v>
      </c>
      <c r="BK600" s="19">
        <f t="shared" si="482"/>
        <v>0</v>
      </c>
    </row>
    <row r="601" spans="1:63">
      <c r="A601" s="165">
        <f t="shared" si="467"/>
        <v>105.88945927446954</v>
      </c>
      <c r="B601" s="69">
        <f t="shared" si="468"/>
        <v>44</v>
      </c>
      <c r="C601" s="70">
        <f t="shared" si="469"/>
        <v>527</v>
      </c>
      <c r="D601" s="13">
        <f t="shared" si="438"/>
        <v>4.8675505653430484E-3</v>
      </c>
      <c r="E601" s="15">
        <f t="shared" si="439"/>
        <v>1</v>
      </c>
      <c r="F601" s="15">
        <f t="shared" si="470"/>
        <v>0</v>
      </c>
      <c r="G601" s="15">
        <f t="shared" si="440"/>
        <v>0</v>
      </c>
      <c r="H601" s="73">
        <f t="shared" si="441"/>
        <v>0</v>
      </c>
      <c r="I601" s="189"/>
      <c r="J601" s="189"/>
      <c r="K601" s="5">
        <f t="shared" si="483"/>
        <v>315686.69604610454</v>
      </c>
      <c r="M601" s="5">
        <f t="shared" si="442"/>
        <v>1536.6209558104952</v>
      </c>
      <c r="N601" s="5">
        <f t="shared" si="443"/>
        <v>-522.36407041994448</v>
      </c>
      <c r="O601" s="5">
        <f t="shared" si="444"/>
        <v>0</v>
      </c>
      <c r="P601" s="5">
        <f t="shared" si="445"/>
        <v>0</v>
      </c>
      <c r="Q601" s="5">
        <f t="shared" si="479"/>
        <v>0</v>
      </c>
      <c r="R601" s="5">
        <f t="shared" si="471"/>
        <v>0</v>
      </c>
      <c r="S601" s="5">
        <f t="shared" si="446"/>
        <v>0</v>
      </c>
      <c r="T601" s="5">
        <f t="shared" si="447"/>
        <v>0</v>
      </c>
      <c r="U601" s="74">
        <f t="shared" si="448"/>
        <v>0</v>
      </c>
      <c r="V601" s="75">
        <f t="shared" si="449"/>
        <v>0</v>
      </c>
      <c r="W601" s="5">
        <f t="shared" si="450"/>
        <v>0</v>
      </c>
      <c r="X601" s="5">
        <f t="shared" si="451"/>
        <v>316700.95293149509</v>
      </c>
      <c r="Y601" s="5">
        <f t="shared" si="472"/>
        <v>100000</v>
      </c>
      <c r="Z601" s="215">
        <f t="shared" si="452"/>
        <v>1</v>
      </c>
      <c r="AA601" s="216">
        <f t="shared" si="473"/>
        <v>0</v>
      </c>
      <c r="AB601" s="72">
        <f t="shared" si="480"/>
        <v>105651.83946229343</v>
      </c>
      <c r="AC601" s="72">
        <f t="shared" si="453"/>
        <v>0</v>
      </c>
      <c r="AD601" s="72">
        <f t="shared" si="454"/>
        <v>0</v>
      </c>
      <c r="AE601" s="72">
        <f t="shared" si="474"/>
        <v>-65.949314510834043</v>
      </c>
      <c r="AF601" s="70">
        <f t="shared" si="455"/>
        <v>0</v>
      </c>
      <c r="AG601" s="70">
        <f t="shared" si="456"/>
        <v>16842.221647346218</v>
      </c>
      <c r="AH601" s="1">
        <f t="shared" si="484"/>
        <v>0</v>
      </c>
      <c r="AI601" s="1">
        <f t="shared" si="484"/>
        <v>0</v>
      </c>
      <c r="AJ601" s="1">
        <f t="shared" si="484"/>
        <v>0</v>
      </c>
      <c r="AK601" s="1">
        <f t="shared" si="484"/>
        <v>0</v>
      </c>
      <c r="AL601" s="1">
        <f t="shared" si="484"/>
        <v>0</v>
      </c>
      <c r="AM601" s="1">
        <f t="shared" si="484"/>
        <v>0</v>
      </c>
      <c r="AN601" s="1">
        <f t="shared" si="484"/>
        <v>0</v>
      </c>
      <c r="AO601" s="1">
        <f t="shared" si="484"/>
        <v>0</v>
      </c>
      <c r="AP601" s="1">
        <f t="shared" si="484"/>
        <v>0</v>
      </c>
      <c r="AQ601" s="1">
        <f t="shared" si="484"/>
        <v>0</v>
      </c>
      <c r="AR601" s="1">
        <f t="shared" si="484"/>
        <v>0</v>
      </c>
      <c r="AS601" s="1">
        <f t="shared" si="484"/>
        <v>0</v>
      </c>
      <c r="AT601" s="39">
        <f t="shared" si="457"/>
        <v>316700.95293149509</v>
      </c>
      <c r="AU601" s="39">
        <f t="shared" si="475"/>
        <v>316700.95293149509</v>
      </c>
      <c r="AV601" s="39">
        <f t="shared" si="485"/>
        <v>0</v>
      </c>
      <c r="AW601" s="3">
        <f t="shared" si="458"/>
        <v>527</v>
      </c>
      <c r="AX601" s="69">
        <f t="shared" si="476"/>
        <v>0</v>
      </c>
      <c r="AY601" s="75">
        <f t="shared" si="459"/>
        <v>0</v>
      </c>
      <c r="AZ601" s="75">
        <f t="shared" si="460"/>
        <v>0</v>
      </c>
      <c r="BA601" s="75">
        <f t="shared" si="461"/>
        <v>0</v>
      </c>
      <c r="BB601" s="75">
        <f t="shared" si="462"/>
        <v>0</v>
      </c>
      <c r="BD601" s="214">
        <f t="shared" si="477"/>
        <v>535075.09260031953</v>
      </c>
      <c r="BE601" s="214">
        <f t="shared" si="463"/>
        <v>2604.5050694876695</v>
      </c>
      <c r="BF601" s="214">
        <f t="shared" si="464"/>
        <v>-885.38416997532067</v>
      </c>
      <c r="BG601" s="224">
        <f t="shared" si="481"/>
        <v>0</v>
      </c>
      <c r="BH601" s="19">
        <f t="shared" si="478"/>
        <v>1273200.7070212201</v>
      </c>
      <c r="BI601" s="214">
        <f t="shared" si="465"/>
        <v>6197.3688212563093</v>
      </c>
      <c r="BJ601" s="214">
        <f t="shared" si="466"/>
        <v>0</v>
      </c>
      <c r="BK601" s="19">
        <f t="shared" si="482"/>
        <v>0</v>
      </c>
    </row>
    <row r="602" spans="1:63">
      <c r="A602" s="165">
        <f t="shared" si="467"/>
        <v>105.97279260780287</v>
      </c>
      <c r="B602" s="69">
        <f t="shared" si="468"/>
        <v>44</v>
      </c>
      <c r="C602" s="70">
        <f t="shared" si="469"/>
        <v>528</v>
      </c>
      <c r="D602" s="13">
        <f t="shared" si="438"/>
        <v>4.8675505653430484E-3</v>
      </c>
      <c r="E602" s="15">
        <f t="shared" si="439"/>
        <v>1</v>
      </c>
      <c r="F602" s="15">
        <f t="shared" si="470"/>
        <v>0</v>
      </c>
      <c r="G602" s="15">
        <f t="shared" si="440"/>
        <v>0</v>
      </c>
      <c r="H602" s="73">
        <f t="shared" si="441"/>
        <v>0</v>
      </c>
      <c r="I602" s="189"/>
      <c r="J602" s="189"/>
      <c r="K602" s="5">
        <f t="shared" si="483"/>
        <v>316700.95293149509</v>
      </c>
      <c r="M602" s="5">
        <f t="shared" si="442"/>
        <v>1541.5579024863812</v>
      </c>
      <c r="N602" s="5">
        <f t="shared" si="443"/>
        <v>-524.04235259572135</v>
      </c>
      <c r="O602" s="5">
        <f t="shared" si="444"/>
        <v>0</v>
      </c>
      <c r="P602" s="5">
        <f t="shared" si="445"/>
        <v>0</v>
      </c>
      <c r="Q602" s="5">
        <f t="shared" si="479"/>
        <v>0</v>
      </c>
      <c r="R602" s="5">
        <f t="shared" si="471"/>
        <v>0</v>
      </c>
      <c r="S602" s="5">
        <f t="shared" si="446"/>
        <v>0</v>
      </c>
      <c r="T602" s="5">
        <f t="shared" si="447"/>
        <v>0</v>
      </c>
      <c r="U602" s="74">
        <f t="shared" si="448"/>
        <v>0</v>
      </c>
      <c r="V602" s="75">
        <f t="shared" si="449"/>
        <v>0</v>
      </c>
      <c r="W602" s="5">
        <f t="shared" si="450"/>
        <v>0</v>
      </c>
      <c r="X602" s="5">
        <f t="shared" si="451"/>
        <v>317718.46848138573</v>
      </c>
      <c r="Y602" s="5">
        <f t="shared" si="472"/>
        <v>100000</v>
      </c>
      <c r="Z602" s="215">
        <f t="shared" si="452"/>
        <v>1</v>
      </c>
      <c r="AA602" s="216">
        <f t="shared" si="473"/>
        <v>0</v>
      </c>
      <c r="AB602" s="72">
        <f t="shared" si="480"/>
        <v>105651.83946229343</v>
      </c>
      <c r="AC602" s="72">
        <f t="shared" si="453"/>
        <v>0</v>
      </c>
      <c r="AD602" s="72">
        <f t="shared" si="454"/>
        <v>0</v>
      </c>
      <c r="AE602" s="72">
        <f t="shared" si="474"/>
        <v>-66.161200368449116</v>
      </c>
      <c r="AF602" s="70">
        <f t="shared" si="455"/>
        <v>0</v>
      </c>
      <c r="AG602" s="70">
        <f t="shared" si="456"/>
        <v>17228.877556304651</v>
      </c>
      <c r="AH602" s="1">
        <f t="shared" si="484"/>
        <v>0</v>
      </c>
      <c r="AI602" s="1">
        <f t="shared" si="484"/>
        <v>0</v>
      </c>
      <c r="AJ602" s="1">
        <f t="shared" si="484"/>
        <v>0</v>
      </c>
      <c r="AK602" s="1">
        <f t="shared" si="484"/>
        <v>0</v>
      </c>
      <c r="AL602" s="1">
        <f t="shared" si="484"/>
        <v>0</v>
      </c>
      <c r="AM602" s="1">
        <f t="shared" si="484"/>
        <v>0</v>
      </c>
      <c r="AN602" s="1">
        <f t="shared" si="484"/>
        <v>0</v>
      </c>
      <c r="AO602" s="1">
        <f t="shared" si="484"/>
        <v>0</v>
      </c>
      <c r="AP602" s="1">
        <f t="shared" si="484"/>
        <v>0</v>
      </c>
      <c r="AQ602" s="1">
        <f t="shared" si="484"/>
        <v>0</v>
      </c>
      <c r="AR602" s="1">
        <f t="shared" si="484"/>
        <v>0</v>
      </c>
      <c r="AS602" s="1">
        <f t="shared" si="484"/>
        <v>0</v>
      </c>
      <c r="AT602" s="39">
        <f t="shared" si="457"/>
        <v>317718.46848138573</v>
      </c>
      <c r="AU602" s="39">
        <f t="shared" si="475"/>
        <v>317718.46848138573</v>
      </c>
      <c r="AV602" s="39">
        <f t="shared" si="485"/>
        <v>0</v>
      </c>
      <c r="AW602" s="3">
        <f t="shared" si="458"/>
        <v>528</v>
      </c>
      <c r="AX602" s="69">
        <f t="shared" si="476"/>
        <v>0</v>
      </c>
      <c r="AY602" s="75">
        <f t="shared" si="459"/>
        <v>0</v>
      </c>
      <c r="AZ602" s="75">
        <f t="shared" si="460"/>
        <v>0</v>
      </c>
      <c r="BA602" s="75">
        <f t="shared" si="461"/>
        <v>0</v>
      </c>
      <c r="BB602" s="75">
        <f t="shared" si="462"/>
        <v>0</v>
      </c>
      <c r="BD602" s="214">
        <f t="shared" si="477"/>
        <v>536794.21349983185</v>
      </c>
      <c r="BE602" s="214">
        <f t="shared" si="463"/>
        <v>2612.8729773939835</v>
      </c>
      <c r="BF602" s="214">
        <f t="shared" si="464"/>
        <v>-888.22878459437345</v>
      </c>
      <c r="BG602" s="224">
        <f t="shared" si="481"/>
        <v>0</v>
      </c>
      <c r="BH602" s="19">
        <f t="shared" si="478"/>
        <v>1279398.0758424764</v>
      </c>
      <c r="BI602" s="214">
        <f t="shared" si="465"/>
        <v>6227.5348273658547</v>
      </c>
      <c r="BJ602" s="214">
        <f t="shared" si="466"/>
        <v>0</v>
      </c>
      <c r="BK602" s="19">
        <f t="shared" si="482"/>
        <v>0</v>
      </c>
    </row>
    <row r="603" spans="1:63">
      <c r="A603" s="165">
        <f t="shared" si="467"/>
        <v>106.0561259411362</v>
      </c>
      <c r="B603" s="69">
        <f t="shared" si="468"/>
        <v>45</v>
      </c>
      <c r="C603" s="70">
        <f t="shared" si="469"/>
        <v>529</v>
      </c>
      <c r="D603" s="13">
        <f t="shared" si="438"/>
        <v>4.8675505653430484E-3</v>
      </c>
      <c r="E603" s="15">
        <f t="shared" si="439"/>
        <v>1</v>
      </c>
      <c r="F603" s="15">
        <f t="shared" si="470"/>
        <v>0</v>
      </c>
      <c r="G603" s="15">
        <f t="shared" si="440"/>
        <v>0</v>
      </c>
      <c r="H603" s="73">
        <f t="shared" si="441"/>
        <v>0</v>
      </c>
      <c r="I603" s="189"/>
      <c r="J603" s="189"/>
      <c r="K603" s="5">
        <f t="shared" si="483"/>
        <v>317718.46848138573</v>
      </c>
      <c r="M603" s="5">
        <f t="shared" si="442"/>
        <v>1546.5107108764967</v>
      </c>
      <c r="N603" s="5">
        <f t="shared" si="443"/>
        <v>-525.72602685571883</v>
      </c>
      <c r="O603" s="5">
        <f t="shared" si="444"/>
        <v>0</v>
      </c>
      <c r="P603" s="5">
        <f t="shared" si="445"/>
        <v>0</v>
      </c>
      <c r="Q603" s="5">
        <f t="shared" si="479"/>
        <v>0</v>
      </c>
      <c r="R603" s="5">
        <f t="shared" si="471"/>
        <v>0</v>
      </c>
      <c r="S603" s="5">
        <f t="shared" si="446"/>
        <v>0</v>
      </c>
      <c r="T603" s="5">
        <f t="shared" si="447"/>
        <v>0</v>
      </c>
      <c r="U603" s="74">
        <f t="shared" si="448"/>
        <v>0</v>
      </c>
      <c r="V603" s="75">
        <f t="shared" si="449"/>
        <v>0</v>
      </c>
      <c r="W603" s="5">
        <f t="shared" si="450"/>
        <v>0</v>
      </c>
      <c r="X603" s="5">
        <f t="shared" si="451"/>
        <v>318739.25316540652</v>
      </c>
      <c r="Y603" s="5">
        <f t="shared" si="472"/>
        <v>100000</v>
      </c>
      <c r="Z603" s="215">
        <f t="shared" si="452"/>
        <v>1</v>
      </c>
      <c r="AA603" s="216">
        <f t="shared" si="473"/>
        <v>0</v>
      </c>
      <c r="AB603" s="72">
        <f t="shared" si="480"/>
        <v>105651.83946229343</v>
      </c>
      <c r="AC603" s="72">
        <f t="shared" si="453"/>
        <v>0</v>
      </c>
      <c r="AD603" s="72">
        <f t="shared" si="454"/>
        <v>0</v>
      </c>
      <c r="AE603" s="72">
        <f t="shared" si="474"/>
        <v>-66.373766985477545</v>
      </c>
      <c r="AF603" s="70">
        <f t="shared" si="455"/>
        <v>0</v>
      </c>
      <c r="AG603" s="70">
        <f t="shared" si="456"/>
        <v>17616.77573623255</v>
      </c>
      <c r="AH603" s="1">
        <f t="shared" si="484"/>
        <v>0</v>
      </c>
      <c r="AI603" s="1">
        <f t="shared" si="484"/>
        <v>0</v>
      </c>
      <c r="AJ603" s="1">
        <f t="shared" si="484"/>
        <v>0</v>
      </c>
      <c r="AK603" s="1">
        <f t="shared" si="484"/>
        <v>0</v>
      </c>
      <c r="AL603" s="1">
        <f t="shared" si="484"/>
        <v>0</v>
      </c>
      <c r="AM603" s="1">
        <f t="shared" si="484"/>
        <v>0</v>
      </c>
      <c r="AN603" s="1">
        <f t="shared" si="484"/>
        <v>0</v>
      </c>
      <c r="AO603" s="1">
        <f t="shared" si="484"/>
        <v>0</v>
      </c>
      <c r="AP603" s="1">
        <f t="shared" si="484"/>
        <v>0</v>
      </c>
      <c r="AQ603" s="1">
        <f t="shared" si="484"/>
        <v>0</v>
      </c>
      <c r="AR603" s="1">
        <f t="shared" si="484"/>
        <v>0</v>
      </c>
      <c r="AS603" s="1">
        <f t="shared" si="484"/>
        <v>0</v>
      </c>
      <c r="AT603" s="39">
        <f t="shared" si="457"/>
        <v>318739.25316540652</v>
      </c>
      <c r="AU603" s="39">
        <f t="shared" si="475"/>
        <v>318739.25316540652</v>
      </c>
      <c r="AV603" s="39">
        <f t="shared" si="485"/>
        <v>0</v>
      </c>
      <c r="AW603" s="3">
        <f t="shared" si="458"/>
        <v>529</v>
      </c>
      <c r="AX603" s="69">
        <f t="shared" si="476"/>
        <v>0</v>
      </c>
      <c r="AY603" s="75">
        <f t="shared" si="459"/>
        <v>0</v>
      </c>
      <c r="AZ603" s="75">
        <f t="shared" si="460"/>
        <v>0</v>
      </c>
      <c r="BA603" s="75">
        <f t="shared" si="461"/>
        <v>0</v>
      </c>
      <c r="BB603" s="75">
        <f t="shared" si="462"/>
        <v>0</v>
      </c>
      <c r="BD603" s="214">
        <f t="shared" si="477"/>
        <v>538518.85769263154</v>
      </c>
      <c r="BE603" s="214">
        <f t="shared" si="463"/>
        <v>2621.2677702096612</v>
      </c>
      <c r="BF603" s="214">
        <f t="shared" si="464"/>
        <v>-891.08253855949272</v>
      </c>
      <c r="BG603" s="224">
        <f t="shared" si="481"/>
        <v>0</v>
      </c>
      <c r="BH603" s="19">
        <f t="shared" si="478"/>
        <v>1285625.6106698422</v>
      </c>
      <c r="BI603" s="214">
        <f t="shared" si="465"/>
        <v>6257.8476680354925</v>
      </c>
      <c r="BJ603" s="214">
        <f t="shared" si="466"/>
        <v>0</v>
      </c>
      <c r="BK603" s="19">
        <f t="shared" si="482"/>
        <v>0</v>
      </c>
    </row>
    <row r="604" spans="1:63">
      <c r="A604" s="165">
        <f t="shared" si="467"/>
        <v>106.13945927446954</v>
      </c>
      <c r="B604" s="69">
        <f t="shared" si="468"/>
        <v>45</v>
      </c>
      <c r="C604" s="70">
        <f t="shared" si="469"/>
        <v>530</v>
      </c>
      <c r="D604" s="13">
        <f t="shared" si="438"/>
        <v>4.8675505653430484E-3</v>
      </c>
      <c r="E604" s="15">
        <f t="shared" si="439"/>
        <v>1</v>
      </c>
      <c r="F604" s="15">
        <f t="shared" si="470"/>
        <v>0</v>
      </c>
      <c r="G604" s="15">
        <f t="shared" si="440"/>
        <v>0</v>
      </c>
      <c r="H604" s="73">
        <f t="shared" si="441"/>
        <v>0</v>
      </c>
      <c r="I604" s="189"/>
      <c r="J604" s="189"/>
      <c r="K604" s="5">
        <f t="shared" si="483"/>
        <v>318739.25316540652</v>
      </c>
      <c r="M604" s="5">
        <f t="shared" si="442"/>
        <v>1551.4794319422956</v>
      </c>
      <c r="N604" s="5">
        <f t="shared" si="443"/>
        <v>-527.41511052394389</v>
      </c>
      <c r="O604" s="5">
        <f t="shared" si="444"/>
        <v>0</v>
      </c>
      <c r="P604" s="5">
        <f t="shared" si="445"/>
        <v>0</v>
      </c>
      <c r="Q604" s="5">
        <f t="shared" si="479"/>
        <v>0</v>
      </c>
      <c r="R604" s="5">
        <f t="shared" si="471"/>
        <v>0</v>
      </c>
      <c r="S604" s="5">
        <f t="shared" si="446"/>
        <v>0</v>
      </c>
      <c r="T604" s="5">
        <f t="shared" si="447"/>
        <v>0</v>
      </c>
      <c r="U604" s="74">
        <f t="shared" si="448"/>
        <v>0</v>
      </c>
      <c r="V604" s="75">
        <f t="shared" si="449"/>
        <v>0</v>
      </c>
      <c r="W604" s="5">
        <f t="shared" si="450"/>
        <v>0</v>
      </c>
      <c r="X604" s="5">
        <f t="shared" si="451"/>
        <v>319763.31748682488</v>
      </c>
      <c r="Y604" s="5">
        <f t="shared" si="472"/>
        <v>100000</v>
      </c>
      <c r="Z604" s="215">
        <f t="shared" si="452"/>
        <v>1</v>
      </c>
      <c r="AA604" s="216">
        <f t="shared" si="473"/>
        <v>0</v>
      </c>
      <c r="AB604" s="72">
        <f t="shared" si="480"/>
        <v>105651.83946229343</v>
      </c>
      <c r="AC604" s="72">
        <f t="shared" si="453"/>
        <v>0</v>
      </c>
      <c r="AD604" s="72">
        <f t="shared" si="454"/>
        <v>0</v>
      </c>
      <c r="AE604" s="72">
        <f t="shared" si="474"/>
        <v>-66.587016549103438</v>
      </c>
      <c r="AF604" s="70">
        <f t="shared" si="455"/>
        <v>0</v>
      </c>
      <c r="AG604" s="70">
        <f t="shared" si="456"/>
        <v>18005.920178371525</v>
      </c>
      <c r="AH604" s="1">
        <f t="shared" si="484"/>
        <v>0</v>
      </c>
      <c r="AI604" s="1">
        <f t="shared" si="484"/>
        <v>0</v>
      </c>
      <c r="AJ604" s="1">
        <f t="shared" si="484"/>
        <v>0</v>
      </c>
      <c r="AK604" s="1">
        <f t="shared" si="484"/>
        <v>0</v>
      </c>
      <c r="AL604" s="1">
        <f t="shared" si="484"/>
        <v>0</v>
      </c>
      <c r="AM604" s="1">
        <f t="shared" si="484"/>
        <v>0</v>
      </c>
      <c r="AN604" s="1">
        <f t="shared" si="484"/>
        <v>0</v>
      </c>
      <c r="AO604" s="1">
        <f t="shared" si="484"/>
        <v>0</v>
      </c>
      <c r="AP604" s="1">
        <f t="shared" si="484"/>
        <v>0</v>
      </c>
      <c r="AQ604" s="1">
        <f t="shared" si="484"/>
        <v>0</v>
      </c>
      <c r="AR604" s="1">
        <f t="shared" si="484"/>
        <v>0</v>
      </c>
      <c r="AS604" s="1">
        <f t="shared" si="484"/>
        <v>0</v>
      </c>
      <c r="AT604" s="39">
        <f t="shared" si="457"/>
        <v>319763.31748682488</v>
      </c>
      <c r="AU604" s="39">
        <f t="shared" si="475"/>
        <v>319763.31748682488</v>
      </c>
      <c r="AV604" s="39">
        <f t="shared" si="485"/>
        <v>0</v>
      </c>
      <c r="AW604" s="3">
        <f t="shared" si="458"/>
        <v>530</v>
      </c>
      <c r="AX604" s="69">
        <f t="shared" si="476"/>
        <v>0</v>
      </c>
      <c r="AY604" s="75">
        <f t="shared" si="459"/>
        <v>0</v>
      </c>
      <c r="AZ604" s="75">
        <f t="shared" si="460"/>
        <v>0</v>
      </c>
      <c r="BA604" s="75">
        <f t="shared" si="461"/>
        <v>0</v>
      </c>
      <c r="BB604" s="75">
        <f t="shared" si="462"/>
        <v>0</v>
      </c>
      <c r="BD604" s="214">
        <f t="shared" si="477"/>
        <v>540249.04292428179</v>
      </c>
      <c r="BE604" s="214">
        <f t="shared" si="463"/>
        <v>2629.6895343121287</v>
      </c>
      <c r="BF604" s="214">
        <f t="shared" si="464"/>
        <v>-893.94546123410976</v>
      </c>
      <c r="BG604" s="224">
        <f t="shared" si="481"/>
        <v>0</v>
      </c>
      <c r="BH604" s="19">
        <f t="shared" si="478"/>
        <v>1291883.4583378776</v>
      </c>
      <c r="BI604" s="214">
        <f t="shared" si="465"/>
        <v>6288.3080579898688</v>
      </c>
      <c r="BJ604" s="214">
        <f t="shared" si="466"/>
        <v>0</v>
      </c>
      <c r="BK604" s="19">
        <f t="shared" si="482"/>
        <v>0</v>
      </c>
    </row>
    <row r="605" spans="1:63">
      <c r="A605" s="165">
        <f t="shared" si="467"/>
        <v>106.22279260780287</v>
      </c>
      <c r="B605" s="69">
        <f t="shared" si="468"/>
        <v>45</v>
      </c>
      <c r="C605" s="70">
        <f t="shared" si="469"/>
        <v>531</v>
      </c>
      <c r="D605" s="13">
        <f t="shared" si="438"/>
        <v>4.8675505653430484E-3</v>
      </c>
      <c r="E605" s="15">
        <f t="shared" si="439"/>
        <v>1</v>
      </c>
      <c r="F605" s="15">
        <f t="shared" si="470"/>
        <v>0</v>
      </c>
      <c r="G605" s="15">
        <f t="shared" si="440"/>
        <v>0</v>
      </c>
      <c r="H605" s="73">
        <f t="shared" si="441"/>
        <v>0</v>
      </c>
      <c r="I605" s="189"/>
      <c r="J605" s="189"/>
      <c r="K605" s="5">
        <f t="shared" si="483"/>
        <v>319763.31748682488</v>
      </c>
      <c r="M605" s="5">
        <f t="shared" si="442"/>
        <v>1556.4641168089631</v>
      </c>
      <c r="N605" s="5">
        <f t="shared" si="443"/>
        <v>-529.10962098006337</v>
      </c>
      <c r="O605" s="5">
        <f t="shared" si="444"/>
        <v>0</v>
      </c>
      <c r="P605" s="5">
        <f t="shared" si="445"/>
        <v>0</v>
      </c>
      <c r="Q605" s="5">
        <f t="shared" si="479"/>
        <v>0</v>
      </c>
      <c r="R605" s="5">
        <f t="shared" si="471"/>
        <v>0</v>
      </c>
      <c r="S605" s="5">
        <f t="shared" si="446"/>
        <v>0</v>
      </c>
      <c r="T605" s="5">
        <f t="shared" si="447"/>
        <v>0</v>
      </c>
      <c r="U605" s="74">
        <f t="shared" si="448"/>
        <v>0</v>
      </c>
      <c r="V605" s="75">
        <f t="shared" si="449"/>
        <v>0</v>
      </c>
      <c r="W605" s="5">
        <f t="shared" si="450"/>
        <v>0</v>
      </c>
      <c r="X605" s="5">
        <f t="shared" si="451"/>
        <v>320790.67198265379</v>
      </c>
      <c r="Y605" s="5">
        <f t="shared" si="472"/>
        <v>100000</v>
      </c>
      <c r="Z605" s="215">
        <f t="shared" si="452"/>
        <v>1</v>
      </c>
      <c r="AA605" s="216">
        <f t="shared" si="473"/>
        <v>0</v>
      </c>
      <c r="AB605" s="72">
        <f t="shared" si="480"/>
        <v>105651.83946229343</v>
      </c>
      <c r="AC605" s="72">
        <f t="shared" si="453"/>
        <v>0</v>
      </c>
      <c r="AD605" s="72">
        <f t="shared" si="454"/>
        <v>0</v>
      </c>
      <c r="AE605" s="72">
        <f t="shared" si="474"/>
        <v>-66.800951253537974</v>
      </c>
      <c r="AF605" s="70">
        <f t="shared" si="455"/>
        <v>0</v>
      </c>
      <c r="AG605" s="70">
        <f t="shared" si="456"/>
        <v>18396.314886786509</v>
      </c>
      <c r="AH605" s="1">
        <f t="shared" ref="AH605:AS614" si="486">IF($B605&lt;=AH$74,1,0)</f>
        <v>0</v>
      </c>
      <c r="AI605" s="1">
        <f t="shared" si="486"/>
        <v>0</v>
      </c>
      <c r="AJ605" s="1">
        <f t="shared" si="486"/>
        <v>0</v>
      </c>
      <c r="AK605" s="1">
        <f t="shared" si="486"/>
        <v>0</v>
      </c>
      <c r="AL605" s="1">
        <f t="shared" si="486"/>
        <v>0</v>
      </c>
      <c r="AM605" s="1">
        <f t="shared" si="486"/>
        <v>0</v>
      </c>
      <c r="AN605" s="1">
        <f t="shared" si="486"/>
        <v>0</v>
      </c>
      <c r="AO605" s="1">
        <f t="shared" si="486"/>
        <v>0</v>
      </c>
      <c r="AP605" s="1">
        <f t="shared" si="486"/>
        <v>0</v>
      </c>
      <c r="AQ605" s="1">
        <f t="shared" si="486"/>
        <v>0</v>
      </c>
      <c r="AR605" s="1">
        <f t="shared" si="486"/>
        <v>0</v>
      </c>
      <c r="AS605" s="1">
        <f t="shared" si="486"/>
        <v>0</v>
      </c>
      <c r="AT605" s="39">
        <f t="shared" si="457"/>
        <v>320790.67198265379</v>
      </c>
      <c r="AU605" s="39">
        <f t="shared" si="475"/>
        <v>320790.67198265379</v>
      </c>
      <c r="AV605" s="39">
        <f t="shared" si="485"/>
        <v>0</v>
      </c>
      <c r="AW605" s="3">
        <f t="shared" si="458"/>
        <v>531</v>
      </c>
      <c r="AX605" s="69">
        <f t="shared" si="476"/>
        <v>0</v>
      </c>
      <c r="AY605" s="75">
        <f t="shared" si="459"/>
        <v>0</v>
      </c>
      <c r="AZ605" s="75">
        <f t="shared" si="460"/>
        <v>0</v>
      </c>
      <c r="BA605" s="75">
        <f t="shared" si="461"/>
        <v>0</v>
      </c>
      <c r="BB605" s="75">
        <f t="shared" si="462"/>
        <v>0</v>
      </c>
      <c r="BD605" s="214">
        <f t="shared" si="477"/>
        <v>541984.78699735983</v>
      </c>
      <c r="BE605" s="214">
        <f t="shared" si="463"/>
        <v>2638.1383563563304</v>
      </c>
      <c r="BF605" s="214">
        <f t="shared" si="464"/>
        <v>-896.81758207599637</v>
      </c>
      <c r="BG605" s="224">
        <f t="shared" si="481"/>
        <v>0</v>
      </c>
      <c r="BH605" s="19">
        <f t="shared" si="478"/>
        <v>1298171.7663958676</v>
      </c>
      <c r="BI605" s="214">
        <f t="shared" si="465"/>
        <v>6318.9167154325887</v>
      </c>
      <c r="BJ605" s="214">
        <f t="shared" si="466"/>
        <v>0</v>
      </c>
      <c r="BK605" s="19">
        <f t="shared" si="482"/>
        <v>0</v>
      </c>
    </row>
    <row r="606" spans="1:63">
      <c r="A606" s="165">
        <f t="shared" si="467"/>
        <v>106.3061259411362</v>
      </c>
      <c r="B606" s="69">
        <f t="shared" si="468"/>
        <v>45</v>
      </c>
      <c r="C606" s="70">
        <f t="shared" si="469"/>
        <v>532</v>
      </c>
      <c r="D606" s="13">
        <f t="shared" si="438"/>
        <v>4.8675505653430484E-3</v>
      </c>
      <c r="E606" s="15">
        <f t="shared" si="439"/>
        <v>1</v>
      </c>
      <c r="F606" s="15">
        <f t="shared" si="470"/>
        <v>0</v>
      </c>
      <c r="G606" s="15">
        <f t="shared" si="440"/>
        <v>0</v>
      </c>
      <c r="H606" s="73">
        <f t="shared" si="441"/>
        <v>0</v>
      </c>
      <c r="I606" s="189"/>
      <c r="J606" s="189"/>
      <c r="K606" s="5">
        <f t="shared" si="483"/>
        <v>320790.67198265379</v>
      </c>
      <c r="M606" s="5">
        <f t="shared" si="442"/>
        <v>1561.4648167659429</v>
      </c>
      <c r="N606" s="5">
        <f t="shared" si="443"/>
        <v>-530.80957565958226</v>
      </c>
      <c r="O606" s="5">
        <f t="shared" si="444"/>
        <v>0</v>
      </c>
      <c r="P606" s="5">
        <f t="shared" si="445"/>
        <v>0</v>
      </c>
      <c r="Q606" s="5">
        <f t="shared" si="479"/>
        <v>0</v>
      </c>
      <c r="R606" s="5">
        <f t="shared" si="471"/>
        <v>0</v>
      </c>
      <c r="S606" s="5">
        <f t="shared" si="446"/>
        <v>0</v>
      </c>
      <c r="T606" s="5">
        <f t="shared" si="447"/>
        <v>0</v>
      </c>
      <c r="U606" s="74">
        <f t="shared" si="448"/>
        <v>0</v>
      </c>
      <c r="V606" s="75">
        <f t="shared" si="449"/>
        <v>0</v>
      </c>
      <c r="W606" s="5">
        <f t="shared" si="450"/>
        <v>0</v>
      </c>
      <c r="X606" s="5">
        <f t="shared" si="451"/>
        <v>321821.32722376013</v>
      </c>
      <c r="Y606" s="5">
        <f t="shared" si="472"/>
        <v>100000</v>
      </c>
      <c r="Z606" s="215">
        <f t="shared" si="452"/>
        <v>1</v>
      </c>
      <c r="AA606" s="216">
        <f t="shared" si="473"/>
        <v>0</v>
      </c>
      <c r="AB606" s="72">
        <f t="shared" si="480"/>
        <v>105651.83946229343</v>
      </c>
      <c r="AC606" s="72">
        <f t="shared" si="453"/>
        <v>0</v>
      </c>
      <c r="AD606" s="72">
        <f t="shared" si="454"/>
        <v>0</v>
      </c>
      <c r="AE606" s="72">
        <f t="shared" si="474"/>
        <v>-67.015573300042107</v>
      </c>
      <c r="AF606" s="70">
        <f t="shared" si="455"/>
        <v>0</v>
      </c>
      <c r="AG606" s="70">
        <f t="shared" si="456"/>
        <v>18787.963878406925</v>
      </c>
      <c r="AH606" s="1">
        <f t="shared" si="486"/>
        <v>0</v>
      </c>
      <c r="AI606" s="1">
        <f t="shared" si="486"/>
        <v>0</v>
      </c>
      <c r="AJ606" s="1">
        <f t="shared" si="486"/>
        <v>0</v>
      </c>
      <c r="AK606" s="1">
        <f t="shared" si="486"/>
        <v>0</v>
      </c>
      <c r="AL606" s="1">
        <f t="shared" si="486"/>
        <v>0</v>
      </c>
      <c r="AM606" s="1">
        <f t="shared" si="486"/>
        <v>0</v>
      </c>
      <c r="AN606" s="1">
        <f t="shared" si="486"/>
        <v>0</v>
      </c>
      <c r="AO606" s="1">
        <f t="shared" si="486"/>
        <v>0</v>
      </c>
      <c r="AP606" s="1">
        <f t="shared" si="486"/>
        <v>0</v>
      </c>
      <c r="AQ606" s="1">
        <f t="shared" si="486"/>
        <v>0</v>
      </c>
      <c r="AR606" s="1">
        <f t="shared" si="486"/>
        <v>0</v>
      </c>
      <c r="AS606" s="1">
        <f t="shared" si="486"/>
        <v>0</v>
      </c>
      <c r="AT606" s="39">
        <f t="shared" si="457"/>
        <v>321821.32722376013</v>
      </c>
      <c r="AU606" s="39">
        <f t="shared" si="475"/>
        <v>321821.32722376013</v>
      </c>
      <c r="AV606" s="39">
        <f t="shared" si="485"/>
        <v>0</v>
      </c>
      <c r="AW606" s="3">
        <f t="shared" si="458"/>
        <v>532</v>
      </c>
      <c r="AX606" s="69">
        <f t="shared" si="476"/>
        <v>0</v>
      </c>
      <c r="AY606" s="75">
        <f t="shared" si="459"/>
        <v>0</v>
      </c>
      <c r="AZ606" s="75">
        <f t="shared" si="460"/>
        <v>0</v>
      </c>
      <c r="BA606" s="75">
        <f t="shared" si="461"/>
        <v>0</v>
      </c>
      <c r="BB606" s="75">
        <f t="shared" si="462"/>
        <v>0</v>
      </c>
      <c r="BD606" s="214">
        <f t="shared" si="477"/>
        <v>543726.10777164018</v>
      </c>
      <c r="BE606" s="214">
        <f t="shared" si="463"/>
        <v>2646.6143232756226</v>
      </c>
      <c r="BF606" s="214">
        <f t="shared" si="464"/>
        <v>-899.69893063756842</v>
      </c>
      <c r="BG606" s="224">
        <f t="shared" si="481"/>
        <v>0</v>
      </c>
      <c r="BH606" s="19">
        <f t="shared" si="478"/>
        <v>1304490.6831113002</v>
      </c>
      <c r="BI606" s="214">
        <f t="shared" si="465"/>
        <v>6349.6743620631487</v>
      </c>
      <c r="BJ606" s="214">
        <f t="shared" si="466"/>
        <v>0</v>
      </c>
      <c r="BK606" s="19">
        <f t="shared" si="482"/>
        <v>0</v>
      </c>
    </row>
    <row r="607" spans="1:63">
      <c r="A607" s="165">
        <f t="shared" si="467"/>
        <v>106.38945927446954</v>
      </c>
      <c r="B607" s="69">
        <f t="shared" si="468"/>
        <v>45</v>
      </c>
      <c r="C607" s="70">
        <f t="shared" si="469"/>
        <v>533</v>
      </c>
      <c r="D607" s="13">
        <f t="shared" si="438"/>
        <v>4.8675505653430484E-3</v>
      </c>
      <c r="E607" s="15">
        <f t="shared" si="439"/>
        <v>1</v>
      </c>
      <c r="F607" s="15">
        <f t="shared" si="470"/>
        <v>0</v>
      </c>
      <c r="G607" s="15">
        <f t="shared" si="440"/>
        <v>0</v>
      </c>
      <c r="H607" s="73">
        <f t="shared" si="441"/>
        <v>0</v>
      </c>
      <c r="I607" s="189"/>
      <c r="J607" s="189"/>
      <c r="K607" s="5">
        <f t="shared" si="483"/>
        <v>321821.32722376013</v>
      </c>
      <c r="M607" s="5">
        <f t="shared" si="442"/>
        <v>1566.4815832674637</v>
      </c>
      <c r="N607" s="5">
        <f t="shared" si="443"/>
        <v>-532.51499205402331</v>
      </c>
      <c r="O607" s="5">
        <f t="shared" si="444"/>
        <v>0</v>
      </c>
      <c r="P607" s="5">
        <f t="shared" si="445"/>
        <v>0</v>
      </c>
      <c r="Q607" s="5">
        <f t="shared" si="479"/>
        <v>0</v>
      </c>
      <c r="R607" s="5">
        <f t="shared" si="471"/>
        <v>0</v>
      </c>
      <c r="S607" s="5">
        <f t="shared" si="446"/>
        <v>0</v>
      </c>
      <c r="T607" s="5">
        <f t="shared" si="447"/>
        <v>0</v>
      </c>
      <c r="U607" s="74">
        <f t="shared" si="448"/>
        <v>0</v>
      </c>
      <c r="V607" s="75">
        <f t="shared" si="449"/>
        <v>0</v>
      </c>
      <c r="W607" s="5">
        <f t="shared" si="450"/>
        <v>0</v>
      </c>
      <c r="X607" s="5">
        <f t="shared" si="451"/>
        <v>322855.29381497356</v>
      </c>
      <c r="Y607" s="5">
        <f t="shared" si="472"/>
        <v>100000</v>
      </c>
      <c r="Z607" s="215">
        <f t="shared" si="452"/>
        <v>1</v>
      </c>
      <c r="AA607" s="216">
        <f t="shared" si="473"/>
        <v>0</v>
      </c>
      <c r="AB607" s="72">
        <f t="shared" si="480"/>
        <v>105651.83946229343</v>
      </c>
      <c r="AC607" s="72">
        <f t="shared" si="453"/>
        <v>0</v>
      </c>
      <c r="AD607" s="72">
        <f t="shared" si="454"/>
        <v>0</v>
      </c>
      <c r="AE607" s="72">
        <f t="shared" si="474"/>
        <v>-67.23088489694905</v>
      </c>
      <c r="AF607" s="70">
        <f t="shared" si="455"/>
        <v>0</v>
      </c>
      <c r="AG607" s="70">
        <f t="shared" si="456"/>
        <v>19180.871183068026</v>
      </c>
      <c r="AH607" s="1">
        <f t="shared" si="486"/>
        <v>0</v>
      </c>
      <c r="AI607" s="1">
        <f t="shared" si="486"/>
        <v>0</v>
      </c>
      <c r="AJ607" s="1">
        <f t="shared" si="486"/>
        <v>0</v>
      </c>
      <c r="AK607" s="1">
        <f t="shared" si="486"/>
        <v>0</v>
      </c>
      <c r="AL607" s="1">
        <f t="shared" si="486"/>
        <v>0</v>
      </c>
      <c r="AM607" s="1">
        <f t="shared" si="486"/>
        <v>0</v>
      </c>
      <c r="AN607" s="1">
        <f t="shared" si="486"/>
        <v>0</v>
      </c>
      <c r="AO607" s="1">
        <f t="shared" si="486"/>
        <v>0</v>
      </c>
      <c r="AP607" s="1">
        <f t="shared" si="486"/>
        <v>0</v>
      </c>
      <c r="AQ607" s="1">
        <f t="shared" si="486"/>
        <v>0</v>
      </c>
      <c r="AR607" s="1">
        <f t="shared" si="486"/>
        <v>0</v>
      </c>
      <c r="AS607" s="1">
        <f t="shared" si="486"/>
        <v>0</v>
      </c>
      <c r="AT607" s="39">
        <f t="shared" si="457"/>
        <v>322855.29381497356</v>
      </c>
      <c r="AU607" s="39">
        <f t="shared" si="475"/>
        <v>322855.29381497356</v>
      </c>
      <c r="AV607" s="39">
        <f t="shared" si="485"/>
        <v>0</v>
      </c>
      <c r="AW607" s="3">
        <f t="shared" si="458"/>
        <v>533</v>
      </c>
      <c r="AX607" s="69">
        <f t="shared" si="476"/>
        <v>0</v>
      </c>
      <c r="AY607" s="75">
        <f t="shared" si="459"/>
        <v>0</v>
      </c>
      <c r="AZ607" s="75">
        <f t="shared" si="460"/>
        <v>0</v>
      </c>
      <c r="BA607" s="75">
        <f t="shared" si="461"/>
        <v>0</v>
      </c>
      <c r="BB607" s="75">
        <f t="shared" si="462"/>
        <v>0</v>
      </c>
      <c r="BD607" s="214">
        <f t="shared" si="477"/>
        <v>545473.02316427825</v>
      </c>
      <c r="BE607" s="214">
        <f t="shared" si="463"/>
        <v>2655.1175222826641</v>
      </c>
      <c r="BF607" s="214">
        <f t="shared" si="464"/>
        <v>-902.58953656618962</v>
      </c>
      <c r="BG607" s="224">
        <f t="shared" si="481"/>
        <v>0</v>
      </c>
      <c r="BH607" s="19">
        <f t="shared" si="478"/>
        <v>1310840.3574733634</v>
      </c>
      <c r="BI607" s="214">
        <f t="shared" si="465"/>
        <v>6380.5817230939538</v>
      </c>
      <c r="BJ607" s="214">
        <f t="shared" si="466"/>
        <v>0</v>
      </c>
      <c r="BK607" s="19">
        <f t="shared" si="482"/>
        <v>0</v>
      </c>
    </row>
    <row r="608" spans="1:63">
      <c r="A608" s="165">
        <f t="shared" si="467"/>
        <v>106.47279260780287</v>
      </c>
      <c r="B608" s="69">
        <f t="shared" si="468"/>
        <v>45</v>
      </c>
      <c r="C608" s="70">
        <f t="shared" si="469"/>
        <v>534</v>
      </c>
      <c r="D608" s="13">
        <f t="shared" si="438"/>
        <v>4.8675505653430484E-3</v>
      </c>
      <c r="E608" s="15">
        <f t="shared" si="439"/>
        <v>1</v>
      </c>
      <c r="F608" s="15">
        <f t="shared" si="470"/>
        <v>0</v>
      </c>
      <c r="G608" s="15">
        <f t="shared" si="440"/>
        <v>0</v>
      </c>
      <c r="H608" s="73">
        <f t="shared" si="441"/>
        <v>0</v>
      </c>
      <c r="I608" s="189"/>
      <c r="J608" s="189"/>
      <c r="K608" s="5">
        <f t="shared" si="483"/>
        <v>322855.29381497356</v>
      </c>
      <c r="M608" s="5">
        <f t="shared" si="442"/>
        <v>1571.5144679330706</v>
      </c>
      <c r="N608" s="5">
        <f t="shared" si="443"/>
        <v>-534.22588771110736</v>
      </c>
      <c r="O608" s="5">
        <f t="shared" si="444"/>
        <v>0</v>
      </c>
      <c r="P608" s="5">
        <f t="shared" si="445"/>
        <v>0</v>
      </c>
      <c r="Q608" s="5">
        <f t="shared" si="479"/>
        <v>0</v>
      </c>
      <c r="R608" s="5">
        <f t="shared" si="471"/>
        <v>0</v>
      </c>
      <c r="S608" s="5">
        <f t="shared" si="446"/>
        <v>0</v>
      </c>
      <c r="T608" s="5">
        <f t="shared" si="447"/>
        <v>0</v>
      </c>
      <c r="U608" s="74">
        <f t="shared" si="448"/>
        <v>0</v>
      </c>
      <c r="V608" s="75">
        <f t="shared" si="449"/>
        <v>0</v>
      </c>
      <c r="W608" s="5">
        <f t="shared" si="450"/>
        <v>0</v>
      </c>
      <c r="X608" s="5">
        <f t="shared" si="451"/>
        <v>323892.58239519555</v>
      </c>
      <c r="Y608" s="5">
        <f t="shared" si="472"/>
        <v>100000</v>
      </c>
      <c r="Z608" s="215">
        <f t="shared" si="452"/>
        <v>1</v>
      </c>
      <c r="AA608" s="216">
        <f t="shared" si="473"/>
        <v>0</v>
      </c>
      <c r="AB608" s="72">
        <f t="shared" si="480"/>
        <v>105651.83946229343</v>
      </c>
      <c r="AC608" s="72">
        <f t="shared" si="453"/>
        <v>0</v>
      </c>
      <c r="AD608" s="72">
        <f t="shared" si="454"/>
        <v>0</v>
      </c>
      <c r="AE608" s="72">
        <f t="shared" si="474"/>
        <v>-67.446888259687114</v>
      </c>
      <c r="AF608" s="70">
        <f t="shared" si="455"/>
        <v>0</v>
      </c>
      <c r="AG608" s="70">
        <f t="shared" si="456"/>
        <v>19575.040843552386</v>
      </c>
      <c r="AH608" s="1">
        <f t="shared" si="486"/>
        <v>0</v>
      </c>
      <c r="AI608" s="1">
        <f t="shared" si="486"/>
        <v>0</v>
      </c>
      <c r="AJ608" s="1">
        <f t="shared" si="486"/>
        <v>0</v>
      </c>
      <c r="AK608" s="1">
        <f t="shared" si="486"/>
        <v>0</v>
      </c>
      <c r="AL608" s="1">
        <f t="shared" si="486"/>
        <v>0</v>
      </c>
      <c r="AM608" s="1">
        <f t="shared" si="486"/>
        <v>0</v>
      </c>
      <c r="AN608" s="1">
        <f t="shared" si="486"/>
        <v>0</v>
      </c>
      <c r="AO608" s="1">
        <f t="shared" si="486"/>
        <v>0</v>
      </c>
      <c r="AP608" s="1">
        <f t="shared" si="486"/>
        <v>0</v>
      </c>
      <c r="AQ608" s="1">
        <f t="shared" si="486"/>
        <v>0</v>
      </c>
      <c r="AR608" s="1">
        <f t="shared" si="486"/>
        <v>0</v>
      </c>
      <c r="AS608" s="1">
        <f t="shared" si="486"/>
        <v>0</v>
      </c>
      <c r="AT608" s="39">
        <f t="shared" si="457"/>
        <v>323892.58239519555</v>
      </c>
      <c r="AU608" s="39">
        <f t="shared" si="475"/>
        <v>323892.58239519555</v>
      </c>
      <c r="AV608" s="39">
        <f t="shared" si="485"/>
        <v>0</v>
      </c>
      <c r="AW608" s="3">
        <f t="shared" si="458"/>
        <v>534</v>
      </c>
      <c r="AX608" s="69">
        <f t="shared" si="476"/>
        <v>0</v>
      </c>
      <c r="AY608" s="75">
        <f t="shared" si="459"/>
        <v>0</v>
      </c>
      <c r="AZ608" s="75">
        <f t="shared" si="460"/>
        <v>0</v>
      </c>
      <c r="BA608" s="75">
        <f t="shared" si="461"/>
        <v>0</v>
      </c>
      <c r="BB608" s="75">
        <f t="shared" si="462"/>
        <v>0</v>
      </c>
      <c r="BD608" s="214">
        <f t="shared" si="477"/>
        <v>547225.55114999472</v>
      </c>
      <c r="BE608" s="214">
        <f t="shared" si="463"/>
        <v>2663.6480408703183</v>
      </c>
      <c r="BF608" s="214">
        <f t="shared" si="464"/>
        <v>-905.48942960447584</v>
      </c>
      <c r="BG608" s="224">
        <f t="shared" si="481"/>
        <v>0</v>
      </c>
      <c r="BH608" s="19">
        <f t="shared" si="478"/>
        <v>1317220.9391964574</v>
      </c>
      <c r="BI608" s="214">
        <f t="shared" si="465"/>
        <v>6411.6395272674172</v>
      </c>
      <c r="BJ608" s="214">
        <f t="shared" si="466"/>
        <v>0</v>
      </c>
      <c r="BK608" s="19">
        <f t="shared" si="482"/>
        <v>0</v>
      </c>
    </row>
    <row r="609" spans="1:63">
      <c r="A609" s="165">
        <f t="shared" si="467"/>
        <v>106.5561259411362</v>
      </c>
      <c r="B609" s="69">
        <f t="shared" si="468"/>
        <v>45</v>
      </c>
      <c r="C609" s="70">
        <f t="shared" si="469"/>
        <v>535</v>
      </c>
      <c r="D609" s="13">
        <f t="shared" si="438"/>
        <v>4.8675505653430484E-3</v>
      </c>
      <c r="E609" s="15">
        <f t="shared" si="439"/>
        <v>1</v>
      </c>
      <c r="F609" s="15">
        <f t="shared" si="470"/>
        <v>0</v>
      </c>
      <c r="G609" s="15">
        <f t="shared" si="440"/>
        <v>0</v>
      </c>
      <c r="H609" s="73">
        <f t="shared" si="441"/>
        <v>0</v>
      </c>
      <c r="I609" s="189"/>
      <c r="J609" s="189"/>
      <c r="K609" s="5">
        <f t="shared" si="483"/>
        <v>323892.58239519555</v>
      </c>
      <c r="M609" s="5">
        <f t="shared" si="442"/>
        <v>1576.563522548154</v>
      </c>
      <c r="N609" s="5">
        <f t="shared" si="443"/>
        <v>-535.94228023493338</v>
      </c>
      <c r="O609" s="5">
        <f t="shared" si="444"/>
        <v>0</v>
      </c>
      <c r="P609" s="5">
        <f t="shared" si="445"/>
        <v>0</v>
      </c>
      <c r="Q609" s="5">
        <f t="shared" si="479"/>
        <v>0</v>
      </c>
      <c r="R609" s="5">
        <f t="shared" si="471"/>
        <v>0</v>
      </c>
      <c r="S609" s="5">
        <f t="shared" si="446"/>
        <v>0</v>
      </c>
      <c r="T609" s="5">
        <f t="shared" si="447"/>
        <v>0</v>
      </c>
      <c r="U609" s="74">
        <f t="shared" si="448"/>
        <v>0</v>
      </c>
      <c r="V609" s="75">
        <f t="shared" si="449"/>
        <v>0</v>
      </c>
      <c r="W609" s="5">
        <f t="shared" si="450"/>
        <v>0</v>
      </c>
      <c r="X609" s="5">
        <f t="shared" si="451"/>
        <v>324933.20363750879</v>
      </c>
      <c r="Y609" s="5">
        <f t="shared" si="472"/>
        <v>100000</v>
      </c>
      <c r="Z609" s="215">
        <f t="shared" si="452"/>
        <v>1</v>
      </c>
      <c r="AA609" s="216">
        <f t="shared" si="473"/>
        <v>0</v>
      </c>
      <c r="AB609" s="72">
        <f t="shared" si="480"/>
        <v>105651.83946229343</v>
      </c>
      <c r="AC609" s="72">
        <f t="shared" si="453"/>
        <v>0</v>
      </c>
      <c r="AD609" s="72">
        <f t="shared" si="454"/>
        <v>0</v>
      </c>
      <c r="AE609" s="72">
        <f t="shared" si="474"/>
        <v>-67.6635856108025</v>
      </c>
      <c r="AF609" s="70">
        <f t="shared" si="455"/>
        <v>0</v>
      </c>
      <c r="AG609" s="70">
        <f t="shared" si="456"/>
        <v>19970.476915631414</v>
      </c>
      <c r="AH609" s="1">
        <f t="shared" si="486"/>
        <v>0</v>
      </c>
      <c r="AI609" s="1">
        <f t="shared" si="486"/>
        <v>0</v>
      </c>
      <c r="AJ609" s="1">
        <f t="shared" si="486"/>
        <v>0</v>
      </c>
      <c r="AK609" s="1">
        <f t="shared" si="486"/>
        <v>0</v>
      </c>
      <c r="AL609" s="1">
        <f t="shared" si="486"/>
        <v>0</v>
      </c>
      <c r="AM609" s="1">
        <f t="shared" si="486"/>
        <v>0</v>
      </c>
      <c r="AN609" s="1">
        <f t="shared" si="486"/>
        <v>0</v>
      </c>
      <c r="AO609" s="1">
        <f t="shared" si="486"/>
        <v>0</v>
      </c>
      <c r="AP609" s="1">
        <f t="shared" si="486"/>
        <v>0</v>
      </c>
      <c r="AQ609" s="1">
        <f t="shared" si="486"/>
        <v>0</v>
      </c>
      <c r="AR609" s="1">
        <f t="shared" si="486"/>
        <v>0</v>
      </c>
      <c r="AS609" s="1">
        <f t="shared" si="486"/>
        <v>0</v>
      </c>
      <c r="AT609" s="39">
        <f t="shared" si="457"/>
        <v>324933.20363750879</v>
      </c>
      <c r="AU609" s="39">
        <f t="shared" si="475"/>
        <v>324933.20363750879</v>
      </c>
      <c r="AV609" s="39">
        <f t="shared" si="485"/>
        <v>0</v>
      </c>
      <c r="AW609" s="3">
        <f t="shared" si="458"/>
        <v>535</v>
      </c>
      <c r="AX609" s="69">
        <f t="shared" si="476"/>
        <v>0</v>
      </c>
      <c r="AY609" s="75">
        <f t="shared" si="459"/>
        <v>0</v>
      </c>
      <c r="AZ609" s="75">
        <f t="shared" si="460"/>
        <v>0</v>
      </c>
      <c r="BA609" s="75">
        <f t="shared" si="461"/>
        <v>0</v>
      </c>
      <c r="BB609" s="75">
        <f t="shared" si="462"/>
        <v>0</v>
      </c>
      <c r="BD609" s="214">
        <f t="shared" si="477"/>
        <v>548983.70976126054</v>
      </c>
      <c r="BE609" s="214">
        <f t="shared" si="463"/>
        <v>2672.2059668125476</v>
      </c>
      <c r="BF609" s="214">
        <f t="shared" si="464"/>
        <v>-908.39863959060267</v>
      </c>
      <c r="BG609" s="224">
        <f t="shared" si="481"/>
        <v>0</v>
      </c>
      <c r="BH609" s="19">
        <f t="shared" si="478"/>
        <v>1323632.5787237247</v>
      </c>
      <c r="BI609" s="214">
        <f t="shared" si="465"/>
        <v>6442.8485068731434</v>
      </c>
      <c r="BJ609" s="214">
        <f t="shared" si="466"/>
        <v>0</v>
      </c>
      <c r="BK609" s="19">
        <f t="shared" si="482"/>
        <v>0</v>
      </c>
    </row>
    <row r="610" spans="1:63">
      <c r="A610" s="165">
        <f t="shared" si="467"/>
        <v>106.63945927446954</v>
      </c>
      <c r="B610" s="69">
        <f t="shared" si="468"/>
        <v>45</v>
      </c>
      <c r="C610" s="70">
        <f t="shared" si="469"/>
        <v>536</v>
      </c>
      <c r="D610" s="13">
        <f t="shared" si="438"/>
        <v>4.8675505653430484E-3</v>
      </c>
      <c r="E610" s="15">
        <f t="shared" si="439"/>
        <v>1</v>
      </c>
      <c r="F610" s="15">
        <f t="shared" si="470"/>
        <v>0</v>
      </c>
      <c r="G610" s="15">
        <f t="shared" si="440"/>
        <v>0</v>
      </c>
      <c r="H610" s="73">
        <f t="shared" si="441"/>
        <v>0</v>
      </c>
      <c r="I610" s="189"/>
      <c r="J610" s="189"/>
      <c r="K610" s="5">
        <f t="shared" si="483"/>
        <v>324933.20363750879</v>
      </c>
      <c r="M610" s="5">
        <f t="shared" si="442"/>
        <v>1581.6287990644837</v>
      </c>
      <c r="N610" s="5">
        <f t="shared" si="443"/>
        <v>-537.66418728615986</v>
      </c>
      <c r="O610" s="5">
        <f t="shared" si="444"/>
        <v>0</v>
      </c>
      <c r="P610" s="5">
        <f t="shared" si="445"/>
        <v>0</v>
      </c>
      <c r="Q610" s="5">
        <f t="shared" si="479"/>
        <v>0</v>
      </c>
      <c r="R610" s="5">
        <f t="shared" si="471"/>
        <v>0</v>
      </c>
      <c r="S610" s="5">
        <f t="shared" si="446"/>
        <v>0</v>
      </c>
      <c r="T610" s="5">
        <f t="shared" si="447"/>
        <v>0</v>
      </c>
      <c r="U610" s="74">
        <f t="shared" si="448"/>
        <v>0</v>
      </c>
      <c r="V610" s="75">
        <f t="shared" si="449"/>
        <v>0</v>
      </c>
      <c r="W610" s="5">
        <f t="shared" si="450"/>
        <v>0</v>
      </c>
      <c r="X610" s="5">
        <f t="shared" si="451"/>
        <v>325977.16824928712</v>
      </c>
      <c r="Y610" s="5">
        <f t="shared" si="472"/>
        <v>100000</v>
      </c>
      <c r="Z610" s="215">
        <f t="shared" si="452"/>
        <v>1</v>
      </c>
      <c r="AA610" s="216">
        <f t="shared" si="473"/>
        <v>0</v>
      </c>
      <c r="AB610" s="72">
        <f t="shared" si="480"/>
        <v>105651.83946229343</v>
      </c>
      <c r="AC610" s="72">
        <f t="shared" si="453"/>
        <v>0</v>
      </c>
      <c r="AD610" s="72">
        <f t="shared" si="454"/>
        <v>0</v>
      </c>
      <c r="AE610" s="72">
        <f t="shared" si="474"/>
        <v>-67.880979179982063</v>
      </c>
      <c r="AF610" s="70">
        <f t="shared" si="455"/>
        <v>0</v>
      </c>
      <c r="AG610" s="70">
        <f t="shared" si="456"/>
        <v>20367.183468107178</v>
      </c>
      <c r="AH610" s="1">
        <f t="shared" si="486"/>
        <v>0</v>
      </c>
      <c r="AI610" s="1">
        <f t="shared" si="486"/>
        <v>0</v>
      </c>
      <c r="AJ610" s="1">
        <f t="shared" si="486"/>
        <v>0</v>
      </c>
      <c r="AK610" s="1">
        <f t="shared" si="486"/>
        <v>0</v>
      </c>
      <c r="AL610" s="1">
        <f t="shared" si="486"/>
        <v>0</v>
      </c>
      <c r="AM610" s="1">
        <f t="shared" si="486"/>
        <v>0</v>
      </c>
      <c r="AN610" s="1">
        <f t="shared" si="486"/>
        <v>0</v>
      </c>
      <c r="AO610" s="1">
        <f t="shared" si="486"/>
        <v>0</v>
      </c>
      <c r="AP610" s="1">
        <f t="shared" si="486"/>
        <v>0</v>
      </c>
      <c r="AQ610" s="1">
        <f t="shared" si="486"/>
        <v>0</v>
      </c>
      <c r="AR610" s="1">
        <f t="shared" si="486"/>
        <v>0</v>
      </c>
      <c r="AS610" s="1">
        <f t="shared" si="486"/>
        <v>0</v>
      </c>
      <c r="AT610" s="39">
        <f t="shared" si="457"/>
        <v>325977.16824928712</v>
      </c>
      <c r="AU610" s="39">
        <f t="shared" si="475"/>
        <v>325977.16824928712</v>
      </c>
      <c r="AV610" s="39">
        <f t="shared" si="485"/>
        <v>0</v>
      </c>
      <c r="AW610" s="3">
        <f t="shared" si="458"/>
        <v>536</v>
      </c>
      <c r="AX610" s="69">
        <f t="shared" si="476"/>
        <v>0</v>
      </c>
      <c r="AY610" s="75">
        <f t="shared" si="459"/>
        <v>0</v>
      </c>
      <c r="AZ610" s="75">
        <f t="shared" si="460"/>
        <v>0</v>
      </c>
      <c r="BA610" s="75">
        <f t="shared" si="461"/>
        <v>0</v>
      </c>
      <c r="BB610" s="75">
        <f t="shared" si="462"/>
        <v>0</v>
      </c>
      <c r="BD610" s="214">
        <f t="shared" si="477"/>
        <v>550747.51708848251</v>
      </c>
      <c r="BE610" s="214">
        <f t="shared" si="463"/>
        <v>2680.791388165323</v>
      </c>
      <c r="BF610" s="214">
        <f t="shared" si="464"/>
        <v>-911.31719645861097</v>
      </c>
      <c r="BG610" s="224">
        <f t="shared" si="481"/>
        <v>0</v>
      </c>
      <c r="BH610" s="19">
        <f t="shared" si="478"/>
        <v>1330075.4272305979</v>
      </c>
      <c r="BI610" s="214">
        <f t="shared" si="465"/>
        <v>6474.2093977651939</v>
      </c>
      <c r="BJ610" s="214">
        <f t="shared" si="466"/>
        <v>0</v>
      </c>
      <c r="BK610" s="19">
        <f t="shared" si="482"/>
        <v>0</v>
      </c>
    </row>
    <row r="611" spans="1:63">
      <c r="A611" s="165">
        <f t="shared" si="467"/>
        <v>106.72279260780287</v>
      </c>
      <c r="B611" s="69">
        <f t="shared" si="468"/>
        <v>45</v>
      </c>
      <c r="C611" s="70">
        <f t="shared" si="469"/>
        <v>537</v>
      </c>
      <c r="D611" s="13">
        <f t="shared" si="438"/>
        <v>4.8675505653430484E-3</v>
      </c>
      <c r="E611" s="15">
        <f t="shared" si="439"/>
        <v>1</v>
      </c>
      <c r="F611" s="15">
        <f t="shared" si="470"/>
        <v>0</v>
      </c>
      <c r="G611" s="15">
        <f t="shared" si="440"/>
        <v>0</v>
      </c>
      <c r="H611" s="73">
        <f t="shared" si="441"/>
        <v>0</v>
      </c>
      <c r="I611" s="189"/>
      <c r="J611" s="189"/>
      <c r="K611" s="5">
        <f t="shared" si="483"/>
        <v>325977.16824928712</v>
      </c>
      <c r="M611" s="5">
        <f t="shared" si="442"/>
        <v>1586.7103496007435</v>
      </c>
      <c r="N611" s="5">
        <f t="shared" si="443"/>
        <v>-539.39162658218675</v>
      </c>
      <c r="O611" s="5">
        <f t="shared" si="444"/>
        <v>0</v>
      </c>
      <c r="P611" s="5">
        <f t="shared" si="445"/>
        <v>0</v>
      </c>
      <c r="Q611" s="5">
        <f t="shared" si="479"/>
        <v>0</v>
      </c>
      <c r="R611" s="5">
        <f t="shared" si="471"/>
        <v>0</v>
      </c>
      <c r="S611" s="5">
        <f t="shared" si="446"/>
        <v>0</v>
      </c>
      <c r="T611" s="5">
        <f t="shared" si="447"/>
        <v>0</v>
      </c>
      <c r="U611" s="74">
        <f t="shared" si="448"/>
        <v>0</v>
      </c>
      <c r="V611" s="75">
        <f t="shared" si="449"/>
        <v>0</v>
      </c>
      <c r="W611" s="5">
        <f t="shared" si="450"/>
        <v>0</v>
      </c>
      <c r="X611" s="5">
        <f t="shared" si="451"/>
        <v>327024.48697230569</v>
      </c>
      <c r="Y611" s="5">
        <f t="shared" si="472"/>
        <v>100000</v>
      </c>
      <c r="Z611" s="215">
        <f t="shared" si="452"/>
        <v>1</v>
      </c>
      <c r="AA611" s="216">
        <f t="shared" si="473"/>
        <v>0</v>
      </c>
      <c r="AB611" s="72">
        <f t="shared" si="480"/>
        <v>105651.83946229343</v>
      </c>
      <c r="AC611" s="72">
        <f t="shared" si="453"/>
        <v>0</v>
      </c>
      <c r="AD611" s="72">
        <f t="shared" si="454"/>
        <v>0</v>
      </c>
      <c r="AE611" s="72">
        <f t="shared" si="474"/>
        <v>-68.099071204076409</v>
      </c>
      <c r="AF611" s="70">
        <f t="shared" si="455"/>
        <v>0</v>
      </c>
      <c r="AG611" s="70">
        <f t="shared" si="456"/>
        <v>20765.164582854239</v>
      </c>
      <c r="AH611" s="1">
        <f t="shared" si="486"/>
        <v>0</v>
      </c>
      <c r="AI611" s="1">
        <f t="shared" si="486"/>
        <v>0</v>
      </c>
      <c r="AJ611" s="1">
        <f t="shared" si="486"/>
        <v>0</v>
      </c>
      <c r="AK611" s="1">
        <f t="shared" si="486"/>
        <v>0</v>
      </c>
      <c r="AL611" s="1">
        <f t="shared" si="486"/>
        <v>0</v>
      </c>
      <c r="AM611" s="1">
        <f t="shared" si="486"/>
        <v>0</v>
      </c>
      <c r="AN611" s="1">
        <f t="shared" si="486"/>
        <v>0</v>
      </c>
      <c r="AO611" s="1">
        <f t="shared" si="486"/>
        <v>0</v>
      </c>
      <c r="AP611" s="1">
        <f t="shared" si="486"/>
        <v>0</v>
      </c>
      <c r="AQ611" s="1">
        <f t="shared" si="486"/>
        <v>0</v>
      </c>
      <c r="AR611" s="1">
        <f t="shared" si="486"/>
        <v>0</v>
      </c>
      <c r="AS611" s="1">
        <f t="shared" si="486"/>
        <v>0</v>
      </c>
      <c r="AT611" s="39">
        <f t="shared" si="457"/>
        <v>327024.48697230569</v>
      </c>
      <c r="AU611" s="39">
        <f t="shared" si="475"/>
        <v>327024.48697230569</v>
      </c>
      <c r="AV611" s="39">
        <f t="shared" si="485"/>
        <v>0</v>
      </c>
      <c r="AW611" s="3">
        <f t="shared" si="458"/>
        <v>537</v>
      </c>
      <c r="AX611" s="69">
        <f t="shared" si="476"/>
        <v>0</v>
      </c>
      <c r="AY611" s="75">
        <f t="shared" si="459"/>
        <v>0</v>
      </c>
      <c r="AZ611" s="75">
        <f t="shared" si="460"/>
        <v>0</v>
      </c>
      <c r="BA611" s="75">
        <f t="shared" si="461"/>
        <v>0</v>
      </c>
      <c r="BB611" s="75">
        <f t="shared" si="462"/>
        <v>0</v>
      </c>
      <c r="BD611" s="214">
        <f t="shared" si="477"/>
        <v>552516.99128018925</v>
      </c>
      <c r="BE611" s="214">
        <f t="shared" si="463"/>
        <v>2689.4043932675254</v>
      </c>
      <c r="BF611" s="214">
        <f t="shared" si="464"/>
        <v>-914.24513023871543</v>
      </c>
      <c r="BG611" s="224">
        <f t="shared" si="481"/>
        <v>0</v>
      </c>
      <c r="BH611" s="19">
        <f t="shared" si="478"/>
        <v>1336549.636628363</v>
      </c>
      <c r="BI611" s="214">
        <f t="shared" si="465"/>
        <v>6505.7229393794341</v>
      </c>
      <c r="BJ611" s="214">
        <f t="shared" si="466"/>
        <v>0</v>
      </c>
      <c r="BK611" s="19">
        <f t="shared" si="482"/>
        <v>0</v>
      </c>
    </row>
    <row r="612" spans="1:63">
      <c r="A612" s="165">
        <f t="shared" si="467"/>
        <v>106.8061259411362</v>
      </c>
      <c r="B612" s="69">
        <f t="shared" si="468"/>
        <v>45</v>
      </c>
      <c r="C612" s="70">
        <f t="shared" si="469"/>
        <v>538</v>
      </c>
      <c r="D612" s="13">
        <f t="shared" si="438"/>
        <v>4.8675505653430484E-3</v>
      </c>
      <c r="E612" s="15">
        <f t="shared" si="439"/>
        <v>1</v>
      </c>
      <c r="F612" s="15">
        <f t="shared" si="470"/>
        <v>0</v>
      </c>
      <c r="G612" s="15">
        <f t="shared" si="440"/>
        <v>0</v>
      </c>
      <c r="H612" s="73">
        <f t="shared" si="441"/>
        <v>0</v>
      </c>
      <c r="I612" s="189"/>
      <c r="J612" s="189"/>
      <c r="K612" s="5">
        <f t="shared" si="483"/>
        <v>327024.48697230569</v>
      </c>
      <c r="M612" s="5">
        <f t="shared" si="442"/>
        <v>1591.808226443067</v>
      </c>
      <c r="N612" s="5">
        <f t="shared" si="443"/>
        <v>-541.12461589733698</v>
      </c>
      <c r="O612" s="5">
        <f t="shared" si="444"/>
        <v>0</v>
      </c>
      <c r="P612" s="5">
        <f t="shared" si="445"/>
        <v>0</v>
      </c>
      <c r="Q612" s="5">
        <f t="shared" si="479"/>
        <v>0</v>
      </c>
      <c r="R612" s="5">
        <f t="shared" si="471"/>
        <v>0</v>
      </c>
      <c r="S612" s="5">
        <f t="shared" si="446"/>
        <v>0</v>
      </c>
      <c r="T612" s="5">
        <f t="shared" si="447"/>
        <v>0</v>
      </c>
      <c r="U612" s="74">
        <f t="shared" si="448"/>
        <v>0</v>
      </c>
      <c r="V612" s="75">
        <f t="shared" si="449"/>
        <v>0</v>
      </c>
      <c r="W612" s="5">
        <f t="shared" si="450"/>
        <v>0</v>
      </c>
      <c r="X612" s="5">
        <f t="shared" si="451"/>
        <v>328075.17058285145</v>
      </c>
      <c r="Y612" s="5">
        <f t="shared" si="472"/>
        <v>100000</v>
      </c>
      <c r="Z612" s="215">
        <f t="shared" si="452"/>
        <v>1</v>
      </c>
      <c r="AA612" s="216">
        <f t="shared" si="473"/>
        <v>0</v>
      </c>
      <c r="AB612" s="72">
        <f t="shared" si="480"/>
        <v>105651.83946229343</v>
      </c>
      <c r="AC612" s="72">
        <f t="shared" si="453"/>
        <v>0</v>
      </c>
      <c r="AD612" s="72">
        <f t="shared" si="454"/>
        <v>0</v>
      </c>
      <c r="AE612" s="72">
        <f t="shared" si="474"/>
        <v>-68.317863927122772</v>
      </c>
      <c r="AF612" s="70">
        <f t="shared" si="455"/>
        <v>0</v>
      </c>
      <c r="AG612" s="70">
        <f t="shared" si="456"/>
        <v>21164.424354861621</v>
      </c>
      <c r="AH612" s="1">
        <f t="shared" si="486"/>
        <v>0</v>
      </c>
      <c r="AI612" s="1">
        <f t="shared" si="486"/>
        <v>0</v>
      </c>
      <c r="AJ612" s="1">
        <f t="shared" si="486"/>
        <v>0</v>
      </c>
      <c r="AK612" s="1">
        <f t="shared" si="486"/>
        <v>0</v>
      </c>
      <c r="AL612" s="1">
        <f t="shared" si="486"/>
        <v>0</v>
      </c>
      <c r="AM612" s="1">
        <f t="shared" si="486"/>
        <v>0</v>
      </c>
      <c r="AN612" s="1">
        <f t="shared" si="486"/>
        <v>0</v>
      </c>
      <c r="AO612" s="1">
        <f t="shared" si="486"/>
        <v>0</v>
      </c>
      <c r="AP612" s="1">
        <f t="shared" si="486"/>
        <v>0</v>
      </c>
      <c r="AQ612" s="1">
        <f t="shared" si="486"/>
        <v>0</v>
      </c>
      <c r="AR612" s="1">
        <f t="shared" si="486"/>
        <v>0</v>
      </c>
      <c r="AS612" s="1">
        <f t="shared" si="486"/>
        <v>0</v>
      </c>
      <c r="AT612" s="39">
        <f t="shared" si="457"/>
        <v>328075.17058285145</v>
      </c>
      <c r="AU612" s="39">
        <f t="shared" si="475"/>
        <v>328075.17058285145</v>
      </c>
      <c r="AV612" s="39">
        <f t="shared" si="485"/>
        <v>0</v>
      </c>
      <c r="AW612" s="3">
        <f t="shared" si="458"/>
        <v>538</v>
      </c>
      <c r="AX612" s="69">
        <f t="shared" si="476"/>
        <v>0</v>
      </c>
      <c r="AY612" s="75">
        <f t="shared" si="459"/>
        <v>0</v>
      </c>
      <c r="AZ612" s="75">
        <f t="shared" si="460"/>
        <v>0</v>
      </c>
      <c r="BA612" s="75">
        <f t="shared" si="461"/>
        <v>0</v>
      </c>
      <c r="BB612" s="75">
        <f t="shared" si="462"/>
        <v>0</v>
      </c>
      <c r="BD612" s="214">
        <f t="shared" si="477"/>
        <v>554292.15054321801</v>
      </c>
      <c r="BE612" s="214">
        <f t="shared" si="463"/>
        <v>2698.0450707418549</v>
      </c>
      <c r="BF612" s="214">
        <f t="shared" si="464"/>
        <v>-917.18247105761372</v>
      </c>
      <c r="BG612" s="224">
        <f t="shared" si="481"/>
        <v>0</v>
      </c>
      <c r="BH612" s="19">
        <f t="shared" si="478"/>
        <v>1343055.3595677426</v>
      </c>
      <c r="BI612" s="214">
        <f t="shared" si="465"/>
        <v>6537.3898747509766</v>
      </c>
      <c r="BJ612" s="214">
        <f t="shared" si="466"/>
        <v>0</v>
      </c>
      <c r="BK612" s="19">
        <f t="shared" si="482"/>
        <v>0</v>
      </c>
    </row>
    <row r="613" spans="1:63">
      <c r="A613" s="165">
        <f t="shared" si="467"/>
        <v>106.88945927446954</v>
      </c>
      <c r="B613" s="69">
        <f t="shared" si="468"/>
        <v>45</v>
      </c>
      <c r="C613" s="70">
        <f t="shared" si="469"/>
        <v>539</v>
      </c>
      <c r="D613" s="13">
        <f t="shared" si="438"/>
        <v>4.8675505653430484E-3</v>
      </c>
      <c r="E613" s="15">
        <f t="shared" si="439"/>
        <v>1</v>
      </c>
      <c r="F613" s="15">
        <f t="shared" si="470"/>
        <v>0</v>
      </c>
      <c r="G613" s="15">
        <f t="shared" si="440"/>
        <v>0</v>
      </c>
      <c r="H613" s="73">
        <f t="shared" si="441"/>
        <v>0</v>
      </c>
      <c r="I613" s="189"/>
      <c r="J613" s="189"/>
      <c r="K613" s="5">
        <f t="shared" si="483"/>
        <v>328075.17058285145</v>
      </c>
      <c r="M613" s="5">
        <f t="shared" si="442"/>
        <v>1596.9224820455756</v>
      </c>
      <c r="N613" s="5">
        <f t="shared" si="443"/>
        <v>-542.86317306304045</v>
      </c>
      <c r="O613" s="5">
        <f t="shared" si="444"/>
        <v>0</v>
      </c>
      <c r="P613" s="5">
        <f t="shared" si="445"/>
        <v>0</v>
      </c>
      <c r="Q613" s="5">
        <f t="shared" si="479"/>
        <v>0</v>
      </c>
      <c r="R613" s="5">
        <f t="shared" si="471"/>
        <v>0</v>
      </c>
      <c r="S613" s="5">
        <f t="shared" si="446"/>
        <v>0</v>
      </c>
      <c r="T613" s="5">
        <f t="shared" si="447"/>
        <v>0</v>
      </c>
      <c r="U613" s="74">
        <f t="shared" si="448"/>
        <v>0</v>
      </c>
      <c r="V613" s="75">
        <f t="shared" si="449"/>
        <v>0</v>
      </c>
      <c r="W613" s="5">
        <f t="shared" si="450"/>
        <v>0</v>
      </c>
      <c r="X613" s="5">
        <f t="shared" si="451"/>
        <v>329129.22989183402</v>
      </c>
      <c r="Y613" s="5">
        <f t="shared" si="472"/>
        <v>100000</v>
      </c>
      <c r="Z613" s="215">
        <f t="shared" si="452"/>
        <v>1</v>
      </c>
      <c r="AA613" s="216">
        <f t="shared" si="473"/>
        <v>0</v>
      </c>
      <c r="AB613" s="72">
        <f t="shared" si="480"/>
        <v>105651.83946229343</v>
      </c>
      <c r="AC613" s="72">
        <f t="shared" si="453"/>
        <v>0</v>
      </c>
      <c r="AD613" s="72">
        <f t="shared" si="454"/>
        <v>0</v>
      </c>
      <c r="AE613" s="72">
        <f t="shared" si="474"/>
        <v>-68.537359600368191</v>
      </c>
      <c r="AF613" s="70">
        <f t="shared" si="455"/>
        <v>0</v>
      </c>
      <c r="AG613" s="70">
        <f t="shared" si="456"/>
        <v>21564.966892274999</v>
      </c>
      <c r="AH613" s="1">
        <f t="shared" si="486"/>
        <v>0</v>
      </c>
      <c r="AI613" s="1">
        <f t="shared" si="486"/>
        <v>0</v>
      </c>
      <c r="AJ613" s="1">
        <f t="shared" si="486"/>
        <v>0</v>
      </c>
      <c r="AK613" s="1">
        <f t="shared" si="486"/>
        <v>0</v>
      </c>
      <c r="AL613" s="1">
        <f t="shared" si="486"/>
        <v>0</v>
      </c>
      <c r="AM613" s="1">
        <f t="shared" si="486"/>
        <v>0</v>
      </c>
      <c r="AN613" s="1">
        <f t="shared" si="486"/>
        <v>0</v>
      </c>
      <c r="AO613" s="1">
        <f t="shared" si="486"/>
        <v>0</v>
      </c>
      <c r="AP613" s="1">
        <f t="shared" si="486"/>
        <v>0</v>
      </c>
      <c r="AQ613" s="1">
        <f t="shared" si="486"/>
        <v>0</v>
      </c>
      <c r="AR613" s="1">
        <f t="shared" si="486"/>
        <v>0</v>
      </c>
      <c r="AS613" s="1">
        <f t="shared" si="486"/>
        <v>0</v>
      </c>
      <c r="AT613" s="39">
        <f t="shared" si="457"/>
        <v>329129.22989183402</v>
      </c>
      <c r="AU613" s="39">
        <f t="shared" si="475"/>
        <v>329129.22989183402</v>
      </c>
      <c r="AV613" s="39">
        <f t="shared" si="485"/>
        <v>0</v>
      </c>
      <c r="AW613" s="3">
        <f t="shared" si="458"/>
        <v>539</v>
      </c>
      <c r="AX613" s="69">
        <f t="shared" si="476"/>
        <v>0</v>
      </c>
      <c r="AY613" s="75">
        <f t="shared" si="459"/>
        <v>0</v>
      </c>
      <c r="AZ613" s="75">
        <f t="shared" si="460"/>
        <v>0</v>
      </c>
      <c r="BA613" s="75">
        <f t="shared" si="461"/>
        <v>0</v>
      </c>
      <c r="BB613" s="75">
        <f t="shared" si="462"/>
        <v>0</v>
      </c>
      <c r="BD613" s="214">
        <f t="shared" si="477"/>
        <v>556073.01314290229</v>
      </c>
      <c r="BE613" s="214">
        <f t="shared" si="463"/>
        <v>2706.7135094957466</v>
      </c>
      <c r="BF613" s="214">
        <f t="shared" si="464"/>
        <v>-920.12924913879681</v>
      </c>
      <c r="BG613" s="224">
        <f t="shared" si="481"/>
        <v>0</v>
      </c>
      <c r="BH613" s="19">
        <f t="shared" si="478"/>
        <v>1349592.7494424935</v>
      </c>
      <c r="BI613" s="214">
        <f t="shared" si="465"/>
        <v>6569.2109505316885</v>
      </c>
      <c r="BJ613" s="214">
        <f t="shared" si="466"/>
        <v>0</v>
      </c>
      <c r="BK613" s="19">
        <f t="shared" si="482"/>
        <v>0</v>
      </c>
    </row>
    <row r="614" spans="1:63">
      <c r="A614" s="165">
        <f t="shared" si="467"/>
        <v>106.97279260780287</v>
      </c>
      <c r="B614" s="69">
        <f t="shared" si="468"/>
        <v>45</v>
      </c>
      <c r="C614" s="70">
        <f t="shared" si="469"/>
        <v>540</v>
      </c>
      <c r="D614" s="13">
        <f t="shared" si="438"/>
        <v>4.8675505653430484E-3</v>
      </c>
      <c r="E614" s="15">
        <f t="shared" si="439"/>
        <v>1</v>
      </c>
      <c r="F614" s="15">
        <f t="shared" si="470"/>
        <v>0</v>
      </c>
      <c r="G614" s="15">
        <f t="shared" si="440"/>
        <v>0</v>
      </c>
      <c r="H614" s="73">
        <f t="shared" si="441"/>
        <v>0</v>
      </c>
      <c r="I614" s="189"/>
      <c r="J614" s="189"/>
      <c r="K614" s="5">
        <f t="shared" si="483"/>
        <v>329129.22989183402</v>
      </c>
      <c r="M614" s="5">
        <f t="shared" si="442"/>
        <v>1602.0531690309188</v>
      </c>
      <c r="N614" s="5">
        <f t="shared" si="443"/>
        <v>-544.60731596801656</v>
      </c>
      <c r="O614" s="5">
        <f t="shared" si="444"/>
        <v>0</v>
      </c>
      <c r="P614" s="5">
        <f t="shared" si="445"/>
        <v>0</v>
      </c>
      <c r="Q614" s="5">
        <f t="shared" si="479"/>
        <v>0</v>
      </c>
      <c r="R614" s="5">
        <f t="shared" si="471"/>
        <v>0</v>
      </c>
      <c r="S614" s="5">
        <f t="shared" si="446"/>
        <v>0</v>
      </c>
      <c r="T614" s="5">
        <f t="shared" si="447"/>
        <v>0</v>
      </c>
      <c r="U614" s="74">
        <f t="shared" si="448"/>
        <v>0</v>
      </c>
      <c r="V614" s="75">
        <f t="shared" si="449"/>
        <v>0</v>
      </c>
      <c r="W614" s="5">
        <f t="shared" si="450"/>
        <v>0</v>
      </c>
      <c r="X614" s="5">
        <f t="shared" si="451"/>
        <v>330186.67574489693</v>
      </c>
      <c r="Y614" s="5">
        <f t="shared" si="472"/>
        <v>100000</v>
      </c>
      <c r="Z614" s="215">
        <f t="shared" si="452"/>
        <v>1</v>
      </c>
      <c r="AA614" s="216">
        <f t="shared" si="473"/>
        <v>0</v>
      </c>
      <c r="AB614" s="72">
        <f t="shared" si="480"/>
        <v>105651.83946229343</v>
      </c>
      <c r="AC614" s="72">
        <f t="shared" si="453"/>
        <v>0</v>
      </c>
      <c r="AD614" s="72">
        <f t="shared" si="454"/>
        <v>0</v>
      </c>
      <c r="AE614" s="72">
        <f t="shared" si="474"/>
        <v>-68.757560482292618</v>
      </c>
      <c r="AF614" s="70">
        <f t="shared" si="455"/>
        <v>0</v>
      </c>
      <c r="AG614" s="70">
        <f t="shared" si="456"/>
        <v>21966.796316438908</v>
      </c>
      <c r="AH614" s="1">
        <f t="shared" si="486"/>
        <v>0</v>
      </c>
      <c r="AI614" s="1">
        <f t="shared" si="486"/>
        <v>0</v>
      </c>
      <c r="AJ614" s="1">
        <f t="shared" si="486"/>
        <v>0</v>
      </c>
      <c r="AK614" s="1">
        <f t="shared" si="486"/>
        <v>0</v>
      </c>
      <c r="AL614" s="1">
        <f t="shared" si="486"/>
        <v>0</v>
      </c>
      <c r="AM614" s="1">
        <f t="shared" si="486"/>
        <v>0</v>
      </c>
      <c r="AN614" s="1">
        <f t="shared" si="486"/>
        <v>0</v>
      </c>
      <c r="AO614" s="1">
        <f t="shared" si="486"/>
        <v>0</v>
      </c>
      <c r="AP614" s="1">
        <f t="shared" si="486"/>
        <v>0</v>
      </c>
      <c r="AQ614" s="1">
        <f t="shared" si="486"/>
        <v>0</v>
      </c>
      <c r="AR614" s="1">
        <f t="shared" si="486"/>
        <v>0</v>
      </c>
      <c r="AS614" s="1">
        <f t="shared" si="486"/>
        <v>0</v>
      </c>
      <c r="AT614" s="39">
        <f t="shared" si="457"/>
        <v>330186.67574489693</v>
      </c>
      <c r="AU614" s="39">
        <f t="shared" si="475"/>
        <v>330186.67574489693</v>
      </c>
      <c r="AV614" s="39">
        <f t="shared" si="485"/>
        <v>0</v>
      </c>
      <c r="AW614" s="3">
        <f t="shared" si="458"/>
        <v>540</v>
      </c>
      <c r="AX614" s="69">
        <f t="shared" si="476"/>
        <v>0</v>
      </c>
      <c r="AY614" s="75">
        <f t="shared" si="459"/>
        <v>0</v>
      </c>
      <c r="AZ614" s="75">
        <f t="shared" si="460"/>
        <v>0</v>
      </c>
      <c r="BA614" s="75">
        <f t="shared" si="461"/>
        <v>0</v>
      </c>
      <c r="BB614" s="75">
        <f t="shared" si="462"/>
        <v>0</v>
      </c>
      <c r="BD614" s="214">
        <f t="shared" si="477"/>
        <v>557859.59740325925</v>
      </c>
      <c r="BE614" s="214">
        <f t="shared" si="463"/>
        <v>2715.4097987222799</v>
      </c>
      <c r="BF614" s="214">
        <f t="shared" si="464"/>
        <v>-923.08549480285842</v>
      </c>
      <c r="BG614" s="224">
        <f t="shared" si="481"/>
        <v>0</v>
      </c>
      <c r="BH614" s="19">
        <f t="shared" si="478"/>
        <v>1356161.9603930253</v>
      </c>
      <c r="BI614" s="214">
        <f t="shared" si="465"/>
        <v>6601.1869170078071</v>
      </c>
      <c r="BJ614" s="214">
        <f t="shared" si="466"/>
        <v>0</v>
      </c>
      <c r="BK614" s="19">
        <f t="shared" si="482"/>
        <v>0</v>
      </c>
    </row>
    <row r="615" spans="1:63">
      <c r="A615" s="165">
        <f t="shared" si="467"/>
        <v>107.0561259411362</v>
      </c>
      <c r="B615" s="69">
        <f t="shared" si="468"/>
        <v>46</v>
      </c>
      <c r="C615" s="70">
        <f t="shared" si="469"/>
        <v>541</v>
      </c>
      <c r="D615" s="13">
        <f t="shared" si="438"/>
        <v>4.8675505653430484E-3</v>
      </c>
      <c r="E615" s="15">
        <f t="shared" si="439"/>
        <v>1</v>
      </c>
      <c r="F615" s="15">
        <f t="shared" si="470"/>
        <v>0</v>
      </c>
      <c r="G615" s="15">
        <f t="shared" si="440"/>
        <v>0</v>
      </c>
      <c r="H615" s="73">
        <f t="shared" si="441"/>
        <v>0</v>
      </c>
      <c r="I615" s="189"/>
      <c r="J615" s="189"/>
      <c r="K615" s="5">
        <f t="shared" si="483"/>
        <v>330186.67574489693</v>
      </c>
      <c r="M615" s="5">
        <f t="shared" si="442"/>
        <v>1607.2003401908148</v>
      </c>
      <c r="N615" s="5">
        <f t="shared" si="443"/>
        <v>-546.35706255845878</v>
      </c>
      <c r="O615" s="5">
        <f t="shared" si="444"/>
        <v>0</v>
      </c>
      <c r="P615" s="5">
        <f t="shared" si="445"/>
        <v>0</v>
      </c>
      <c r="Q615" s="5">
        <f t="shared" si="479"/>
        <v>0</v>
      </c>
      <c r="R615" s="5">
        <f t="shared" si="471"/>
        <v>0</v>
      </c>
      <c r="S615" s="5">
        <f t="shared" si="446"/>
        <v>0</v>
      </c>
      <c r="T615" s="5">
        <f t="shared" si="447"/>
        <v>0</v>
      </c>
      <c r="U615" s="74">
        <f t="shared" si="448"/>
        <v>0</v>
      </c>
      <c r="V615" s="75">
        <f t="shared" si="449"/>
        <v>0</v>
      </c>
      <c r="W615" s="5">
        <f t="shared" si="450"/>
        <v>0</v>
      </c>
      <c r="X615" s="5">
        <f t="shared" si="451"/>
        <v>331247.51902252925</v>
      </c>
      <c r="Y615" s="5">
        <f t="shared" si="472"/>
        <v>100000</v>
      </c>
      <c r="Z615" s="215">
        <f t="shared" si="452"/>
        <v>1</v>
      </c>
      <c r="AA615" s="216">
        <f t="shared" si="473"/>
        <v>0</v>
      </c>
      <c r="AB615" s="72">
        <f t="shared" si="480"/>
        <v>105651.83946229343</v>
      </c>
      <c r="AC615" s="72">
        <f t="shared" si="453"/>
        <v>0</v>
      </c>
      <c r="AD615" s="72">
        <f t="shared" si="454"/>
        <v>0</v>
      </c>
      <c r="AE615" s="72">
        <f t="shared" si="474"/>
        <v>-68.978468838632224</v>
      </c>
      <c r="AF615" s="70">
        <f t="shared" si="455"/>
        <v>0</v>
      </c>
      <c r="AG615" s="70">
        <f t="shared" si="456"/>
        <v>22369.916761939196</v>
      </c>
      <c r="AH615" s="1">
        <f t="shared" ref="AH615:AS624" si="487">IF($B615&lt;=AH$74,1,0)</f>
        <v>0</v>
      </c>
      <c r="AI615" s="1">
        <f t="shared" si="487"/>
        <v>0</v>
      </c>
      <c r="AJ615" s="1">
        <f t="shared" si="487"/>
        <v>0</v>
      </c>
      <c r="AK615" s="1">
        <f t="shared" si="487"/>
        <v>0</v>
      </c>
      <c r="AL615" s="1">
        <f t="shared" si="487"/>
        <v>0</v>
      </c>
      <c r="AM615" s="1">
        <f t="shared" si="487"/>
        <v>0</v>
      </c>
      <c r="AN615" s="1">
        <f t="shared" si="487"/>
        <v>0</v>
      </c>
      <c r="AO615" s="1">
        <f t="shared" si="487"/>
        <v>0</v>
      </c>
      <c r="AP615" s="1">
        <f t="shared" si="487"/>
        <v>0</v>
      </c>
      <c r="AQ615" s="1">
        <f t="shared" si="487"/>
        <v>0</v>
      </c>
      <c r="AR615" s="1">
        <f t="shared" si="487"/>
        <v>0</v>
      </c>
      <c r="AS615" s="1">
        <f t="shared" si="487"/>
        <v>0</v>
      </c>
      <c r="AT615" s="39">
        <f t="shared" si="457"/>
        <v>331247.51902252925</v>
      </c>
      <c r="AU615" s="39">
        <f t="shared" si="475"/>
        <v>331247.51902252925</v>
      </c>
      <c r="AV615" s="39">
        <f t="shared" si="485"/>
        <v>0</v>
      </c>
      <c r="AW615" s="3">
        <f t="shared" si="458"/>
        <v>541</v>
      </c>
      <c r="AX615" s="69">
        <f t="shared" si="476"/>
        <v>0</v>
      </c>
      <c r="AY615" s="75">
        <f t="shared" si="459"/>
        <v>0</v>
      </c>
      <c r="AZ615" s="75">
        <f t="shared" si="460"/>
        <v>0</v>
      </c>
      <c r="BA615" s="75">
        <f t="shared" si="461"/>
        <v>0</v>
      </c>
      <c r="BB615" s="75">
        <f t="shared" si="462"/>
        <v>0</v>
      </c>
      <c r="BD615" s="214">
        <f t="shared" si="477"/>
        <v>559651.92170717858</v>
      </c>
      <c r="BE615" s="214">
        <f t="shared" si="463"/>
        <v>2724.1340279011006</v>
      </c>
      <c r="BF615" s="214">
        <f t="shared" si="464"/>
        <v>-926.05123846780896</v>
      </c>
      <c r="BG615" s="224">
        <f t="shared" si="481"/>
        <v>0</v>
      </c>
      <c r="BH615" s="19">
        <f t="shared" si="478"/>
        <v>1362763.1473100332</v>
      </c>
      <c r="BI615" s="214">
        <f t="shared" si="465"/>
        <v>6633.3185281176238</v>
      </c>
      <c r="BJ615" s="214">
        <f t="shared" si="466"/>
        <v>0</v>
      </c>
      <c r="BK615" s="19">
        <f t="shared" si="482"/>
        <v>0</v>
      </c>
    </row>
    <row r="616" spans="1:63">
      <c r="A616" s="165">
        <f t="shared" si="467"/>
        <v>107.13945927446954</v>
      </c>
      <c r="B616" s="69">
        <f t="shared" si="468"/>
        <v>46</v>
      </c>
      <c r="C616" s="70">
        <f t="shared" si="469"/>
        <v>542</v>
      </c>
      <c r="D616" s="13">
        <f t="shared" si="438"/>
        <v>4.8675505653430484E-3</v>
      </c>
      <c r="E616" s="15">
        <f t="shared" si="439"/>
        <v>1</v>
      </c>
      <c r="F616" s="15">
        <f t="shared" si="470"/>
        <v>0</v>
      </c>
      <c r="G616" s="15">
        <f t="shared" si="440"/>
        <v>0</v>
      </c>
      <c r="H616" s="73">
        <f t="shared" si="441"/>
        <v>0</v>
      </c>
      <c r="I616" s="189"/>
      <c r="J616" s="189"/>
      <c r="K616" s="5">
        <f t="shared" si="483"/>
        <v>331247.51902252925</v>
      </c>
      <c r="M616" s="5">
        <f t="shared" si="442"/>
        <v>1612.3640484865944</v>
      </c>
      <c r="N616" s="5">
        <f t="shared" si="443"/>
        <v>-548.11243083821898</v>
      </c>
      <c r="O616" s="5">
        <f t="shared" si="444"/>
        <v>0</v>
      </c>
      <c r="P616" s="5">
        <f t="shared" si="445"/>
        <v>0</v>
      </c>
      <c r="Q616" s="5">
        <f t="shared" si="479"/>
        <v>0</v>
      </c>
      <c r="R616" s="5">
        <f t="shared" si="471"/>
        <v>0</v>
      </c>
      <c r="S616" s="5">
        <f t="shared" si="446"/>
        <v>0</v>
      </c>
      <c r="T616" s="5">
        <f t="shared" si="447"/>
        <v>0</v>
      </c>
      <c r="U616" s="74">
        <f t="shared" si="448"/>
        <v>0</v>
      </c>
      <c r="V616" s="75">
        <f t="shared" si="449"/>
        <v>0</v>
      </c>
      <c r="W616" s="5">
        <f t="shared" si="450"/>
        <v>0</v>
      </c>
      <c r="X616" s="5">
        <f t="shared" si="451"/>
        <v>332311.77064017759</v>
      </c>
      <c r="Y616" s="5">
        <f t="shared" si="472"/>
        <v>100000</v>
      </c>
      <c r="Z616" s="215">
        <f t="shared" si="452"/>
        <v>1</v>
      </c>
      <c r="AA616" s="216">
        <f t="shared" si="473"/>
        <v>0</v>
      </c>
      <c r="AB616" s="72">
        <f t="shared" si="480"/>
        <v>105651.83946229343</v>
      </c>
      <c r="AC616" s="72">
        <f t="shared" si="453"/>
        <v>0</v>
      </c>
      <c r="AD616" s="72">
        <f t="shared" si="454"/>
        <v>0</v>
      </c>
      <c r="AE616" s="72">
        <f t="shared" si="474"/>
        <v>-69.200086942402621</v>
      </c>
      <c r="AF616" s="70">
        <f t="shared" si="455"/>
        <v>0</v>
      </c>
      <c r="AG616" s="70">
        <f t="shared" si="456"/>
        <v>22774.332376645558</v>
      </c>
      <c r="AH616" s="1">
        <f t="shared" si="487"/>
        <v>0</v>
      </c>
      <c r="AI616" s="1">
        <f t="shared" si="487"/>
        <v>0</v>
      </c>
      <c r="AJ616" s="1">
        <f t="shared" si="487"/>
        <v>0</v>
      </c>
      <c r="AK616" s="1">
        <f t="shared" si="487"/>
        <v>0</v>
      </c>
      <c r="AL616" s="1">
        <f t="shared" si="487"/>
        <v>0</v>
      </c>
      <c r="AM616" s="1">
        <f t="shared" si="487"/>
        <v>0</v>
      </c>
      <c r="AN616" s="1">
        <f t="shared" si="487"/>
        <v>0</v>
      </c>
      <c r="AO616" s="1">
        <f t="shared" si="487"/>
        <v>0</v>
      </c>
      <c r="AP616" s="1">
        <f t="shared" si="487"/>
        <v>0</v>
      </c>
      <c r="AQ616" s="1">
        <f t="shared" si="487"/>
        <v>0</v>
      </c>
      <c r="AR616" s="1">
        <f t="shared" si="487"/>
        <v>0</v>
      </c>
      <c r="AS616" s="1">
        <f t="shared" si="487"/>
        <v>0</v>
      </c>
      <c r="AT616" s="39">
        <f t="shared" si="457"/>
        <v>332311.77064017759</v>
      </c>
      <c r="AU616" s="39">
        <f t="shared" si="475"/>
        <v>332311.77064017759</v>
      </c>
      <c r="AV616" s="39">
        <f t="shared" si="485"/>
        <v>0</v>
      </c>
      <c r="AW616" s="3">
        <f t="shared" si="458"/>
        <v>542</v>
      </c>
      <c r="AX616" s="69">
        <f t="shared" si="476"/>
        <v>0</v>
      </c>
      <c r="AY616" s="75">
        <f t="shared" si="459"/>
        <v>0</v>
      </c>
      <c r="AZ616" s="75">
        <f t="shared" si="460"/>
        <v>0</v>
      </c>
      <c r="BA616" s="75">
        <f t="shared" si="461"/>
        <v>0</v>
      </c>
      <c r="BB616" s="75">
        <f t="shared" si="462"/>
        <v>0</v>
      </c>
      <c r="BD616" s="214">
        <f t="shared" si="477"/>
        <v>561450.00449661189</v>
      </c>
      <c r="BE616" s="214">
        <f t="shared" si="463"/>
        <v>2732.8862867993403</v>
      </c>
      <c r="BF616" s="214">
        <f t="shared" si="464"/>
        <v>-929.02651064938755</v>
      </c>
      <c r="BG616" s="224">
        <f t="shared" si="481"/>
        <v>0</v>
      </c>
      <c r="BH616" s="19">
        <f t="shared" si="478"/>
        <v>1369396.4658381508</v>
      </c>
      <c r="BI616" s="214">
        <f t="shared" si="465"/>
        <v>6665.6065414692639</v>
      </c>
      <c r="BJ616" s="214">
        <f t="shared" si="466"/>
        <v>0</v>
      </c>
      <c r="BK616" s="19">
        <f t="shared" si="482"/>
        <v>0</v>
      </c>
    </row>
    <row r="617" spans="1:63">
      <c r="A617" s="165">
        <f t="shared" si="467"/>
        <v>107.22279260780287</v>
      </c>
      <c r="B617" s="69">
        <f t="shared" si="468"/>
        <v>46</v>
      </c>
      <c r="C617" s="70">
        <f t="shared" si="469"/>
        <v>543</v>
      </c>
      <c r="D617" s="13">
        <f t="shared" si="438"/>
        <v>4.8675505653430484E-3</v>
      </c>
      <c r="E617" s="15">
        <f t="shared" si="439"/>
        <v>1</v>
      </c>
      <c r="F617" s="15">
        <f t="shared" si="470"/>
        <v>0</v>
      </c>
      <c r="G617" s="15">
        <f t="shared" si="440"/>
        <v>0</v>
      </c>
      <c r="H617" s="73">
        <f t="shared" si="441"/>
        <v>0</v>
      </c>
      <c r="I617" s="189"/>
      <c r="J617" s="189"/>
      <c r="K617" s="5">
        <f t="shared" si="483"/>
        <v>332311.77064017759</v>
      </c>
      <c r="M617" s="5">
        <f t="shared" si="442"/>
        <v>1617.544347049746</v>
      </c>
      <c r="N617" s="5">
        <f t="shared" si="443"/>
        <v>-549.87343886899339</v>
      </c>
      <c r="O617" s="5">
        <f t="shared" si="444"/>
        <v>0</v>
      </c>
      <c r="P617" s="5">
        <f t="shared" si="445"/>
        <v>0</v>
      </c>
      <c r="Q617" s="5">
        <f t="shared" si="479"/>
        <v>0</v>
      </c>
      <c r="R617" s="5">
        <f t="shared" si="471"/>
        <v>0</v>
      </c>
      <c r="S617" s="5">
        <f t="shared" si="446"/>
        <v>0</v>
      </c>
      <c r="T617" s="5">
        <f t="shared" si="447"/>
        <v>0</v>
      </c>
      <c r="U617" s="74">
        <f t="shared" si="448"/>
        <v>0</v>
      </c>
      <c r="V617" s="75">
        <f t="shared" si="449"/>
        <v>0</v>
      </c>
      <c r="W617" s="5">
        <f t="shared" si="450"/>
        <v>0</v>
      </c>
      <c r="X617" s="5">
        <f t="shared" si="451"/>
        <v>333379.4415483583</v>
      </c>
      <c r="Y617" s="5">
        <f t="shared" si="472"/>
        <v>100000</v>
      </c>
      <c r="Z617" s="215">
        <f t="shared" si="452"/>
        <v>1</v>
      </c>
      <c r="AA617" s="216">
        <f t="shared" si="473"/>
        <v>0</v>
      </c>
      <c r="AB617" s="72">
        <f t="shared" si="480"/>
        <v>105651.83946229343</v>
      </c>
      <c r="AC617" s="72">
        <f t="shared" si="453"/>
        <v>0</v>
      </c>
      <c r="AD617" s="72">
        <f t="shared" si="454"/>
        <v>0</v>
      </c>
      <c r="AE617" s="72">
        <f t="shared" si="474"/>
        <v>-69.422417073922333</v>
      </c>
      <c r="AF617" s="70">
        <f t="shared" si="455"/>
        <v>0</v>
      </c>
      <c r="AG617" s="70">
        <f t="shared" si="456"/>
        <v>23180.047321754231</v>
      </c>
      <c r="AH617" s="1">
        <f t="shared" si="487"/>
        <v>0</v>
      </c>
      <c r="AI617" s="1">
        <f t="shared" si="487"/>
        <v>0</v>
      </c>
      <c r="AJ617" s="1">
        <f t="shared" si="487"/>
        <v>0</v>
      </c>
      <c r="AK617" s="1">
        <f t="shared" si="487"/>
        <v>0</v>
      </c>
      <c r="AL617" s="1">
        <f t="shared" si="487"/>
        <v>0</v>
      </c>
      <c r="AM617" s="1">
        <f t="shared" si="487"/>
        <v>0</v>
      </c>
      <c r="AN617" s="1">
        <f t="shared" si="487"/>
        <v>0</v>
      </c>
      <c r="AO617" s="1">
        <f t="shared" si="487"/>
        <v>0</v>
      </c>
      <c r="AP617" s="1">
        <f t="shared" si="487"/>
        <v>0</v>
      </c>
      <c r="AQ617" s="1">
        <f t="shared" si="487"/>
        <v>0</v>
      </c>
      <c r="AR617" s="1">
        <f t="shared" si="487"/>
        <v>0</v>
      </c>
      <c r="AS617" s="1">
        <f t="shared" si="487"/>
        <v>0</v>
      </c>
      <c r="AT617" s="39">
        <f t="shared" si="457"/>
        <v>333379.4415483583</v>
      </c>
      <c r="AU617" s="39">
        <f t="shared" si="475"/>
        <v>333379.4415483583</v>
      </c>
      <c r="AV617" s="39">
        <f t="shared" si="485"/>
        <v>0</v>
      </c>
      <c r="AW617" s="3">
        <f t="shared" si="458"/>
        <v>543</v>
      </c>
      <c r="AX617" s="69">
        <f t="shared" si="476"/>
        <v>0</v>
      </c>
      <c r="AY617" s="75">
        <f t="shared" si="459"/>
        <v>0</v>
      </c>
      <c r="AZ617" s="75">
        <f t="shared" si="460"/>
        <v>0</v>
      </c>
      <c r="BA617" s="75">
        <f t="shared" si="461"/>
        <v>0</v>
      </c>
      <c r="BB617" s="75">
        <f t="shared" si="462"/>
        <v>0</v>
      </c>
      <c r="BD617" s="214">
        <f t="shared" si="477"/>
        <v>563253.86427276186</v>
      </c>
      <c r="BE617" s="214">
        <f t="shared" si="463"/>
        <v>2741.6666654725386</v>
      </c>
      <c r="BF617" s="214">
        <f t="shared" si="464"/>
        <v>-932.01134196137571</v>
      </c>
      <c r="BG617" s="224">
        <f t="shared" si="481"/>
        <v>0</v>
      </c>
      <c r="BH617" s="19">
        <f t="shared" si="478"/>
        <v>1376062.07237962</v>
      </c>
      <c r="BI617" s="214">
        <f t="shared" si="465"/>
        <v>6698.0517183585462</v>
      </c>
      <c r="BJ617" s="214">
        <f t="shared" si="466"/>
        <v>0</v>
      </c>
      <c r="BK617" s="19">
        <f t="shared" si="482"/>
        <v>0</v>
      </c>
    </row>
    <row r="618" spans="1:63">
      <c r="A618" s="165">
        <f t="shared" si="467"/>
        <v>107.3061259411362</v>
      </c>
      <c r="B618" s="69">
        <f t="shared" si="468"/>
        <v>46</v>
      </c>
      <c r="C618" s="70">
        <f t="shared" si="469"/>
        <v>544</v>
      </c>
      <c r="D618" s="13">
        <f t="shared" si="438"/>
        <v>4.8675505653430484E-3</v>
      </c>
      <c r="E618" s="15">
        <f t="shared" si="439"/>
        <v>1</v>
      </c>
      <c r="F618" s="15">
        <f t="shared" si="470"/>
        <v>0</v>
      </c>
      <c r="G618" s="15">
        <f t="shared" si="440"/>
        <v>0</v>
      </c>
      <c r="H618" s="73">
        <f t="shared" si="441"/>
        <v>0</v>
      </c>
      <c r="I618" s="189"/>
      <c r="J618" s="189"/>
      <c r="K618" s="5">
        <f t="shared" si="483"/>
        <v>333379.4415483583</v>
      </c>
      <c r="M618" s="5">
        <f t="shared" si="442"/>
        <v>1622.7412891824613</v>
      </c>
      <c r="N618" s="5">
        <f t="shared" si="443"/>
        <v>-551.64010477050726</v>
      </c>
      <c r="O618" s="5">
        <f t="shared" si="444"/>
        <v>0</v>
      </c>
      <c r="P618" s="5">
        <f t="shared" si="445"/>
        <v>0</v>
      </c>
      <c r="Q618" s="5">
        <f t="shared" si="479"/>
        <v>0</v>
      </c>
      <c r="R618" s="5">
        <f t="shared" si="471"/>
        <v>0</v>
      </c>
      <c r="S618" s="5">
        <f t="shared" si="446"/>
        <v>0</v>
      </c>
      <c r="T618" s="5">
        <f t="shared" si="447"/>
        <v>0</v>
      </c>
      <c r="U618" s="74">
        <f t="shared" si="448"/>
        <v>0</v>
      </c>
      <c r="V618" s="75">
        <f t="shared" si="449"/>
        <v>0</v>
      </c>
      <c r="W618" s="5">
        <f t="shared" si="450"/>
        <v>0</v>
      </c>
      <c r="X618" s="5">
        <f t="shared" si="451"/>
        <v>334450.54273277026</v>
      </c>
      <c r="Y618" s="5">
        <f t="shared" si="472"/>
        <v>100000</v>
      </c>
      <c r="Z618" s="215">
        <f t="shared" si="452"/>
        <v>1</v>
      </c>
      <c r="AA618" s="216">
        <f t="shared" si="473"/>
        <v>0</v>
      </c>
      <c r="AB618" s="72">
        <f t="shared" si="480"/>
        <v>105651.83946229343</v>
      </c>
      <c r="AC618" s="72">
        <f t="shared" si="453"/>
        <v>0</v>
      </c>
      <c r="AD618" s="72">
        <f t="shared" si="454"/>
        <v>0</v>
      </c>
      <c r="AE618" s="72">
        <f t="shared" si="474"/>
        <v>-69.645461520836221</v>
      </c>
      <c r="AF618" s="70">
        <f t="shared" si="455"/>
        <v>0</v>
      </c>
      <c r="AG618" s="70">
        <f t="shared" si="456"/>
        <v>23587.065771830778</v>
      </c>
      <c r="AH618" s="1">
        <f t="shared" si="487"/>
        <v>0</v>
      </c>
      <c r="AI618" s="1">
        <f t="shared" si="487"/>
        <v>0</v>
      </c>
      <c r="AJ618" s="1">
        <f t="shared" si="487"/>
        <v>0</v>
      </c>
      <c r="AK618" s="1">
        <f t="shared" si="487"/>
        <v>0</v>
      </c>
      <c r="AL618" s="1">
        <f t="shared" si="487"/>
        <v>0</v>
      </c>
      <c r="AM618" s="1">
        <f t="shared" si="487"/>
        <v>0</v>
      </c>
      <c r="AN618" s="1">
        <f t="shared" si="487"/>
        <v>0</v>
      </c>
      <c r="AO618" s="1">
        <f t="shared" si="487"/>
        <v>0</v>
      </c>
      <c r="AP618" s="1">
        <f t="shared" si="487"/>
        <v>0</v>
      </c>
      <c r="AQ618" s="1">
        <f t="shared" si="487"/>
        <v>0</v>
      </c>
      <c r="AR618" s="1">
        <f t="shared" si="487"/>
        <v>0</v>
      </c>
      <c r="AS618" s="1">
        <f t="shared" si="487"/>
        <v>0</v>
      </c>
      <c r="AT618" s="39">
        <f t="shared" si="457"/>
        <v>334450.54273277026</v>
      </c>
      <c r="AU618" s="39">
        <f t="shared" si="475"/>
        <v>334450.54273277026</v>
      </c>
      <c r="AV618" s="39">
        <f t="shared" si="485"/>
        <v>0</v>
      </c>
      <c r="AW618" s="3">
        <f t="shared" si="458"/>
        <v>544</v>
      </c>
      <c r="AX618" s="69">
        <f t="shared" si="476"/>
        <v>0</v>
      </c>
      <c r="AY618" s="75">
        <f t="shared" si="459"/>
        <v>0</v>
      </c>
      <c r="AZ618" s="75">
        <f t="shared" si="460"/>
        <v>0</v>
      </c>
      <c r="BA618" s="75">
        <f t="shared" si="461"/>
        <v>0</v>
      </c>
      <c r="BB618" s="75">
        <f t="shared" si="462"/>
        <v>0</v>
      </c>
      <c r="BD618" s="214">
        <f t="shared" si="477"/>
        <v>565063.51959627308</v>
      </c>
      <c r="BE618" s="214">
        <f t="shared" si="463"/>
        <v>2750.4752542655719</v>
      </c>
      <c r="BF618" s="214">
        <f t="shared" si="464"/>
        <v>-935.00576311591306</v>
      </c>
      <c r="BG618" s="224">
        <f t="shared" si="481"/>
        <v>0</v>
      </c>
      <c r="BH618" s="19">
        <f t="shared" si="478"/>
        <v>1382760.1240979787</v>
      </c>
      <c r="BI618" s="214">
        <f t="shared" si="465"/>
        <v>6730.6548237869401</v>
      </c>
      <c r="BJ618" s="214">
        <f t="shared" si="466"/>
        <v>0</v>
      </c>
      <c r="BK618" s="19">
        <f t="shared" si="482"/>
        <v>0</v>
      </c>
    </row>
    <row r="619" spans="1:63">
      <c r="A619" s="165">
        <f t="shared" si="467"/>
        <v>107.38945927446954</v>
      </c>
      <c r="B619" s="69">
        <f t="shared" si="468"/>
        <v>46</v>
      </c>
      <c r="C619" s="70">
        <f t="shared" si="469"/>
        <v>545</v>
      </c>
      <c r="D619" s="13">
        <f t="shared" si="438"/>
        <v>4.8675505653430484E-3</v>
      </c>
      <c r="E619" s="15">
        <f t="shared" si="439"/>
        <v>1</v>
      </c>
      <c r="F619" s="15">
        <f t="shared" si="470"/>
        <v>0</v>
      </c>
      <c r="G619" s="15">
        <f t="shared" si="440"/>
        <v>0</v>
      </c>
      <c r="H619" s="73">
        <f t="shared" si="441"/>
        <v>0</v>
      </c>
      <c r="I619" s="189"/>
      <c r="J619" s="189"/>
      <c r="K619" s="5">
        <f t="shared" si="483"/>
        <v>334450.54273277026</v>
      </c>
      <c r="M619" s="5">
        <f t="shared" si="442"/>
        <v>1627.9549283581853</v>
      </c>
      <c r="N619" s="5">
        <f t="shared" si="443"/>
        <v>-553.41244672070252</v>
      </c>
      <c r="O619" s="5">
        <f t="shared" si="444"/>
        <v>0</v>
      </c>
      <c r="P619" s="5">
        <f t="shared" si="445"/>
        <v>0</v>
      </c>
      <c r="Q619" s="5">
        <f t="shared" si="479"/>
        <v>0</v>
      </c>
      <c r="R619" s="5">
        <f t="shared" si="471"/>
        <v>0</v>
      </c>
      <c r="S619" s="5">
        <f t="shared" si="446"/>
        <v>0</v>
      </c>
      <c r="T619" s="5">
        <f t="shared" si="447"/>
        <v>0</v>
      </c>
      <c r="U619" s="74">
        <f t="shared" si="448"/>
        <v>0</v>
      </c>
      <c r="V619" s="75">
        <f t="shared" si="449"/>
        <v>0</v>
      </c>
      <c r="W619" s="5">
        <f t="shared" si="450"/>
        <v>0</v>
      </c>
      <c r="X619" s="5">
        <f t="shared" si="451"/>
        <v>335525.08521440777</v>
      </c>
      <c r="Y619" s="5">
        <f t="shared" si="472"/>
        <v>100000</v>
      </c>
      <c r="Z619" s="215">
        <f t="shared" si="452"/>
        <v>1</v>
      </c>
      <c r="AA619" s="216">
        <f t="shared" si="473"/>
        <v>0</v>
      </c>
      <c r="AB619" s="72">
        <f t="shared" si="480"/>
        <v>105651.83946229343</v>
      </c>
      <c r="AC619" s="72">
        <f t="shared" si="453"/>
        <v>0</v>
      </c>
      <c r="AD619" s="72">
        <f t="shared" si="454"/>
        <v>0</v>
      </c>
      <c r="AE619" s="72">
        <f t="shared" si="474"/>
        <v>-69.869222578139045</v>
      </c>
      <c r="AF619" s="70">
        <f t="shared" si="455"/>
        <v>0</v>
      </c>
      <c r="AG619" s="70">
        <f t="shared" si="456"/>
        <v>23995.391914853026</v>
      </c>
      <c r="AH619" s="1">
        <f t="shared" si="487"/>
        <v>0</v>
      </c>
      <c r="AI619" s="1">
        <f t="shared" si="487"/>
        <v>0</v>
      </c>
      <c r="AJ619" s="1">
        <f t="shared" si="487"/>
        <v>0</v>
      </c>
      <c r="AK619" s="1">
        <f t="shared" si="487"/>
        <v>0</v>
      </c>
      <c r="AL619" s="1">
        <f t="shared" si="487"/>
        <v>0</v>
      </c>
      <c r="AM619" s="1">
        <f t="shared" si="487"/>
        <v>0</v>
      </c>
      <c r="AN619" s="1">
        <f t="shared" si="487"/>
        <v>0</v>
      </c>
      <c r="AO619" s="1">
        <f t="shared" si="487"/>
        <v>0</v>
      </c>
      <c r="AP619" s="1">
        <f t="shared" si="487"/>
        <v>0</v>
      </c>
      <c r="AQ619" s="1">
        <f t="shared" si="487"/>
        <v>0</v>
      </c>
      <c r="AR619" s="1">
        <f t="shared" si="487"/>
        <v>0</v>
      </c>
      <c r="AS619" s="1">
        <f t="shared" si="487"/>
        <v>0</v>
      </c>
      <c r="AT619" s="39">
        <f t="shared" si="457"/>
        <v>335525.08521440777</v>
      </c>
      <c r="AU619" s="39">
        <f t="shared" si="475"/>
        <v>335525.08521440777</v>
      </c>
      <c r="AV619" s="39">
        <f t="shared" si="485"/>
        <v>0</v>
      </c>
      <c r="AW619" s="3">
        <f t="shared" si="458"/>
        <v>545</v>
      </c>
      <c r="AX619" s="69">
        <f t="shared" si="476"/>
        <v>0</v>
      </c>
      <c r="AY619" s="75">
        <f t="shared" si="459"/>
        <v>0</v>
      </c>
      <c r="AZ619" s="75">
        <f t="shared" si="460"/>
        <v>0</v>
      </c>
      <c r="BA619" s="75">
        <f t="shared" si="461"/>
        <v>0</v>
      </c>
      <c r="BB619" s="75">
        <f t="shared" si="462"/>
        <v>0</v>
      </c>
      <c r="BD619" s="214">
        <f t="shared" si="477"/>
        <v>566878.98908742273</v>
      </c>
      <c r="BE619" s="214">
        <f t="shared" si="463"/>
        <v>2759.3121438135804</v>
      </c>
      <c r="BF619" s="214">
        <f t="shared" si="464"/>
        <v>-938.00980492381245</v>
      </c>
      <c r="BG619" s="224">
        <f t="shared" si="481"/>
        <v>0</v>
      </c>
      <c r="BH619" s="19">
        <f t="shared" si="478"/>
        <v>1389490.7789217657</v>
      </c>
      <c r="BI619" s="214">
        <f t="shared" si="465"/>
        <v>6763.4166264795931</v>
      </c>
      <c r="BJ619" s="214">
        <f t="shared" si="466"/>
        <v>0</v>
      </c>
      <c r="BK619" s="19">
        <f t="shared" si="482"/>
        <v>0</v>
      </c>
    </row>
    <row r="620" spans="1:63">
      <c r="A620" s="165">
        <f t="shared" si="467"/>
        <v>107.47279260780287</v>
      </c>
      <c r="B620" s="69">
        <f t="shared" si="468"/>
        <v>46</v>
      </c>
      <c r="C620" s="70">
        <f t="shared" si="469"/>
        <v>546</v>
      </c>
      <c r="D620" s="13">
        <f t="shared" si="438"/>
        <v>4.8675505653430484E-3</v>
      </c>
      <c r="E620" s="15">
        <f t="shared" si="439"/>
        <v>1</v>
      </c>
      <c r="F620" s="15">
        <f t="shared" si="470"/>
        <v>0</v>
      </c>
      <c r="G620" s="15">
        <f t="shared" si="440"/>
        <v>0</v>
      </c>
      <c r="H620" s="73">
        <f t="shared" si="441"/>
        <v>0</v>
      </c>
      <c r="I620" s="189"/>
      <c r="J620" s="189"/>
      <c r="K620" s="5">
        <f t="shared" si="483"/>
        <v>335525.08521440777</v>
      </c>
      <c r="M620" s="5">
        <f t="shared" si="442"/>
        <v>1633.1853182221651</v>
      </c>
      <c r="N620" s="5">
        <f t="shared" si="443"/>
        <v>-555.19048295592393</v>
      </c>
      <c r="O620" s="5">
        <f t="shared" si="444"/>
        <v>0</v>
      </c>
      <c r="P620" s="5">
        <f t="shared" si="445"/>
        <v>0</v>
      </c>
      <c r="Q620" s="5">
        <f t="shared" si="479"/>
        <v>0</v>
      </c>
      <c r="R620" s="5">
        <f t="shared" si="471"/>
        <v>0</v>
      </c>
      <c r="S620" s="5">
        <f t="shared" si="446"/>
        <v>0</v>
      </c>
      <c r="T620" s="5">
        <f t="shared" si="447"/>
        <v>0</v>
      </c>
      <c r="U620" s="74">
        <f t="shared" si="448"/>
        <v>0</v>
      </c>
      <c r="V620" s="75">
        <f t="shared" si="449"/>
        <v>0</v>
      </c>
      <c r="W620" s="5">
        <f t="shared" si="450"/>
        <v>0</v>
      </c>
      <c r="X620" s="5">
        <f t="shared" si="451"/>
        <v>336603.08004967397</v>
      </c>
      <c r="Y620" s="5">
        <f t="shared" si="472"/>
        <v>100000</v>
      </c>
      <c r="Z620" s="215">
        <f t="shared" si="452"/>
        <v>1</v>
      </c>
      <c r="AA620" s="216">
        <f t="shared" si="473"/>
        <v>0</v>
      </c>
      <c r="AB620" s="72">
        <f t="shared" si="480"/>
        <v>105651.83946229343</v>
      </c>
      <c r="AC620" s="72">
        <f t="shared" si="453"/>
        <v>0</v>
      </c>
      <c r="AD620" s="72">
        <f t="shared" si="454"/>
        <v>0</v>
      </c>
      <c r="AE620" s="72">
        <f t="shared" si="474"/>
        <v>-70.093702548199019</v>
      </c>
      <c r="AF620" s="70">
        <f t="shared" si="455"/>
        <v>0</v>
      </c>
      <c r="AG620" s="70">
        <f t="shared" si="456"/>
        <v>24405.02995225419</v>
      </c>
      <c r="AH620" s="1">
        <f t="shared" si="487"/>
        <v>0</v>
      </c>
      <c r="AI620" s="1">
        <f t="shared" si="487"/>
        <v>0</v>
      </c>
      <c r="AJ620" s="1">
        <f t="shared" si="487"/>
        <v>0</v>
      </c>
      <c r="AK620" s="1">
        <f t="shared" si="487"/>
        <v>0</v>
      </c>
      <c r="AL620" s="1">
        <f t="shared" si="487"/>
        <v>0</v>
      </c>
      <c r="AM620" s="1">
        <f t="shared" si="487"/>
        <v>0</v>
      </c>
      <c r="AN620" s="1">
        <f t="shared" si="487"/>
        <v>0</v>
      </c>
      <c r="AO620" s="1">
        <f t="shared" si="487"/>
        <v>0</v>
      </c>
      <c r="AP620" s="1">
        <f t="shared" si="487"/>
        <v>0</v>
      </c>
      <c r="AQ620" s="1">
        <f t="shared" si="487"/>
        <v>0</v>
      </c>
      <c r="AR620" s="1">
        <f t="shared" si="487"/>
        <v>0</v>
      </c>
      <c r="AS620" s="1">
        <f t="shared" si="487"/>
        <v>0</v>
      </c>
      <c r="AT620" s="39">
        <f t="shared" si="457"/>
        <v>336603.08004967397</v>
      </c>
      <c r="AU620" s="39">
        <f t="shared" si="475"/>
        <v>336603.08004967397</v>
      </c>
      <c r="AV620" s="39">
        <f t="shared" si="485"/>
        <v>0</v>
      </c>
      <c r="AW620" s="3">
        <f t="shared" si="458"/>
        <v>546</v>
      </c>
      <c r="AX620" s="69">
        <f t="shared" si="476"/>
        <v>0</v>
      </c>
      <c r="AY620" s="75">
        <f t="shared" si="459"/>
        <v>0</v>
      </c>
      <c r="AZ620" s="75">
        <f t="shared" si="460"/>
        <v>0</v>
      </c>
      <c r="BA620" s="75">
        <f t="shared" si="461"/>
        <v>0</v>
      </c>
      <c r="BB620" s="75">
        <f t="shared" si="462"/>
        <v>0</v>
      </c>
      <c r="BD620" s="214">
        <f t="shared" si="477"/>
        <v>568700.29142631253</v>
      </c>
      <c r="BE620" s="214">
        <f t="shared" si="463"/>
        <v>2768.1774250429039</v>
      </c>
      <c r="BF620" s="214">
        <f t="shared" si="464"/>
        <v>-941.02349829487844</v>
      </c>
      <c r="BG620" s="224">
        <f t="shared" si="481"/>
        <v>0</v>
      </c>
      <c r="BH620" s="19">
        <f t="shared" si="478"/>
        <v>1396254.1955482452</v>
      </c>
      <c r="BI620" s="214">
        <f t="shared" si="465"/>
        <v>6796.3378989034645</v>
      </c>
      <c r="BJ620" s="214">
        <f t="shared" si="466"/>
        <v>0</v>
      </c>
      <c r="BK620" s="19">
        <f t="shared" si="482"/>
        <v>0</v>
      </c>
    </row>
    <row r="621" spans="1:63">
      <c r="A621" s="165">
        <f t="shared" si="467"/>
        <v>107.5561259411362</v>
      </c>
      <c r="B621" s="69">
        <f t="shared" si="468"/>
        <v>46</v>
      </c>
      <c r="C621" s="70">
        <f t="shared" si="469"/>
        <v>547</v>
      </c>
      <c r="D621" s="13">
        <f t="shared" si="438"/>
        <v>4.8675505653430484E-3</v>
      </c>
      <c r="E621" s="15">
        <f t="shared" si="439"/>
        <v>1</v>
      </c>
      <c r="F621" s="15">
        <f t="shared" si="470"/>
        <v>0</v>
      </c>
      <c r="G621" s="15">
        <f t="shared" si="440"/>
        <v>0</v>
      </c>
      <c r="H621" s="73">
        <f t="shared" si="441"/>
        <v>0</v>
      </c>
      <c r="I621" s="189"/>
      <c r="J621" s="189"/>
      <c r="K621" s="5">
        <f t="shared" si="483"/>
        <v>336603.08004967397</v>
      </c>
      <c r="M621" s="5">
        <f t="shared" si="442"/>
        <v>1638.432512592002</v>
      </c>
      <c r="N621" s="5">
        <f t="shared" si="443"/>
        <v>-556.97423177110727</v>
      </c>
      <c r="O621" s="5">
        <f t="shared" si="444"/>
        <v>0</v>
      </c>
      <c r="P621" s="5">
        <f t="shared" si="445"/>
        <v>0</v>
      </c>
      <c r="Q621" s="5">
        <f t="shared" si="479"/>
        <v>0</v>
      </c>
      <c r="R621" s="5">
        <f t="shared" si="471"/>
        <v>0</v>
      </c>
      <c r="S621" s="5">
        <f t="shared" si="446"/>
        <v>0</v>
      </c>
      <c r="T621" s="5">
        <f t="shared" si="447"/>
        <v>0</v>
      </c>
      <c r="U621" s="74">
        <f t="shared" si="448"/>
        <v>0</v>
      </c>
      <c r="V621" s="75">
        <f t="shared" si="449"/>
        <v>0</v>
      </c>
      <c r="W621" s="5">
        <f t="shared" si="450"/>
        <v>0</v>
      </c>
      <c r="X621" s="5">
        <f t="shared" si="451"/>
        <v>337684.53833049483</v>
      </c>
      <c r="Y621" s="5">
        <f t="shared" si="472"/>
        <v>100000</v>
      </c>
      <c r="Z621" s="215">
        <f t="shared" si="452"/>
        <v>1</v>
      </c>
      <c r="AA621" s="216">
        <f t="shared" si="473"/>
        <v>0</v>
      </c>
      <c r="AB621" s="72">
        <f t="shared" si="480"/>
        <v>105651.83946229343</v>
      </c>
      <c r="AC621" s="72">
        <f t="shared" si="453"/>
        <v>0</v>
      </c>
      <c r="AD621" s="72">
        <f t="shared" si="454"/>
        <v>0</v>
      </c>
      <c r="AE621" s="72">
        <f t="shared" si="474"/>
        <v>-70.318903740781579</v>
      </c>
      <c r="AF621" s="70">
        <f t="shared" si="455"/>
        <v>0</v>
      </c>
      <c r="AG621" s="70">
        <f t="shared" si="456"/>
        <v>24815.984098966117</v>
      </c>
      <c r="AH621" s="1">
        <f t="shared" si="487"/>
        <v>0</v>
      </c>
      <c r="AI621" s="1">
        <f t="shared" si="487"/>
        <v>0</v>
      </c>
      <c r="AJ621" s="1">
        <f t="shared" si="487"/>
        <v>0</v>
      </c>
      <c r="AK621" s="1">
        <f t="shared" si="487"/>
        <v>0</v>
      </c>
      <c r="AL621" s="1">
        <f t="shared" si="487"/>
        <v>0</v>
      </c>
      <c r="AM621" s="1">
        <f t="shared" si="487"/>
        <v>0</v>
      </c>
      <c r="AN621" s="1">
        <f t="shared" si="487"/>
        <v>0</v>
      </c>
      <c r="AO621" s="1">
        <f t="shared" si="487"/>
        <v>0</v>
      </c>
      <c r="AP621" s="1">
        <f t="shared" si="487"/>
        <v>0</v>
      </c>
      <c r="AQ621" s="1">
        <f t="shared" si="487"/>
        <v>0</v>
      </c>
      <c r="AR621" s="1">
        <f t="shared" si="487"/>
        <v>0</v>
      </c>
      <c r="AS621" s="1">
        <f t="shared" si="487"/>
        <v>0</v>
      </c>
      <c r="AT621" s="39">
        <f t="shared" si="457"/>
        <v>337684.53833049483</v>
      </c>
      <c r="AU621" s="39">
        <f t="shared" si="475"/>
        <v>337684.53833049483</v>
      </c>
      <c r="AV621" s="39">
        <f t="shared" si="485"/>
        <v>0</v>
      </c>
      <c r="AW621" s="3">
        <f t="shared" si="458"/>
        <v>547</v>
      </c>
      <c r="AX621" s="69">
        <f t="shared" si="476"/>
        <v>0</v>
      </c>
      <c r="AY621" s="75">
        <f t="shared" si="459"/>
        <v>0</v>
      </c>
      <c r="AZ621" s="75">
        <f t="shared" si="460"/>
        <v>0</v>
      </c>
      <c r="BA621" s="75">
        <f t="shared" si="461"/>
        <v>0</v>
      </c>
      <c r="BB621" s="75">
        <f t="shared" si="462"/>
        <v>0</v>
      </c>
      <c r="BD621" s="214">
        <f t="shared" si="477"/>
        <v>570527.44535306061</v>
      </c>
      <c r="BE621" s="214">
        <f t="shared" si="463"/>
        <v>2777.0711891720152</v>
      </c>
      <c r="BF621" s="214">
        <f t="shared" si="464"/>
        <v>-944.04687423822361</v>
      </c>
      <c r="BG621" s="224">
        <f t="shared" si="481"/>
        <v>0</v>
      </c>
      <c r="BH621" s="19">
        <f t="shared" si="478"/>
        <v>1403050.5334471487</v>
      </c>
      <c r="BI621" s="214">
        <f t="shared" si="465"/>
        <v>6829.4194172855341</v>
      </c>
      <c r="BJ621" s="214">
        <f t="shared" si="466"/>
        <v>0</v>
      </c>
      <c r="BK621" s="19">
        <f t="shared" si="482"/>
        <v>0</v>
      </c>
    </row>
    <row r="622" spans="1:63">
      <c r="A622" s="165">
        <f t="shared" si="467"/>
        <v>107.63945927446954</v>
      </c>
      <c r="B622" s="69">
        <f t="shared" si="468"/>
        <v>46</v>
      </c>
      <c r="C622" s="70">
        <f t="shared" si="469"/>
        <v>548</v>
      </c>
      <c r="D622" s="13">
        <f t="shared" si="438"/>
        <v>4.8675505653430484E-3</v>
      </c>
      <c r="E622" s="15">
        <f t="shared" si="439"/>
        <v>1</v>
      </c>
      <c r="F622" s="15">
        <f t="shared" si="470"/>
        <v>0</v>
      </c>
      <c r="G622" s="15">
        <f t="shared" si="440"/>
        <v>0</v>
      </c>
      <c r="H622" s="73">
        <f t="shared" si="441"/>
        <v>0</v>
      </c>
      <c r="I622" s="189"/>
      <c r="J622" s="189"/>
      <c r="K622" s="5">
        <f t="shared" si="483"/>
        <v>337684.53833049483</v>
      </c>
      <c r="M622" s="5">
        <f t="shared" si="442"/>
        <v>1643.6965654582064</v>
      </c>
      <c r="N622" s="5">
        <f t="shared" si="443"/>
        <v>-558.76371151996693</v>
      </c>
      <c r="O622" s="5">
        <f t="shared" si="444"/>
        <v>0</v>
      </c>
      <c r="P622" s="5">
        <f t="shared" si="445"/>
        <v>0</v>
      </c>
      <c r="Q622" s="5">
        <f t="shared" si="479"/>
        <v>0</v>
      </c>
      <c r="R622" s="5">
        <f t="shared" si="471"/>
        <v>0</v>
      </c>
      <c r="S622" s="5">
        <f t="shared" si="446"/>
        <v>0</v>
      </c>
      <c r="T622" s="5">
        <f t="shared" si="447"/>
        <v>0</v>
      </c>
      <c r="U622" s="74">
        <f t="shared" si="448"/>
        <v>0</v>
      </c>
      <c r="V622" s="75">
        <f t="shared" si="449"/>
        <v>0</v>
      </c>
      <c r="W622" s="5">
        <f t="shared" si="450"/>
        <v>0</v>
      </c>
      <c r="X622" s="5">
        <f t="shared" si="451"/>
        <v>338769.47118443309</v>
      </c>
      <c r="Y622" s="5">
        <f t="shared" si="472"/>
        <v>100000</v>
      </c>
      <c r="Z622" s="215">
        <f t="shared" si="452"/>
        <v>1</v>
      </c>
      <c r="AA622" s="216">
        <f t="shared" si="473"/>
        <v>0</v>
      </c>
      <c r="AB622" s="72">
        <f t="shared" si="480"/>
        <v>105651.83946229343</v>
      </c>
      <c r="AC622" s="72">
        <f t="shared" si="453"/>
        <v>0</v>
      </c>
      <c r="AD622" s="72">
        <f t="shared" si="454"/>
        <v>0</v>
      </c>
      <c r="AE622" s="72">
        <f t="shared" si="474"/>
        <v>-70.544828473073053</v>
      </c>
      <c r="AF622" s="70">
        <f t="shared" si="455"/>
        <v>0</v>
      </c>
      <c r="AG622" s="70">
        <f t="shared" si="456"/>
        <v>25228.258583462652</v>
      </c>
      <c r="AH622" s="1">
        <f t="shared" si="487"/>
        <v>0</v>
      </c>
      <c r="AI622" s="1">
        <f t="shared" si="487"/>
        <v>0</v>
      </c>
      <c r="AJ622" s="1">
        <f t="shared" si="487"/>
        <v>0</v>
      </c>
      <c r="AK622" s="1">
        <f t="shared" si="487"/>
        <v>0</v>
      </c>
      <c r="AL622" s="1">
        <f t="shared" si="487"/>
        <v>0</v>
      </c>
      <c r="AM622" s="1">
        <f t="shared" si="487"/>
        <v>0</v>
      </c>
      <c r="AN622" s="1">
        <f t="shared" si="487"/>
        <v>0</v>
      </c>
      <c r="AO622" s="1">
        <f t="shared" si="487"/>
        <v>0</v>
      </c>
      <c r="AP622" s="1">
        <f t="shared" si="487"/>
        <v>0</v>
      </c>
      <c r="AQ622" s="1">
        <f t="shared" si="487"/>
        <v>0</v>
      </c>
      <c r="AR622" s="1">
        <f t="shared" si="487"/>
        <v>0</v>
      </c>
      <c r="AS622" s="1">
        <f t="shared" si="487"/>
        <v>0</v>
      </c>
      <c r="AT622" s="39">
        <f t="shared" si="457"/>
        <v>338769.47118443309</v>
      </c>
      <c r="AU622" s="39">
        <f t="shared" si="475"/>
        <v>338769.47118443309</v>
      </c>
      <c r="AV622" s="39">
        <f t="shared" si="485"/>
        <v>0</v>
      </c>
      <c r="AW622" s="3">
        <f t="shared" si="458"/>
        <v>548</v>
      </c>
      <c r="AX622" s="69">
        <f t="shared" si="476"/>
        <v>0</v>
      </c>
      <c r="AY622" s="75">
        <f t="shared" si="459"/>
        <v>0</v>
      </c>
      <c r="AZ622" s="75">
        <f t="shared" si="460"/>
        <v>0</v>
      </c>
      <c r="BA622" s="75">
        <f t="shared" si="461"/>
        <v>0</v>
      </c>
      <c r="BB622" s="75">
        <f t="shared" si="462"/>
        <v>0</v>
      </c>
      <c r="BD622" s="214">
        <f t="shared" si="477"/>
        <v>572360.46966799442</v>
      </c>
      <c r="BE622" s="214">
        <f t="shared" si="463"/>
        <v>2785.9935277124591</v>
      </c>
      <c r="BF622" s="214">
        <f t="shared" si="464"/>
        <v>-947.07996386258878</v>
      </c>
      <c r="BG622" s="224">
        <f t="shared" si="481"/>
        <v>0</v>
      </c>
      <c r="BH622" s="19">
        <f t="shared" si="478"/>
        <v>1409879.9528644343</v>
      </c>
      <c r="BI622" s="214">
        <f t="shared" si="465"/>
        <v>6862.6619616311082</v>
      </c>
      <c r="BJ622" s="214">
        <f t="shared" si="466"/>
        <v>0</v>
      </c>
      <c r="BK622" s="19">
        <f t="shared" si="482"/>
        <v>0</v>
      </c>
    </row>
    <row r="623" spans="1:63">
      <c r="A623" s="165">
        <f t="shared" si="467"/>
        <v>107.72279260780287</v>
      </c>
      <c r="B623" s="69">
        <f t="shared" si="468"/>
        <v>46</v>
      </c>
      <c r="C623" s="70">
        <f t="shared" si="469"/>
        <v>549</v>
      </c>
      <c r="D623" s="13">
        <f t="shared" si="438"/>
        <v>4.8675505653430484E-3</v>
      </c>
      <c r="E623" s="15">
        <f t="shared" si="439"/>
        <v>1</v>
      </c>
      <c r="F623" s="15">
        <f t="shared" si="470"/>
        <v>0</v>
      </c>
      <c r="G623" s="15">
        <f t="shared" si="440"/>
        <v>0</v>
      </c>
      <c r="H623" s="73">
        <f t="shared" si="441"/>
        <v>0</v>
      </c>
      <c r="I623" s="189"/>
      <c r="J623" s="189"/>
      <c r="K623" s="5">
        <f t="shared" si="483"/>
        <v>338769.47118443309</v>
      </c>
      <c r="M623" s="5">
        <f t="shared" si="442"/>
        <v>1648.9775309847528</v>
      </c>
      <c r="N623" s="5">
        <f t="shared" si="443"/>
        <v>-560.55894061518586</v>
      </c>
      <c r="O623" s="5">
        <f t="shared" si="444"/>
        <v>0</v>
      </c>
      <c r="P623" s="5">
        <f t="shared" si="445"/>
        <v>0</v>
      </c>
      <c r="Q623" s="5">
        <f t="shared" si="479"/>
        <v>0</v>
      </c>
      <c r="R623" s="5">
        <f t="shared" si="471"/>
        <v>0</v>
      </c>
      <c r="S623" s="5">
        <f t="shared" si="446"/>
        <v>0</v>
      </c>
      <c r="T623" s="5">
        <f t="shared" si="447"/>
        <v>0</v>
      </c>
      <c r="U623" s="74">
        <f t="shared" si="448"/>
        <v>0</v>
      </c>
      <c r="V623" s="75">
        <f t="shared" si="449"/>
        <v>0</v>
      </c>
      <c r="W623" s="5">
        <f t="shared" si="450"/>
        <v>0</v>
      </c>
      <c r="X623" s="5">
        <f t="shared" si="451"/>
        <v>339857.88977480261</v>
      </c>
      <c r="Y623" s="5">
        <f t="shared" si="472"/>
        <v>100000</v>
      </c>
      <c r="Z623" s="215">
        <f t="shared" si="452"/>
        <v>1</v>
      </c>
      <c r="AA623" s="216">
        <f t="shared" si="473"/>
        <v>0</v>
      </c>
      <c r="AB623" s="72">
        <f t="shared" si="480"/>
        <v>105651.83946229343</v>
      </c>
      <c r="AC623" s="72">
        <f t="shared" si="453"/>
        <v>0</v>
      </c>
      <c r="AD623" s="72">
        <f t="shared" si="454"/>
        <v>0</v>
      </c>
      <c r="AE623" s="72">
        <f t="shared" si="474"/>
        <v>-70.771479069704668</v>
      </c>
      <c r="AF623" s="70">
        <f t="shared" si="455"/>
        <v>0</v>
      </c>
      <c r="AG623" s="70">
        <f t="shared" si="456"/>
        <v>25641.857647803059</v>
      </c>
      <c r="AH623" s="1">
        <f t="shared" si="487"/>
        <v>0</v>
      </c>
      <c r="AI623" s="1">
        <f t="shared" si="487"/>
        <v>0</v>
      </c>
      <c r="AJ623" s="1">
        <f t="shared" si="487"/>
        <v>0</v>
      </c>
      <c r="AK623" s="1">
        <f t="shared" si="487"/>
        <v>0</v>
      </c>
      <c r="AL623" s="1">
        <f t="shared" si="487"/>
        <v>0</v>
      </c>
      <c r="AM623" s="1">
        <f t="shared" si="487"/>
        <v>0</v>
      </c>
      <c r="AN623" s="1">
        <f t="shared" si="487"/>
        <v>0</v>
      </c>
      <c r="AO623" s="1">
        <f t="shared" si="487"/>
        <v>0</v>
      </c>
      <c r="AP623" s="1">
        <f t="shared" si="487"/>
        <v>0</v>
      </c>
      <c r="AQ623" s="1">
        <f t="shared" si="487"/>
        <v>0</v>
      </c>
      <c r="AR623" s="1">
        <f t="shared" si="487"/>
        <v>0</v>
      </c>
      <c r="AS623" s="1">
        <f t="shared" si="487"/>
        <v>0</v>
      </c>
      <c r="AT623" s="39">
        <f t="shared" si="457"/>
        <v>339857.88977480261</v>
      </c>
      <c r="AU623" s="39">
        <f t="shared" si="475"/>
        <v>339857.88977480261</v>
      </c>
      <c r="AV623" s="39">
        <f t="shared" si="485"/>
        <v>0</v>
      </c>
      <c r="AW623" s="3">
        <f t="shared" si="458"/>
        <v>549</v>
      </c>
      <c r="AX623" s="69">
        <f t="shared" si="476"/>
        <v>0</v>
      </c>
      <c r="AY623" s="75">
        <f t="shared" si="459"/>
        <v>0</v>
      </c>
      <c r="AZ623" s="75">
        <f t="shared" si="460"/>
        <v>0</v>
      </c>
      <c r="BA623" s="75">
        <f t="shared" si="461"/>
        <v>0</v>
      </c>
      <c r="BB623" s="75">
        <f t="shared" si="462"/>
        <v>0</v>
      </c>
      <c r="BD623" s="214">
        <f t="shared" si="477"/>
        <v>574199.38323184429</v>
      </c>
      <c r="BE623" s="214">
        <f t="shared" si="463"/>
        <v>2794.9445324697936</v>
      </c>
      <c r="BF623" s="214">
        <f t="shared" si="464"/>
        <v>-950.12279837666267</v>
      </c>
      <c r="BG623" s="224">
        <f t="shared" si="481"/>
        <v>0</v>
      </c>
      <c r="BH623" s="19">
        <f t="shared" si="478"/>
        <v>1416742.6148260655</v>
      </c>
      <c r="BI623" s="214">
        <f t="shared" si="465"/>
        <v>6896.0663157422041</v>
      </c>
      <c r="BJ623" s="214">
        <f t="shared" si="466"/>
        <v>0</v>
      </c>
      <c r="BK623" s="19">
        <f t="shared" si="482"/>
        <v>0</v>
      </c>
    </row>
    <row r="624" spans="1:63">
      <c r="A624" s="165">
        <f t="shared" si="467"/>
        <v>107.8061259411362</v>
      </c>
      <c r="B624" s="69">
        <f t="shared" si="468"/>
        <v>46</v>
      </c>
      <c r="C624" s="70">
        <f t="shared" si="469"/>
        <v>550</v>
      </c>
      <c r="D624" s="13">
        <f t="shared" si="438"/>
        <v>4.8675505653430484E-3</v>
      </c>
      <c r="E624" s="15">
        <f t="shared" si="439"/>
        <v>1</v>
      </c>
      <c r="F624" s="15">
        <f t="shared" si="470"/>
        <v>0</v>
      </c>
      <c r="G624" s="15">
        <f t="shared" si="440"/>
        <v>0</v>
      </c>
      <c r="H624" s="73">
        <f t="shared" si="441"/>
        <v>0</v>
      </c>
      <c r="I624" s="189"/>
      <c r="J624" s="189"/>
      <c r="K624" s="5">
        <f t="shared" si="483"/>
        <v>339857.88977480261</v>
      </c>
      <c r="M624" s="5">
        <f t="shared" si="442"/>
        <v>1654.2754635096358</v>
      </c>
      <c r="N624" s="5">
        <f t="shared" si="443"/>
        <v>-562.35993752860384</v>
      </c>
      <c r="O624" s="5">
        <f t="shared" si="444"/>
        <v>0</v>
      </c>
      <c r="P624" s="5">
        <f t="shared" si="445"/>
        <v>0</v>
      </c>
      <c r="Q624" s="5">
        <f t="shared" si="479"/>
        <v>0</v>
      </c>
      <c r="R624" s="5">
        <f t="shared" si="471"/>
        <v>0</v>
      </c>
      <c r="S624" s="5">
        <f t="shared" si="446"/>
        <v>0</v>
      </c>
      <c r="T624" s="5">
        <f t="shared" si="447"/>
        <v>0</v>
      </c>
      <c r="U624" s="74">
        <f t="shared" si="448"/>
        <v>0</v>
      </c>
      <c r="V624" s="75">
        <f t="shared" si="449"/>
        <v>0</v>
      </c>
      <c r="W624" s="5">
        <f t="shared" si="450"/>
        <v>0</v>
      </c>
      <c r="X624" s="5">
        <f t="shared" si="451"/>
        <v>340949.80530078366</v>
      </c>
      <c r="Y624" s="5">
        <f t="shared" si="472"/>
        <v>100000</v>
      </c>
      <c r="Z624" s="215">
        <f t="shared" si="452"/>
        <v>1</v>
      </c>
      <c r="AA624" s="216">
        <f t="shared" si="473"/>
        <v>0</v>
      </c>
      <c r="AB624" s="72">
        <f t="shared" si="480"/>
        <v>105651.83946229343</v>
      </c>
      <c r="AC624" s="72">
        <f t="shared" si="453"/>
        <v>0</v>
      </c>
      <c r="AD624" s="72">
        <f t="shared" si="454"/>
        <v>0</v>
      </c>
      <c r="AE624" s="72">
        <f t="shared" si="474"/>
        <v>-70.998857862776234</v>
      </c>
      <c r="AF624" s="70">
        <f t="shared" si="455"/>
        <v>0</v>
      </c>
      <c r="AG624" s="70">
        <f t="shared" si="456"/>
        <v>26056.785547675856</v>
      </c>
      <c r="AH624" s="1">
        <f t="shared" si="487"/>
        <v>0</v>
      </c>
      <c r="AI624" s="1">
        <f t="shared" si="487"/>
        <v>0</v>
      </c>
      <c r="AJ624" s="1">
        <f t="shared" si="487"/>
        <v>0</v>
      </c>
      <c r="AK624" s="1">
        <f t="shared" si="487"/>
        <v>0</v>
      </c>
      <c r="AL624" s="1">
        <f t="shared" si="487"/>
        <v>0</v>
      </c>
      <c r="AM624" s="1">
        <f t="shared" si="487"/>
        <v>0</v>
      </c>
      <c r="AN624" s="1">
        <f t="shared" si="487"/>
        <v>0</v>
      </c>
      <c r="AO624" s="1">
        <f t="shared" si="487"/>
        <v>0</v>
      </c>
      <c r="AP624" s="1">
        <f t="shared" si="487"/>
        <v>0</v>
      </c>
      <c r="AQ624" s="1">
        <f t="shared" si="487"/>
        <v>0</v>
      </c>
      <c r="AR624" s="1">
        <f t="shared" si="487"/>
        <v>0</v>
      </c>
      <c r="AS624" s="1">
        <f t="shared" si="487"/>
        <v>0</v>
      </c>
      <c r="AT624" s="39">
        <f t="shared" si="457"/>
        <v>340949.80530078366</v>
      </c>
      <c r="AU624" s="39">
        <f t="shared" si="475"/>
        <v>340949.80530078366</v>
      </c>
      <c r="AV624" s="39">
        <f t="shared" si="485"/>
        <v>0</v>
      </c>
      <c r="AW624" s="3">
        <f t="shared" si="458"/>
        <v>550</v>
      </c>
      <c r="AX624" s="69">
        <f t="shared" si="476"/>
        <v>0</v>
      </c>
      <c r="AY624" s="75">
        <f t="shared" si="459"/>
        <v>0</v>
      </c>
      <c r="AZ624" s="75">
        <f t="shared" si="460"/>
        <v>0</v>
      </c>
      <c r="BA624" s="75">
        <f t="shared" si="461"/>
        <v>0</v>
      </c>
      <c r="BB624" s="75">
        <f t="shared" si="462"/>
        <v>0</v>
      </c>
      <c r="BD624" s="214">
        <f t="shared" si="477"/>
        <v>576044.20496593742</v>
      </c>
      <c r="BE624" s="214">
        <f t="shared" si="463"/>
        <v>2803.9242955445357</v>
      </c>
      <c r="BF624" s="214">
        <f t="shared" si="464"/>
        <v>-953.1754090894035</v>
      </c>
      <c r="BG624" s="224">
        <f t="shared" si="481"/>
        <v>0</v>
      </c>
      <c r="BH624" s="19">
        <f t="shared" si="478"/>
        <v>1423638.6811418077</v>
      </c>
      <c r="BI624" s="214">
        <f t="shared" si="465"/>
        <v>6929.6332672360377</v>
      </c>
      <c r="BJ624" s="214">
        <f t="shared" si="466"/>
        <v>0</v>
      </c>
      <c r="BK624" s="19">
        <f t="shared" si="482"/>
        <v>0</v>
      </c>
    </row>
    <row r="625" spans="1:63">
      <c r="A625" s="165">
        <f t="shared" si="467"/>
        <v>107.88945927446954</v>
      </c>
      <c r="B625" s="69">
        <f t="shared" si="468"/>
        <v>46</v>
      </c>
      <c r="C625" s="70">
        <f t="shared" si="469"/>
        <v>551</v>
      </c>
      <c r="D625" s="13">
        <f t="shared" si="438"/>
        <v>4.8675505653430484E-3</v>
      </c>
      <c r="E625" s="15">
        <f t="shared" si="439"/>
        <v>1</v>
      </c>
      <c r="F625" s="15">
        <f t="shared" si="470"/>
        <v>0</v>
      </c>
      <c r="G625" s="15">
        <f t="shared" si="440"/>
        <v>0</v>
      </c>
      <c r="H625" s="73">
        <f t="shared" si="441"/>
        <v>0</v>
      </c>
      <c r="I625" s="189"/>
      <c r="J625" s="189"/>
      <c r="K625" s="5">
        <f t="shared" si="483"/>
        <v>340949.80530078366</v>
      </c>
      <c r="M625" s="5">
        <f t="shared" si="442"/>
        <v>1659.5904175454318</v>
      </c>
      <c r="N625" s="5">
        <f t="shared" si="443"/>
        <v>-564.16672079140847</v>
      </c>
      <c r="O625" s="5">
        <f t="shared" si="444"/>
        <v>0</v>
      </c>
      <c r="P625" s="5">
        <f t="shared" si="445"/>
        <v>0</v>
      </c>
      <c r="Q625" s="5">
        <f t="shared" si="479"/>
        <v>0</v>
      </c>
      <c r="R625" s="5">
        <f t="shared" si="471"/>
        <v>0</v>
      </c>
      <c r="S625" s="5">
        <f t="shared" si="446"/>
        <v>0</v>
      </c>
      <c r="T625" s="5">
        <f t="shared" si="447"/>
        <v>0</v>
      </c>
      <c r="U625" s="74">
        <f t="shared" si="448"/>
        <v>0</v>
      </c>
      <c r="V625" s="75">
        <f t="shared" si="449"/>
        <v>0</v>
      </c>
      <c r="W625" s="5">
        <f t="shared" si="450"/>
        <v>0</v>
      </c>
      <c r="X625" s="5">
        <f t="shared" si="451"/>
        <v>342045.22899753763</v>
      </c>
      <c r="Y625" s="5">
        <f t="shared" si="472"/>
        <v>100000</v>
      </c>
      <c r="Z625" s="215">
        <f t="shared" si="452"/>
        <v>1</v>
      </c>
      <c r="AA625" s="216">
        <f t="shared" si="473"/>
        <v>0</v>
      </c>
      <c r="AB625" s="72">
        <f t="shared" si="480"/>
        <v>105651.83946229343</v>
      </c>
      <c r="AC625" s="72">
        <f t="shared" si="453"/>
        <v>0</v>
      </c>
      <c r="AD625" s="72">
        <f t="shared" si="454"/>
        <v>0</v>
      </c>
      <c r="AE625" s="72">
        <f t="shared" si="474"/>
        <v>-71.226967191880405</v>
      </c>
      <c r="AF625" s="70">
        <f t="shared" si="455"/>
        <v>0</v>
      </c>
      <c r="AG625" s="70">
        <f t="shared" si="456"/>
        <v>26473.046552442363</v>
      </c>
      <c r="AH625" s="1">
        <f t="shared" ref="AH625:AS634" si="488">IF($B625&lt;=AH$74,1,0)</f>
        <v>0</v>
      </c>
      <c r="AI625" s="1">
        <f t="shared" si="488"/>
        <v>0</v>
      </c>
      <c r="AJ625" s="1">
        <f t="shared" si="488"/>
        <v>0</v>
      </c>
      <c r="AK625" s="1">
        <f t="shared" si="488"/>
        <v>0</v>
      </c>
      <c r="AL625" s="1">
        <f t="shared" si="488"/>
        <v>0</v>
      </c>
      <c r="AM625" s="1">
        <f t="shared" si="488"/>
        <v>0</v>
      </c>
      <c r="AN625" s="1">
        <f t="shared" si="488"/>
        <v>0</v>
      </c>
      <c r="AO625" s="1">
        <f t="shared" si="488"/>
        <v>0</v>
      </c>
      <c r="AP625" s="1">
        <f t="shared" si="488"/>
        <v>0</v>
      </c>
      <c r="AQ625" s="1">
        <f t="shared" si="488"/>
        <v>0</v>
      </c>
      <c r="AR625" s="1">
        <f t="shared" si="488"/>
        <v>0</v>
      </c>
      <c r="AS625" s="1">
        <f t="shared" si="488"/>
        <v>0</v>
      </c>
      <c r="AT625" s="39">
        <f t="shared" si="457"/>
        <v>342045.22899753763</v>
      </c>
      <c r="AU625" s="39">
        <f t="shared" si="475"/>
        <v>342045.22899753763</v>
      </c>
      <c r="AV625" s="39">
        <f t="shared" si="485"/>
        <v>0</v>
      </c>
      <c r="AW625" s="3">
        <f t="shared" si="458"/>
        <v>551</v>
      </c>
      <c r="AX625" s="69">
        <f t="shared" si="476"/>
        <v>0</v>
      </c>
      <c r="AY625" s="75">
        <f t="shared" si="459"/>
        <v>0</v>
      </c>
      <c r="AZ625" s="75">
        <f t="shared" si="460"/>
        <v>0</v>
      </c>
      <c r="BA625" s="75">
        <f t="shared" si="461"/>
        <v>0</v>
      </c>
      <c r="BB625" s="75">
        <f t="shared" si="462"/>
        <v>0</v>
      </c>
      <c r="BD625" s="214">
        <f t="shared" si="477"/>
        <v>577894.9538523925</v>
      </c>
      <c r="BE625" s="214">
        <f t="shared" si="463"/>
        <v>2812.932909333108</v>
      </c>
      <c r="BF625" s="214">
        <f t="shared" si="464"/>
        <v>-956.23782741036007</v>
      </c>
      <c r="BG625" s="224">
        <f t="shared" si="481"/>
        <v>0</v>
      </c>
      <c r="BH625" s="19">
        <f t="shared" si="478"/>
        <v>1430568.3144090436</v>
      </c>
      <c r="BI625" s="214">
        <f t="shared" si="465"/>
        <v>6963.3636075635923</v>
      </c>
      <c r="BJ625" s="214">
        <f t="shared" si="466"/>
        <v>0</v>
      </c>
      <c r="BK625" s="19">
        <f t="shared" si="482"/>
        <v>0</v>
      </c>
    </row>
    <row r="626" spans="1:63">
      <c r="A626" s="165">
        <f t="shared" si="467"/>
        <v>107.97279260780287</v>
      </c>
      <c r="B626" s="69">
        <f t="shared" si="468"/>
        <v>46</v>
      </c>
      <c r="C626" s="70">
        <f t="shared" si="469"/>
        <v>552</v>
      </c>
      <c r="D626" s="13">
        <f t="shared" si="438"/>
        <v>4.8675505653430484E-3</v>
      </c>
      <c r="E626" s="15">
        <f t="shared" si="439"/>
        <v>1</v>
      </c>
      <c r="F626" s="15">
        <f t="shared" si="470"/>
        <v>0</v>
      </c>
      <c r="G626" s="15">
        <f t="shared" si="440"/>
        <v>0</v>
      </c>
      <c r="H626" s="73">
        <f t="shared" si="441"/>
        <v>0</v>
      </c>
      <c r="I626" s="189"/>
      <c r="J626" s="189"/>
      <c r="K626" s="5">
        <f t="shared" si="483"/>
        <v>342045.22899753763</v>
      </c>
      <c r="M626" s="5">
        <f t="shared" si="442"/>
        <v>1664.9224477798568</v>
      </c>
      <c r="N626" s="5">
        <f t="shared" si="443"/>
        <v>-565.97930899432515</v>
      </c>
      <c r="O626" s="5">
        <f t="shared" si="444"/>
        <v>0</v>
      </c>
      <c r="P626" s="5">
        <f t="shared" si="445"/>
        <v>0</v>
      </c>
      <c r="Q626" s="5">
        <f t="shared" si="479"/>
        <v>0</v>
      </c>
      <c r="R626" s="5">
        <f t="shared" si="471"/>
        <v>0</v>
      </c>
      <c r="S626" s="5">
        <f t="shared" si="446"/>
        <v>0</v>
      </c>
      <c r="T626" s="5">
        <f t="shared" si="447"/>
        <v>0</v>
      </c>
      <c r="U626" s="74">
        <f t="shared" si="448"/>
        <v>0</v>
      </c>
      <c r="V626" s="75">
        <f t="shared" si="449"/>
        <v>0</v>
      </c>
      <c r="W626" s="5">
        <f t="shared" si="450"/>
        <v>0</v>
      </c>
      <c r="X626" s="5">
        <f t="shared" si="451"/>
        <v>343144.17213632318</v>
      </c>
      <c r="Y626" s="5">
        <f t="shared" si="472"/>
        <v>100000</v>
      </c>
      <c r="Z626" s="215">
        <f t="shared" si="452"/>
        <v>1</v>
      </c>
      <c r="AA626" s="216">
        <f t="shared" si="473"/>
        <v>0</v>
      </c>
      <c r="AB626" s="72">
        <f t="shared" si="480"/>
        <v>105651.83946229343</v>
      </c>
      <c r="AC626" s="72">
        <f t="shared" si="453"/>
        <v>0</v>
      </c>
      <c r="AD626" s="72">
        <f t="shared" si="454"/>
        <v>0</v>
      </c>
      <c r="AE626" s="72">
        <f t="shared" si="474"/>
        <v>-71.455809404126498</v>
      </c>
      <c r="AF626" s="70">
        <f t="shared" si="455"/>
        <v>0</v>
      </c>
      <c r="AG626" s="70">
        <f t="shared" si="456"/>
        <v>26890.644945180888</v>
      </c>
      <c r="AH626" s="1">
        <f t="shared" si="488"/>
        <v>0</v>
      </c>
      <c r="AI626" s="1">
        <f t="shared" si="488"/>
        <v>0</v>
      </c>
      <c r="AJ626" s="1">
        <f t="shared" si="488"/>
        <v>0</v>
      </c>
      <c r="AK626" s="1">
        <f t="shared" si="488"/>
        <v>0</v>
      </c>
      <c r="AL626" s="1">
        <f t="shared" si="488"/>
        <v>0</v>
      </c>
      <c r="AM626" s="1">
        <f t="shared" si="488"/>
        <v>0</v>
      </c>
      <c r="AN626" s="1">
        <f t="shared" si="488"/>
        <v>0</v>
      </c>
      <c r="AO626" s="1">
        <f t="shared" si="488"/>
        <v>0</v>
      </c>
      <c r="AP626" s="1">
        <f t="shared" si="488"/>
        <v>0</v>
      </c>
      <c r="AQ626" s="1">
        <f t="shared" si="488"/>
        <v>0</v>
      </c>
      <c r="AR626" s="1">
        <f t="shared" si="488"/>
        <v>0</v>
      </c>
      <c r="AS626" s="1">
        <f t="shared" si="488"/>
        <v>0</v>
      </c>
      <c r="AT626" s="39">
        <f t="shared" si="457"/>
        <v>343144.17213632318</v>
      </c>
      <c r="AU626" s="39">
        <f t="shared" si="475"/>
        <v>343144.17213632318</v>
      </c>
      <c r="AV626" s="39">
        <f t="shared" si="485"/>
        <v>0</v>
      </c>
      <c r="AW626" s="3">
        <f t="shared" si="458"/>
        <v>552</v>
      </c>
      <c r="AX626" s="69">
        <f t="shared" si="476"/>
        <v>0</v>
      </c>
      <c r="AY626" s="75">
        <f t="shared" si="459"/>
        <v>0</v>
      </c>
      <c r="AZ626" s="75">
        <f t="shared" si="460"/>
        <v>0</v>
      </c>
      <c r="BA626" s="75">
        <f t="shared" si="461"/>
        <v>0</v>
      </c>
      <c r="BB626" s="75">
        <f t="shared" si="462"/>
        <v>0</v>
      </c>
      <c r="BD626" s="214">
        <f t="shared" si="477"/>
        <v>579751.64893431531</v>
      </c>
      <c r="BE626" s="214">
        <f t="shared" si="463"/>
        <v>2821.9704665287909</v>
      </c>
      <c r="BF626" s="214">
        <f t="shared" si="464"/>
        <v>-959.31008484999643</v>
      </c>
      <c r="BG626" s="224">
        <f t="shared" si="481"/>
        <v>0</v>
      </c>
      <c r="BH626" s="19">
        <f t="shared" si="478"/>
        <v>1437531.6780166072</v>
      </c>
      <c r="BI626" s="214">
        <f t="shared" si="465"/>
        <v>6997.258132028277</v>
      </c>
      <c r="BJ626" s="214">
        <f t="shared" si="466"/>
        <v>0</v>
      </c>
      <c r="BK626" s="19">
        <f t="shared" si="482"/>
        <v>0</v>
      </c>
    </row>
    <row r="627" spans="1:63">
      <c r="A627" s="165">
        <f t="shared" si="467"/>
        <v>108.0561259411362</v>
      </c>
      <c r="B627" s="69">
        <f t="shared" si="468"/>
        <v>47</v>
      </c>
      <c r="C627" s="70">
        <f t="shared" si="469"/>
        <v>553</v>
      </c>
      <c r="D627" s="13">
        <f t="shared" si="438"/>
        <v>4.8675505653430484E-3</v>
      </c>
      <c r="E627" s="15">
        <f t="shared" si="439"/>
        <v>1</v>
      </c>
      <c r="F627" s="15">
        <f t="shared" si="470"/>
        <v>0</v>
      </c>
      <c r="G627" s="15">
        <f t="shared" si="440"/>
        <v>0</v>
      </c>
      <c r="H627" s="73">
        <f t="shared" si="441"/>
        <v>0</v>
      </c>
      <c r="I627" s="189"/>
      <c r="J627" s="189"/>
      <c r="K627" s="5">
        <f t="shared" si="483"/>
        <v>343144.17213632318</v>
      </c>
      <c r="M627" s="5">
        <f t="shared" si="442"/>
        <v>1670.2716090763322</v>
      </c>
      <c r="N627" s="5">
        <f t="shared" si="443"/>
        <v>-567.79772078780854</v>
      </c>
      <c r="O627" s="5">
        <f t="shared" si="444"/>
        <v>0</v>
      </c>
      <c r="P627" s="5">
        <f t="shared" si="445"/>
        <v>0</v>
      </c>
      <c r="Q627" s="5">
        <f t="shared" si="479"/>
        <v>0</v>
      </c>
      <c r="R627" s="5">
        <f t="shared" si="471"/>
        <v>0</v>
      </c>
      <c r="S627" s="5">
        <f t="shared" si="446"/>
        <v>0</v>
      </c>
      <c r="T627" s="5">
        <f t="shared" si="447"/>
        <v>0</v>
      </c>
      <c r="U627" s="74">
        <f t="shared" si="448"/>
        <v>0</v>
      </c>
      <c r="V627" s="75">
        <f t="shared" si="449"/>
        <v>0</v>
      </c>
      <c r="W627" s="5">
        <f t="shared" si="450"/>
        <v>0</v>
      </c>
      <c r="X627" s="5">
        <f t="shared" si="451"/>
        <v>344246.64602461172</v>
      </c>
      <c r="Y627" s="5">
        <f t="shared" si="472"/>
        <v>100000</v>
      </c>
      <c r="Z627" s="215">
        <f t="shared" si="452"/>
        <v>1</v>
      </c>
      <c r="AA627" s="216">
        <f t="shared" si="473"/>
        <v>0</v>
      </c>
      <c r="AB627" s="72">
        <f t="shared" si="480"/>
        <v>105651.83946229343</v>
      </c>
      <c r="AC627" s="72">
        <f t="shared" si="453"/>
        <v>0</v>
      </c>
      <c r="AD627" s="72">
        <f t="shared" si="454"/>
        <v>0</v>
      </c>
      <c r="AE627" s="72">
        <f t="shared" si="474"/>
        <v>-71.685386854164818</v>
      </c>
      <c r="AF627" s="70">
        <f t="shared" si="455"/>
        <v>0</v>
      </c>
      <c r="AG627" s="70">
        <f t="shared" si="456"/>
        <v>27309.58502273052</v>
      </c>
      <c r="AH627" s="1">
        <f t="shared" si="488"/>
        <v>0</v>
      </c>
      <c r="AI627" s="1">
        <f t="shared" si="488"/>
        <v>0</v>
      </c>
      <c r="AJ627" s="1">
        <f t="shared" si="488"/>
        <v>0</v>
      </c>
      <c r="AK627" s="1">
        <f t="shared" si="488"/>
        <v>0</v>
      </c>
      <c r="AL627" s="1">
        <f t="shared" si="488"/>
        <v>0</v>
      </c>
      <c r="AM627" s="1">
        <f t="shared" si="488"/>
        <v>0</v>
      </c>
      <c r="AN627" s="1">
        <f t="shared" si="488"/>
        <v>0</v>
      </c>
      <c r="AO627" s="1">
        <f t="shared" si="488"/>
        <v>0</v>
      </c>
      <c r="AP627" s="1">
        <f t="shared" si="488"/>
        <v>0</v>
      </c>
      <c r="AQ627" s="1">
        <f t="shared" si="488"/>
        <v>0</v>
      </c>
      <c r="AR627" s="1">
        <f t="shared" si="488"/>
        <v>0</v>
      </c>
      <c r="AS627" s="1">
        <f t="shared" si="488"/>
        <v>0</v>
      </c>
      <c r="AT627" s="39">
        <f t="shared" si="457"/>
        <v>344246.64602461172</v>
      </c>
      <c r="AU627" s="39">
        <f t="shared" si="475"/>
        <v>344246.64602461172</v>
      </c>
      <c r="AV627" s="39">
        <f t="shared" si="485"/>
        <v>0</v>
      </c>
      <c r="AW627" s="3">
        <f t="shared" si="458"/>
        <v>553</v>
      </c>
      <c r="AX627" s="69">
        <f t="shared" si="476"/>
        <v>0</v>
      </c>
      <c r="AY627" s="75">
        <f t="shared" si="459"/>
        <v>0</v>
      </c>
      <c r="AZ627" s="75">
        <f t="shared" si="460"/>
        <v>0</v>
      </c>
      <c r="BA627" s="75">
        <f t="shared" si="461"/>
        <v>0</v>
      </c>
      <c r="BB627" s="75">
        <f t="shared" si="462"/>
        <v>0</v>
      </c>
      <c r="BD627" s="214">
        <f t="shared" si="477"/>
        <v>581614.30931599415</v>
      </c>
      <c r="BE627" s="214">
        <f t="shared" si="463"/>
        <v>2831.0370601226741</v>
      </c>
      <c r="BF627" s="214">
        <f t="shared" si="464"/>
        <v>-962.39221302001488</v>
      </c>
      <c r="BG627" s="224">
        <f t="shared" si="481"/>
        <v>0</v>
      </c>
      <c r="BH627" s="19">
        <f t="shared" si="478"/>
        <v>1444528.9361486356</v>
      </c>
      <c r="BI627" s="214">
        <f t="shared" si="465"/>
        <v>7031.3176398046835</v>
      </c>
      <c r="BJ627" s="214">
        <f t="shared" si="466"/>
        <v>0</v>
      </c>
      <c r="BK627" s="19">
        <f t="shared" si="482"/>
        <v>0</v>
      </c>
    </row>
    <row r="628" spans="1:63">
      <c r="A628" s="165">
        <f t="shared" si="467"/>
        <v>108.13945927446954</v>
      </c>
      <c r="B628" s="69">
        <f t="shared" si="468"/>
        <v>47</v>
      </c>
      <c r="C628" s="70">
        <f t="shared" si="469"/>
        <v>554</v>
      </c>
      <c r="D628" s="13">
        <f t="shared" si="438"/>
        <v>4.8675505653430484E-3</v>
      </c>
      <c r="E628" s="15">
        <f t="shared" si="439"/>
        <v>1</v>
      </c>
      <c r="F628" s="15">
        <f t="shared" si="470"/>
        <v>0</v>
      </c>
      <c r="G628" s="15">
        <f t="shared" si="440"/>
        <v>0</v>
      </c>
      <c r="H628" s="73">
        <f t="shared" si="441"/>
        <v>0</v>
      </c>
      <c r="I628" s="189"/>
      <c r="J628" s="189"/>
      <c r="K628" s="5">
        <f t="shared" si="483"/>
        <v>344246.64602461172</v>
      </c>
      <c r="M628" s="5">
        <f t="shared" si="442"/>
        <v>1675.6379564745471</v>
      </c>
      <c r="N628" s="5">
        <f t="shared" si="443"/>
        <v>-569.62197488223512</v>
      </c>
      <c r="O628" s="5">
        <f t="shared" si="444"/>
        <v>0</v>
      </c>
      <c r="P628" s="5">
        <f t="shared" si="445"/>
        <v>0</v>
      </c>
      <c r="Q628" s="5">
        <f t="shared" si="479"/>
        <v>0</v>
      </c>
      <c r="R628" s="5">
        <f t="shared" si="471"/>
        <v>0</v>
      </c>
      <c r="S628" s="5">
        <f t="shared" si="446"/>
        <v>0</v>
      </c>
      <c r="T628" s="5">
        <f t="shared" si="447"/>
        <v>0</v>
      </c>
      <c r="U628" s="74">
        <f t="shared" si="448"/>
        <v>0</v>
      </c>
      <c r="V628" s="75">
        <f t="shared" si="449"/>
        <v>0</v>
      </c>
      <c r="W628" s="5">
        <f t="shared" si="450"/>
        <v>0</v>
      </c>
      <c r="X628" s="5">
        <f t="shared" si="451"/>
        <v>345352.66200620402</v>
      </c>
      <c r="Y628" s="5">
        <f t="shared" si="472"/>
        <v>100000</v>
      </c>
      <c r="Z628" s="215">
        <f t="shared" si="452"/>
        <v>1</v>
      </c>
      <c r="AA628" s="216">
        <f t="shared" si="473"/>
        <v>0</v>
      </c>
      <c r="AB628" s="72">
        <f t="shared" si="480"/>
        <v>105651.83946229343</v>
      </c>
      <c r="AC628" s="72">
        <f t="shared" si="453"/>
        <v>0</v>
      </c>
      <c r="AD628" s="72">
        <f t="shared" si="454"/>
        <v>0</v>
      </c>
      <c r="AE628" s="72">
        <f t="shared" si="474"/>
        <v>-71.915701904210863</v>
      </c>
      <c r="AF628" s="70">
        <f t="shared" si="455"/>
        <v>0</v>
      </c>
      <c r="AG628" s="70">
        <f t="shared" si="456"/>
        <v>27729.871095735609</v>
      </c>
      <c r="AH628" s="1">
        <f t="shared" si="488"/>
        <v>0</v>
      </c>
      <c r="AI628" s="1">
        <f t="shared" si="488"/>
        <v>0</v>
      </c>
      <c r="AJ628" s="1">
        <f t="shared" si="488"/>
        <v>0</v>
      </c>
      <c r="AK628" s="1">
        <f t="shared" si="488"/>
        <v>0</v>
      </c>
      <c r="AL628" s="1">
        <f t="shared" si="488"/>
        <v>0</v>
      </c>
      <c r="AM628" s="1">
        <f t="shared" si="488"/>
        <v>0</v>
      </c>
      <c r="AN628" s="1">
        <f t="shared" si="488"/>
        <v>0</v>
      </c>
      <c r="AO628" s="1">
        <f t="shared" si="488"/>
        <v>0</v>
      </c>
      <c r="AP628" s="1">
        <f t="shared" si="488"/>
        <v>0</v>
      </c>
      <c r="AQ628" s="1">
        <f t="shared" si="488"/>
        <v>0</v>
      </c>
      <c r="AR628" s="1">
        <f t="shared" si="488"/>
        <v>0</v>
      </c>
      <c r="AS628" s="1">
        <f t="shared" si="488"/>
        <v>0</v>
      </c>
      <c r="AT628" s="39">
        <f t="shared" si="457"/>
        <v>345352.66200620402</v>
      </c>
      <c r="AU628" s="39">
        <f t="shared" si="475"/>
        <v>345352.66200620402</v>
      </c>
      <c r="AV628" s="39">
        <f t="shared" si="485"/>
        <v>0</v>
      </c>
      <c r="AW628" s="3">
        <f t="shared" si="458"/>
        <v>554</v>
      </c>
      <c r="AX628" s="69">
        <f t="shared" si="476"/>
        <v>0</v>
      </c>
      <c r="AY628" s="75">
        <f t="shared" si="459"/>
        <v>0</v>
      </c>
      <c r="AZ628" s="75">
        <f t="shared" si="460"/>
        <v>0</v>
      </c>
      <c r="BA628" s="75">
        <f t="shared" si="461"/>
        <v>0</v>
      </c>
      <c r="BB628" s="75">
        <f t="shared" si="462"/>
        <v>0</v>
      </c>
      <c r="BD628" s="214">
        <f t="shared" si="477"/>
        <v>583482.95416309685</v>
      </c>
      <c r="BE628" s="214">
        <f t="shared" si="463"/>
        <v>2840.1327834046142</v>
      </c>
      <c r="BF628" s="214">
        <f t="shared" si="464"/>
        <v>-965.48424363368144</v>
      </c>
      <c r="BG628" s="224">
        <f t="shared" si="481"/>
        <v>0</v>
      </c>
      <c r="BH628" s="19">
        <f t="shared" si="478"/>
        <v>1451560.2537884403</v>
      </c>
      <c r="BI628" s="214">
        <f t="shared" si="465"/>
        <v>7065.5429339574212</v>
      </c>
      <c r="BJ628" s="214">
        <f t="shared" si="466"/>
        <v>0</v>
      </c>
      <c r="BK628" s="19">
        <f t="shared" si="482"/>
        <v>0</v>
      </c>
    </row>
    <row r="629" spans="1:63">
      <c r="A629" s="165">
        <f t="shared" si="467"/>
        <v>108.22279260780287</v>
      </c>
      <c r="B629" s="69">
        <f t="shared" si="468"/>
        <v>47</v>
      </c>
      <c r="C629" s="70">
        <f t="shared" si="469"/>
        <v>555</v>
      </c>
      <c r="D629" s="13">
        <f t="shared" si="438"/>
        <v>4.8675505653430484E-3</v>
      </c>
      <c r="E629" s="15">
        <f t="shared" si="439"/>
        <v>1</v>
      </c>
      <c r="F629" s="15">
        <f t="shared" si="470"/>
        <v>0</v>
      </c>
      <c r="G629" s="15">
        <f t="shared" si="440"/>
        <v>0</v>
      </c>
      <c r="H629" s="73">
        <f t="shared" si="441"/>
        <v>0</v>
      </c>
      <c r="I629" s="189"/>
      <c r="J629" s="189"/>
      <c r="K629" s="5">
        <f t="shared" si="483"/>
        <v>345352.66200620402</v>
      </c>
      <c r="M629" s="5">
        <f t="shared" si="442"/>
        <v>1681.0215451910251</v>
      </c>
      <c r="N629" s="5">
        <f t="shared" si="443"/>
        <v>-571.45209004809476</v>
      </c>
      <c r="O629" s="5">
        <f t="shared" si="444"/>
        <v>0</v>
      </c>
      <c r="P629" s="5">
        <f t="shared" si="445"/>
        <v>0</v>
      </c>
      <c r="Q629" s="5">
        <f t="shared" si="479"/>
        <v>0</v>
      </c>
      <c r="R629" s="5">
        <f t="shared" si="471"/>
        <v>0</v>
      </c>
      <c r="S629" s="5">
        <f t="shared" si="446"/>
        <v>0</v>
      </c>
      <c r="T629" s="5">
        <f t="shared" si="447"/>
        <v>0</v>
      </c>
      <c r="U629" s="74">
        <f t="shared" si="448"/>
        <v>0</v>
      </c>
      <c r="V629" s="75">
        <f t="shared" si="449"/>
        <v>0</v>
      </c>
      <c r="W629" s="5">
        <f t="shared" si="450"/>
        <v>0</v>
      </c>
      <c r="X629" s="5">
        <f t="shared" si="451"/>
        <v>346462.23146134691</v>
      </c>
      <c r="Y629" s="5">
        <f t="shared" si="472"/>
        <v>100000</v>
      </c>
      <c r="Z629" s="215">
        <f t="shared" si="452"/>
        <v>1</v>
      </c>
      <c r="AA629" s="216">
        <f t="shared" si="473"/>
        <v>0</v>
      </c>
      <c r="AB629" s="72">
        <f t="shared" si="480"/>
        <v>105651.83946229343</v>
      </c>
      <c r="AC629" s="72">
        <f t="shared" si="453"/>
        <v>0</v>
      </c>
      <c r="AD629" s="72">
        <f t="shared" si="454"/>
        <v>0</v>
      </c>
      <c r="AE629" s="72">
        <f t="shared" si="474"/>
        <v>-72.146756924069493</v>
      </c>
      <c r="AF629" s="70">
        <f t="shared" si="455"/>
        <v>0</v>
      </c>
      <c r="AG629" s="70">
        <f t="shared" si="456"/>
        <v>28151.507488689909</v>
      </c>
      <c r="AH629" s="1">
        <f t="shared" si="488"/>
        <v>0</v>
      </c>
      <c r="AI629" s="1">
        <f t="shared" si="488"/>
        <v>0</v>
      </c>
      <c r="AJ629" s="1">
        <f t="shared" si="488"/>
        <v>0</v>
      </c>
      <c r="AK629" s="1">
        <f t="shared" si="488"/>
        <v>0</v>
      </c>
      <c r="AL629" s="1">
        <f t="shared" si="488"/>
        <v>0</v>
      </c>
      <c r="AM629" s="1">
        <f t="shared" si="488"/>
        <v>0</v>
      </c>
      <c r="AN629" s="1">
        <f t="shared" si="488"/>
        <v>0</v>
      </c>
      <c r="AO629" s="1">
        <f t="shared" si="488"/>
        <v>0</v>
      </c>
      <c r="AP629" s="1">
        <f t="shared" si="488"/>
        <v>0</v>
      </c>
      <c r="AQ629" s="1">
        <f t="shared" si="488"/>
        <v>0</v>
      </c>
      <c r="AR629" s="1">
        <f t="shared" si="488"/>
        <v>0</v>
      </c>
      <c r="AS629" s="1">
        <f t="shared" si="488"/>
        <v>0</v>
      </c>
      <c r="AT629" s="39">
        <f t="shared" si="457"/>
        <v>346462.23146134691</v>
      </c>
      <c r="AU629" s="39">
        <f t="shared" si="475"/>
        <v>346462.23146134691</v>
      </c>
      <c r="AV629" s="39">
        <f t="shared" si="485"/>
        <v>0</v>
      </c>
      <c r="AW629" s="3">
        <f t="shared" si="458"/>
        <v>555</v>
      </c>
      <c r="AX629" s="69">
        <f t="shared" si="476"/>
        <v>0</v>
      </c>
      <c r="AY629" s="75">
        <f t="shared" si="459"/>
        <v>0</v>
      </c>
      <c r="AZ629" s="75">
        <f t="shared" si="460"/>
        <v>0</v>
      </c>
      <c r="BA629" s="75">
        <f t="shared" si="461"/>
        <v>0</v>
      </c>
      <c r="BB629" s="75">
        <f t="shared" si="462"/>
        <v>0</v>
      </c>
      <c r="BD629" s="214">
        <f t="shared" si="477"/>
        <v>585357.60270286782</v>
      </c>
      <c r="BE629" s="214">
        <f t="shared" si="463"/>
        <v>2849.2577299641957</v>
      </c>
      <c r="BF629" s="214">
        <f t="shared" si="464"/>
        <v>-968.58620850615273</v>
      </c>
      <c r="BG629" s="224">
        <f t="shared" si="481"/>
        <v>0</v>
      </c>
      <c r="BH629" s="19">
        <f t="shared" si="478"/>
        <v>1458625.7967223977</v>
      </c>
      <c r="BI629" s="214">
        <f t="shared" si="465"/>
        <v>7099.9348214600614</v>
      </c>
      <c r="BJ629" s="214">
        <f t="shared" si="466"/>
        <v>0</v>
      </c>
      <c r="BK629" s="19">
        <f t="shared" si="482"/>
        <v>0</v>
      </c>
    </row>
    <row r="630" spans="1:63">
      <c r="A630" s="165">
        <f t="shared" si="467"/>
        <v>108.3061259411362</v>
      </c>
      <c r="B630" s="69">
        <f t="shared" si="468"/>
        <v>47</v>
      </c>
      <c r="C630" s="70">
        <f t="shared" si="469"/>
        <v>556</v>
      </c>
      <c r="D630" s="13">
        <f t="shared" si="438"/>
        <v>4.8675505653430484E-3</v>
      </c>
      <c r="E630" s="15">
        <f t="shared" si="439"/>
        <v>1</v>
      </c>
      <c r="F630" s="15">
        <f t="shared" si="470"/>
        <v>0</v>
      </c>
      <c r="G630" s="15">
        <f t="shared" si="440"/>
        <v>0</v>
      </c>
      <c r="H630" s="73">
        <f t="shared" si="441"/>
        <v>0</v>
      </c>
      <c r="I630" s="189"/>
      <c r="J630" s="189"/>
      <c r="K630" s="5">
        <f t="shared" si="483"/>
        <v>346462.23146134691</v>
      </c>
      <c r="M630" s="5">
        <f t="shared" si="442"/>
        <v>1686.4224306196932</v>
      </c>
      <c r="N630" s="5">
        <f t="shared" si="443"/>
        <v>-573.28808511618411</v>
      </c>
      <c r="O630" s="5">
        <f t="shared" si="444"/>
        <v>0</v>
      </c>
      <c r="P630" s="5">
        <f t="shared" si="445"/>
        <v>0</v>
      </c>
      <c r="Q630" s="5">
        <f t="shared" si="479"/>
        <v>0</v>
      </c>
      <c r="R630" s="5">
        <f t="shared" si="471"/>
        <v>0</v>
      </c>
      <c r="S630" s="5">
        <f t="shared" si="446"/>
        <v>0</v>
      </c>
      <c r="T630" s="5">
        <f t="shared" si="447"/>
        <v>0</v>
      </c>
      <c r="U630" s="74">
        <f t="shared" si="448"/>
        <v>0</v>
      </c>
      <c r="V630" s="75">
        <f t="shared" si="449"/>
        <v>0</v>
      </c>
      <c r="W630" s="5">
        <f t="shared" si="450"/>
        <v>0</v>
      </c>
      <c r="X630" s="5">
        <f t="shared" si="451"/>
        <v>347575.36580685043</v>
      </c>
      <c r="Y630" s="5">
        <f t="shared" si="472"/>
        <v>100000</v>
      </c>
      <c r="Z630" s="215">
        <f t="shared" si="452"/>
        <v>1</v>
      </c>
      <c r="AA630" s="216">
        <f t="shared" si="473"/>
        <v>0</v>
      </c>
      <c r="AB630" s="72">
        <f t="shared" si="480"/>
        <v>105651.83946229343</v>
      </c>
      <c r="AC630" s="72">
        <f t="shared" si="453"/>
        <v>0</v>
      </c>
      <c r="AD630" s="72">
        <f t="shared" si="454"/>
        <v>0</v>
      </c>
      <c r="AE630" s="72">
        <f t="shared" si="474"/>
        <v>-72.378554291159503</v>
      </c>
      <c r="AF630" s="70">
        <f t="shared" si="455"/>
        <v>0</v>
      </c>
      <c r="AG630" s="70">
        <f t="shared" si="456"/>
        <v>28574.498539981229</v>
      </c>
      <c r="AH630" s="1">
        <f t="shared" si="488"/>
        <v>0</v>
      </c>
      <c r="AI630" s="1">
        <f t="shared" si="488"/>
        <v>0</v>
      </c>
      <c r="AJ630" s="1">
        <f t="shared" si="488"/>
        <v>0</v>
      </c>
      <c r="AK630" s="1">
        <f t="shared" si="488"/>
        <v>0</v>
      </c>
      <c r="AL630" s="1">
        <f t="shared" si="488"/>
        <v>0</v>
      </c>
      <c r="AM630" s="1">
        <f t="shared" si="488"/>
        <v>0</v>
      </c>
      <c r="AN630" s="1">
        <f t="shared" si="488"/>
        <v>0</v>
      </c>
      <c r="AO630" s="1">
        <f t="shared" si="488"/>
        <v>0</v>
      </c>
      <c r="AP630" s="1">
        <f t="shared" si="488"/>
        <v>0</v>
      </c>
      <c r="AQ630" s="1">
        <f t="shared" si="488"/>
        <v>0</v>
      </c>
      <c r="AR630" s="1">
        <f t="shared" si="488"/>
        <v>0</v>
      </c>
      <c r="AS630" s="1">
        <f t="shared" si="488"/>
        <v>0</v>
      </c>
      <c r="AT630" s="39">
        <f t="shared" si="457"/>
        <v>347575.36580685043</v>
      </c>
      <c r="AU630" s="39">
        <f t="shared" si="475"/>
        <v>347575.36580685043</v>
      </c>
      <c r="AV630" s="39">
        <f t="shared" si="485"/>
        <v>0</v>
      </c>
      <c r="AW630" s="3">
        <f t="shared" si="458"/>
        <v>556</v>
      </c>
      <c r="AX630" s="69">
        <f t="shared" si="476"/>
        <v>0</v>
      </c>
      <c r="AY630" s="75">
        <f t="shared" si="459"/>
        <v>0</v>
      </c>
      <c r="AZ630" s="75">
        <f t="shared" si="460"/>
        <v>0</v>
      </c>
      <c r="BA630" s="75">
        <f t="shared" si="461"/>
        <v>0</v>
      </c>
      <c r="BB630" s="75">
        <f t="shared" si="462"/>
        <v>0</v>
      </c>
      <c r="BD630" s="214">
        <f t="shared" si="477"/>
        <v>587238.2742243259</v>
      </c>
      <c r="BE630" s="214">
        <f t="shared" si="463"/>
        <v>2858.4119936916936</v>
      </c>
      <c r="BF630" s="214">
        <f t="shared" si="464"/>
        <v>-971.69813955480322</v>
      </c>
      <c r="BG630" s="224">
        <f t="shared" si="481"/>
        <v>0</v>
      </c>
      <c r="BH630" s="19">
        <f t="shared" si="478"/>
        <v>1465725.7315438578</v>
      </c>
      <c r="BI630" s="214">
        <f t="shared" si="465"/>
        <v>7134.4941132141585</v>
      </c>
      <c r="BJ630" s="214">
        <f t="shared" si="466"/>
        <v>0</v>
      </c>
      <c r="BK630" s="19">
        <f t="shared" si="482"/>
        <v>0</v>
      </c>
    </row>
    <row r="631" spans="1:63">
      <c r="A631" s="165">
        <f t="shared" si="467"/>
        <v>108.38945927446954</v>
      </c>
      <c r="B631" s="69">
        <f t="shared" si="468"/>
        <v>47</v>
      </c>
      <c r="C631" s="70">
        <f t="shared" si="469"/>
        <v>557</v>
      </c>
      <c r="D631" s="13">
        <f t="shared" si="438"/>
        <v>4.8675505653430484E-3</v>
      </c>
      <c r="E631" s="15">
        <f t="shared" si="439"/>
        <v>1</v>
      </c>
      <c r="F631" s="15">
        <f t="shared" si="470"/>
        <v>0</v>
      </c>
      <c r="G631" s="15">
        <f t="shared" si="440"/>
        <v>0</v>
      </c>
      <c r="H631" s="73">
        <f t="shared" si="441"/>
        <v>0</v>
      </c>
      <c r="I631" s="189"/>
      <c r="J631" s="189"/>
      <c r="K631" s="5">
        <f t="shared" si="483"/>
        <v>347575.36580685043</v>
      </c>
      <c r="M631" s="5">
        <f t="shared" si="442"/>
        <v>1691.8406683324517</v>
      </c>
      <c r="N631" s="5">
        <f t="shared" si="443"/>
        <v>-575.12997897780099</v>
      </c>
      <c r="O631" s="5">
        <f t="shared" si="444"/>
        <v>0</v>
      </c>
      <c r="P631" s="5">
        <f t="shared" si="445"/>
        <v>0</v>
      </c>
      <c r="Q631" s="5">
        <f t="shared" si="479"/>
        <v>0</v>
      </c>
      <c r="R631" s="5">
        <f t="shared" si="471"/>
        <v>0</v>
      </c>
      <c r="S631" s="5">
        <f t="shared" si="446"/>
        <v>0</v>
      </c>
      <c r="T631" s="5">
        <f t="shared" si="447"/>
        <v>0</v>
      </c>
      <c r="U631" s="74">
        <f t="shared" si="448"/>
        <v>0</v>
      </c>
      <c r="V631" s="75">
        <f t="shared" si="449"/>
        <v>0</v>
      </c>
      <c r="W631" s="5">
        <f t="shared" si="450"/>
        <v>0</v>
      </c>
      <c r="X631" s="5">
        <f t="shared" si="451"/>
        <v>348692.07649620512</v>
      </c>
      <c r="Y631" s="5">
        <f t="shared" si="472"/>
        <v>100000</v>
      </c>
      <c r="Z631" s="215">
        <f t="shared" si="452"/>
        <v>1</v>
      </c>
      <c r="AA631" s="216">
        <f t="shared" si="473"/>
        <v>0</v>
      </c>
      <c r="AB631" s="72">
        <f t="shared" si="480"/>
        <v>105651.83946229343</v>
      </c>
      <c r="AC631" s="72">
        <f t="shared" si="453"/>
        <v>0</v>
      </c>
      <c r="AD631" s="72">
        <f t="shared" si="454"/>
        <v>0</v>
      </c>
      <c r="AE631" s="72">
        <f t="shared" si="474"/>
        <v>-72.611096390537995</v>
      </c>
      <c r="AF631" s="70">
        <f t="shared" si="455"/>
        <v>0</v>
      </c>
      <c r="AG631" s="70">
        <f t="shared" si="456"/>
        <v>28998.848601936013</v>
      </c>
      <c r="AH631" s="1">
        <f t="shared" si="488"/>
        <v>0</v>
      </c>
      <c r="AI631" s="1">
        <f t="shared" si="488"/>
        <v>0</v>
      </c>
      <c r="AJ631" s="1">
        <f t="shared" si="488"/>
        <v>0</v>
      </c>
      <c r="AK631" s="1">
        <f t="shared" si="488"/>
        <v>0</v>
      </c>
      <c r="AL631" s="1">
        <f t="shared" si="488"/>
        <v>0</v>
      </c>
      <c r="AM631" s="1">
        <f t="shared" si="488"/>
        <v>0</v>
      </c>
      <c r="AN631" s="1">
        <f t="shared" si="488"/>
        <v>0</v>
      </c>
      <c r="AO631" s="1">
        <f t="shared" si="488"/>
        <v>0</v>
      </c>
      <c r="AP631" s="1">
        <f t="shared" si="488"/>
        <v>0</v>
      </c>
      <c r="AQ631" s="1">
        <f t="shared" si="488"/>
        <v>0</v>
      </c>
      <c r="AR631" s="1">
        <f t="shared" si="488"/>
        <v>0</v>
      </c>
      <c r="AS631" s="1">
        <f t="shared" si="488"/>
        <v>0</v>
      </c>
      <c r="AT631" s="39">
        <f t="shared" si="457"/>
        <v>348692.07649620512</v>
      </c>
      <c r="AU631" s="39">
        <f t="shared" si="475"/>
        <v>348692.07649620512</v>
      </c>
      <c r="AV631" s="39">
        <f t="shared" si="485"/>
        <v>0</v>
      </c>
      <c r="AW631" s="3">
        <f t="shared" si="458"/>
        <v>557</v>
      </c>
      <c r="AX631" s="69">
        <f t="shared" si="476"/>
        <v>0</v>
      </c>
      <c r="AY631" s="75">
        <f t="shared" si="459"/>
        <v>0</v>
      </c>
      <c r="AZ631" s="75">
        <f t="shared" si="460"/>
        <v>0</v>
      </c>
      <c r="BA631" s="75">
        <f t="shared" si="461"/>
        <v>0</v>
      </c>
      <c r="BB631" s="75">
        <f t="shared" si="462"/>
        <v>0</v>
      </c>
      <c r="BD631" s="214">
        <f t="shared" si="477"/>
        <v>589124.98807846277</v>
      </c>
      <c r="BE631" s="214">
        <f t="shared" si="463"/>
        <v>2867.5956687790381</v>
      </c>
      <c r="BF631" s="214">
        <f t="shared" si="464"/>
        <v>-974.82006879955247</v>
      </c>
      <c r="BG631" s="224">
        <f t="shared" si="481"/>
        <v>0</v>
      </c>
      <c r="BH631" s="19">
        <f t="shared" si="478"/>
        <v>1472860.2256570719</v>
      </c>
      <c r="BI631" s="214">
        <f t="shared" si="465"/>
        <v>7169.2216240683701</v>
      </c>
      <c r="BJ631" s="214">
        <f t="shared" si="466"/>
        <v>0</v>
      </c>
      <c r="BK631" s="19">
        <f t="shared" si="482"/>
        <v>0</v>
      </c>
    </row>
    <row r="632" spans="1:63">
      <c r="A632" s="165">
        <f t="shared" si="467"/>
        <v>108.47279260780287</v>
      </c>
      <c r="B632" s="69">
        <f t="shared" si="468"/>
        <v>47</v>
      </c>
      <c r="C632" s="70">
        <f t="shared" si="469"/>
        <v>558</v>
      </c>
      <c r="D632" s="13">
        <f t="shared" si="438"/>
        <v>4.8675505653430484E-3</v>
      </c>
      <c r="E632" s="15">
        <f t="shared" si="439"/>
        <v>1</v>
      </c>
      <c r="F632" s="15">
        <f t="shared" si="470"/>
        <v>0</v>
      </c>
      <c r="G632" s="15">
        <f t="shared" si="440"/>
        <v>0</v>
      </c>
      <c r="H632" s="73">
        <f t="shared" si="441"/>
        <v>0</v>
      </c>
      <c r="I632" s="189"/>
      <c r="J632" s="189"/>
      <c r="K632" s="5">
        <f t="shared" si="483"/>
        <v>348692.07649620512</v>
      </c>
      <c r="M632" s="5">
        <f t="shared" si="442"/>
        <v>1697.2763140797447</v>
      </c>
      <c r="N632" s="5">
        <f t="shared" si="443"/>
        <v>-576.97779058493825</v>
      </c>
      <c r="O632" s="5">
        <f t="shared" si="444"/>
        <v>0</v>
      </c>
      <c r="P632" s="5">
        <f t="shared" si="445"/>
        <v>0</v>
      </c>
      <c r="Q632" s="5">
        <f t="shared" si="479"/>
        <v>0</v>
      </c>
      <c r="R632" s="5">
        <f t="shared" si="471"/>
        <v>0</v>
      </c>
      <c r="S632" s="5">
        <f t="shared" si="446"/>
        <v>0</v>
      </c>
      <c r="T632" s="5">
        <f t="shared" si="447"/>
        <v>0</v>
      </c>
      <c r="U632" s="74">
        <f t="shared" si="448"/>
        <v>0</v>
      </c>
      <c r="V632" s="75">
        <f t="shared" si="449"/>
        <v>0</v>
      </c>
      <c r="W632" s="5">
        <f t="shared" si="450"/>
        <v>0</v>
      </c>
      <c r="X632" s="5">
        <f t="shared" si="451"/>
        <v>349812.37501969992</v>
      </c>
      <c r="Y632" s="5">
        <f t="shared" si="472"/>
        <v>100000</v>
      </c>
      <c r="Z632" s="215">
        <f t="shared" si="452"/>
        <v>1</v>
      </c>
      <c r="AA632" s="216">
        <f t="shared" si="473"/>
        <v>0</v>
      </c>
      <c r="AB632" s="72">
        <f t="shared" si="480"/>
        <v>105651.83946229343</v>
      </c>
      <c r="AC632" s="72">
        <f t="shared" si="453"/>
        <v>0</v>
      </c>
      <c r="AD632" s="72">
        <f t="shared" si="454"/>
        <v>0</v>
      </c>
      <c r="AE632" s="72">
        <f t="shared" si="474"/>
        <v>-72.844385614924917</v>
      </c>
      <c r="AF632" s="70">
        <f t="shared" si="455"/>
        <v>0</v>
      </c>
      <c r="AG632" s="70">
        <f t="shared" si="456"/>
        <v>29424.562040864053</v>
      </c>
      <c r="AH632" s="1">
        <f t="shared" si="488"/>
        <v>0</v>
      </c>
      <c r="AI632" s="1">
        <f t="shared" si="488"/>
        <v>0</v>
      </c>
      <c r="AJ632" s="1">
        <f t="shared" si="488"/>
        <v>0</v>
      </c>
      <c r="AK632" s="1">
        <f t="shared" si="488"/>
        <v>0</v>
      </c>
      <c r="AL632" s="1">
        <f t="shared" si="488"/>
        <v>0</v>
      </c>
      <c r="AM632" s="1">
        <f t="shared" si="488"/>
        <v>0</v>
      </c>
      <c r="AN632" s="1">
        <f t="shared" si="488"/>
        <v>0</v>
      </c>
      <c r="AO632" s="1">
        <f t="shared" si="488"/>
        <v>0</v>
      </c>
      <c r="AP632" s="1">
        <f t="shared" si="488"/>
        <v>0</v>
      </c>
      <c r="AQ632" s="1">
        <f t="shared" si="488"/>
        <v>0</v>
      </c>
      <c r="AR632" s="1">
        <f t="shared" si="488"/>
        <v>0</v>
      </c>
      <c r="AS632" s="1">
        <f t="shared" si="488"/>
        <v>0</v>
      </c>
      <c r="AT632" s="39">
        <f t="shared" si="457"/>
        <v>349812.37501969992</v>
      </c>
      <c r="AU632" s="39">
        <f t="shared" si="475"/>
        <v>349812.37501969992</v>
      </c>
      <c r="AV632" s="39">
        <f t="shared" si="485"/>
        <v>0</v>
      </c>
      <c r="AW632" s="3">
        <f t="shared" si="458"/>
        <v>558</v>
      </c>
      <c r="AX632" s="69">
        <f t="shared" si="476"/>
        <v>0</v>
      </c>
      <c r="AY632" s="75">
        <f t="shared" si="459"/>
        <v>0</v>
      </c>
      <c r="AZ632" s="75">
        <f t="shared" si="460"/>
        <v>0</v>
      </c>
      <c r="BA632" s="75">
        <f t="shared" si="461"/>
        <v>0</v>
      </c>
      <c r="BB632" s="75">
        <f t="shared" si="462"/>
        <v>0</v>
      </c>
      <c r="BD632" s="214">
        <f t="shared" si="477"/>
        <v>591017.76367844222</v>
      </c>
      <c r="BE632" s="214">
        <f t="shared" si="463"/>
        <v>2876.8088497207855</v>
      </c>
      <c r="BF632" s="214">
        <f t="shared" si="464"/>
        <v>-977.95202836319663</v>
      </c>
      <c r="BG632" s="224">
        <f t="shared" si="481"/>
        <v>0</v>
      </c>
      <c r="BH632" s="19">
        <f t="shared" si="478"/>
        <v>1480029.4472811404</v>
      </c>
      <c r="BI632" s="214">
        <f t="shared" si="465"/>
        <v>7204.1181728376741</v>
      </c>
      <c r="BJ632" s="214">
        <f t="shared" si="466"/>
        <v>0</v>
      </c>
      <c r="BK632" s="19">
        <f t="shared" si="482"/>
        <v>0</v>
      </c>
    </row>
    <row r="633" spans="1:63">
      <c r="A633" s="165">
        <f t="shared" si="467"/>
        <v>108.5561259411362</v>
      </c>
      <c r="B633" s="69">
        <f t="shared" si="468"/>
        <v>47</v>
      </c>
      <c r="C633" s="70">
        <f t="shared" si="469"/>
        <v>559</v>
      </c>
      <c r="D633" s="13">
        <f t="shared" si="438"/>
        <v>4.8675505653430484E-3</v>
      </c>
      <c r="E633" s="15">
        <f t="shared" si="439"/>
        <v>1</v>
      </c>
      <c r="F633" s="15">
        <f t="shared" si="470"/>
        <v>0</v>
      </c>
      <c r="G633" s="15">
        <f t="shared" si="440"/>
        <v>0</v>
      </c>
      <c r="H633" s="73">
        <f t="shared" si="441"/>
        <v>0</v>
      </c>
      <c r="I633" s="189"/>
      <c r="J633" s="189"/>
      <c r="K633" s="5">
        <f t="shared" si="483"/>
        <v>349812.37501969992</v>
      </c>
      <c r="M633" s="5">
        <f t="shared" si="442"/>
        <v>1702.7294237911349</v>
      </c>
      <c r="N633" s="5">
        <f t="shared" si="443"/>
        <v>-578.83153895047826</v>
      </c>
      <c r="O633" s="5">
        <f t="shared" si="444"/>
        <v>0</v>
      </c>
      <c r="P633" s="5">
        <f t="shared" si="445"/>
        <v>0</v>
      </c>
      <c r="Q633" s="5">
        <f t="shared" si="479"/>
        <v>0</v>
      </c>
      <c r="R633" s="5">
        <f t="shared" si="471"/>
        <v>0</v>
      </c>
      <c r="S633" s="5">
        <f t="shared" si="446"/>
        <v>0</v>
      </c>
      <c r="T633" s="5">
        <f t="shared" si="447"/>
        <v>0</v>
      </c>
      <c r="U633" s="74">
        <f t="shared" si="448"/>
        <v>0</v>
      </c>
      <c r="V633" s="75">
        <f t="shared" si="449"/>
        <v>0</v>
      </c>
      <c r="W633" s="5">
        <f t="shared" si="450"/>
        <v>0</v>
      </c>
      <c r="X633" s="5">
        <f t="shared" si="451"/>
        <v>350936.27290454053</v>
      </c>
      <c r="Y633" s="5">
        <f t="shared" si="472"/>
        <v>100000</v>
      </c>
      <c r="Z633" s="215">
        <f t="shared" si="452"/>
        <v>1</v>
      </c>
      <c r="AA633" s="216">
        <f t="shared" si="473"/>
        <v>0</v>
      </c>
      <c r="AB633" s="72">
        <f t="shared" si="480"/>
        <v>105651.83946229343</v>
      </c>
      <c r="AC633" s="72">
        <f t="shared" si="453"/>
        <v>0</v>
      </c>
      <c r="AD633" s="72">
        <f t="shared" si="454"/>
        <v>0</v>
      </c>
      <c r="AE633" s="72">
        <f t="shared" si="474"/>
        <v>-73.078424364727638</v>
      </c>
      <c r="AF633" s="70">
        <f t="shared" si="455"/>
        <v>0</v>
      </c>
      <c r="AG633" s="70">
        <f t="shared" si="456"/>
        <v>29851.643237103475</v>
      </c>
      <c r="AH633" s="1">
        <f t="shared" si="488"/>
        <v>0</v>
      </c>
      <c r="AI633" s="1">
        <f t="shared" si="488"/>
        <v>0</v>
      </c>
      <c r="AJ633" s="1">
        <f t="shared" si="488"/>
        <v>0</v>
      </c>
      <c r="AK633" s="1">
        <f t="shared" si="488"/>
        <v>0</v>
      </c>
      <c r="AL633" s="1">
        <f t="shared" si="488"/>
        <v>0</v>
      </c>
      <c r="AM633" s="1">
        <f t="shared" si="488"/>
        <v>0</v>
      </c>
      <c r="AN633" s="1">
        <f t="shared" si="488"/>
        <v>0</v>
      </c>
      <c r="AO633" s="1">
        <f t="shared" si="488"/>
        <v>0</v>
      </c>
      <c r="AP633" s="1">
        <f t="shared" si="488"/>
        <v>0</v>
      </c>
      <c r="AQ633" s="1">
        <f t="shared" si="488"/>
        <v>0</v>
      </c>
      <c r="AR633" s="1">
        <f t="shared" si="488"/>
        <v>0</v>
      </c>
      <c r="AS633" s="1">
        <f t="shared" si="488"/>
        <v>0</v>
      </c>
      <c r="AT633" s="39">
        <f t="shared" si="457"/>
        <v>350936.27290454053</v>
      </c>
      <c r="AU633" s="39">
        <f t="shared" si="475"/>
        <v>350936.27290454053</v>
      </c>
      <c r="AV633" s="39">
        <f t="shared" si="485"/>
        <v>0</v>
      </c>
      <c r="AW633" s="3">
        <f t="shared" si="458"/>
        <v>559</v>
      </c>
      <c r="AX633" s="69">
        <f t="shared" si="476"/>
        <v>0</v>
      </c>
      <c r="AY633" s="75">
        <f t="shared" si="459"/>
        <v>0</v>
      </c>
      <c r="AZ633" s="75">
        <f t="shared" si="460"/>
        <v>0</v>
      </c>
      <c r="BA633" s="75">
        <f t="shared" si="461"/>
        <v>0</v>
      </c>
      <c r="BB633" s="75">
        <f t="shared" si="462"/>
        <v>0</v>
      </c>
      <c r="BD633" s="214">
        <f t="shared" si="477"/>
        <v>592916.62049979973</v>
      </c>
      <c r="BE633" s="214">
        <f t="shared" si="463"/>
        <v>2886.0516313150897</v>
      </c>
      <c r="BF633" s="214">
        <f t="shared" si="464"/>
        <v>-981.09405047173732</v>
      </c>
      <c r="BG633" s="224">
        <f t="shared" si="481"/>
        <v>0</v>
      </c>
      <c r="BH633" s="19">
        <f t="shared" si="478"/>
        <v>1487233.565453978</v>
      </c>
      <c r="BI633" s="214">
        <f t="shared" si="465"/>
        <v>7239.1845823226686</v>
      </c>
      <c r="BJ633" s="214">
        <f t="shared" si="466"/>
        <v>0</v>
      </c>
      <c r="BK633" s="19">
        <f t="shared" si="482"/>
        <v>0</v>
      </c>
    </row>
    <row r="634" spans="1:63">
      <c r="A634" s="165">
        <f t="shared" si="467"/>
        <v>108.63945927446954</v>
      </c>
      <c r="B634" s="69">
        <f t="shared" si="468"/>
        <v>47</v>
      </c>
      <c r="C634" s="70">
        <f t="shared" si="469"/>
        <v>560</v>
      </c>
      <c r="D634" s="13">
        <f t="shared" si="438"/>
        <v>4.8675505653430484E-3</v>
      </c>
      <c r="E634" s="15">
        <f t="shared" si="439"/>
        <v>1</v>
      </c>
      <c r="F634" s="15">
        <f t="shared" si="470"/>
        <v>0</v>
      </c>
      <c r="G634" s="15">
        <f t="shared" si="440"/>
        <v>0</v>
      </c>
      <c r="H634" s="73">
        <f t="shared" si="441"/>
        <v>0</v>
      </c>
      <c r="I634" s="189"/>
      <c r="J634" s="189"/>
      <c r="K634" s="5">
        <f t="shared" si="483"/>
        <v>350936.27290454053</v>
      </c>
      <c r="M634" s="5">
        <f t="shared" si="442"/>
        <v>1708.2000535758787</v>
      </c>
      <c r="N634" s="5">
        <f t="shared" si="443"/>
        <v>-580.69124314838962</v>
      </c>
      <c r="O634" s="5">
        <f t="shared" si="444"/>
        <v>0</v>
      </c>
      <c r="P634" s="5">
        <f t="shared" si="445"/>
        <v>0</v>
      </c>
      <c r="Q634" s="5">
        <f t="shared" si="479"/>
        <v>0</v>
      </c>
      <c r="R634" s="5">
        <f t="shared" si="471"/>
        <v>0</v>
      </c>
      <c r="S634" s="5">
        <f t="shared" si="446"/>
        <v>0</v>
      </c>
      <c r="T634" s="5">
        <f t="shared" si="447"/>
        <v>0</v>
      </c>
      <c r="U634" s="74">
        <f t="shared" si="448"/>
        <v>0</v>
      </c>
      <c r="V634" s="75">
        <f t="shared" si="449"/>
        <v>0</v>
      </c>
      <c r="W634" s="5">
        <f t="shared" si="450"/>
        <v>0</v>
      </c>
      <c r="X634" s="5">
        <f t="shared" si="451"/>
        <v>352063.78171496798</v>
      </c>
      <c r="Y634" s="5">
        <f t="shared" si="472"/>
        <v>100000</v>
      </c>
      <c r="Z634" s="215">
        <f t="shared" si="452"/>
        <v>1</v>
      </c>
      <c r="AA634" s="216">
        <f t="shared" si="473"/>
        <v>0</v>
      </c>
      <c r="AB634" s="72">
        <f t="shared" si="480"/>
        <v>105651.83946229343</v>
      </c>
      <c r="AC634" s="72">
        <f t="shared" si="453"/>
        <v>0</v>
      </c>
      <c r="AD634" s="72">
        <f t="shared" si="454"/>
        <v>0</v>
      </c>
      <c r="AE634" s="72">
        <f t="shared" si="474"/>
        <v>-73.313215048065743</v>
      </c>
      <c r="AF634" s="70">
        <f t="shared" si="455"/>
        <v>0</v>
      </c>
      <c r="AG634" s="70">
        <f t="shared" si="456"/>
        <v>30280.096585065912</v>
      </c>
      <c r="AH634" s="1">
        <f t="shared" si="488"/>
        <v>0</v>
      </c>
      <c r="AI634" s="1">
        <f t="shared" si="488"/>
        <v>0</v>
      </c>
      <c r="AJ634" s="1">
        <f t="shared" si="488"/>
        <v>0</v>
      </c>
      <c r="AK634" s="1">
        <f t="shared" si="488"/>
        <v>0</v>
      </c>
      <c r="AL634" s="1">
        <f t="shared" si="488"/>
        <v>0</v>
      </c>
      <c r="AM634" s="1">
        <f t="shared" si="488"/>
        <v>0</v>
      </c>
      <c r="AN634" s="1">
        <f t="shared" si="488"/>
        <v>0</v>
      </c>
      <c r="AO634" s="1">
        <f t="shared" si="488"/>
        <v>0</v>
      </c>
      <c r="AP634" s="1">
        <f t="shared" si="488"/>
        <v>0</v>
      </c>
      <c r="AQ634" s="1">
        <f t="shared" si="488"/>
        <v>0</v>
      </c>
      <c r="AR634" s="1">
        <f t="shared" si="488"/>
        <v>0</v>
      </c>
      <c r="AS634" s="1">
        <f t="shared" si="488"/>
        <v>0</v>
      </c>
      <c r="AT634" s="39">
        <f t="shared" si="457"/>
        <v>352063.78171496798</v>
      </c>
      <c r="AU634" s="39">
        <f t="shared" si="475"/>
        <v>352063.78171496798</v>
      </c>
      <c r="AV634" s="39">
        <f t="shared" si="485"/>
        <v>0</v>
      </c>
      <c r="AW634" s="3">
        <f t="shared" si="458"/>
        <v>560</v>
      </c>
      <c r="AX634" s="69">
        <f t="shared" si="476"/>
        <v>0</v>
      </c>
      <c r="AY634" s="75">
        <f t="shared" si="459"/>
        <v>0</v>
      </c>
      <c r="AZ634" s="75">
        <f t="shared" si="460"/>
        <v>0</v>
      </c>
      <c r="BA634" s="75">
        <f t="shared" si="461"/>
        <v>0</v>
      </c>
      <c r="BB634" s="75">
        <f t="shared" si="462"/>
        <v>0</v>
      </c>
      <c r="BD634" s="214">
        <f t="shared" si="477"/>
        <v>594821.57808064308</v>
      </c>
      <c r="BE634" s="214">
        <f t="shared" si="463"/>
        <v>2895.3241086646785</v>
      </c>
      <c r="BF634" s="214">
        <f t="shared" si="464"/>
        <v>-984.24616745471371</v>
      </c>
      <c r="BG634" s="224">
        <f t="shared" si="481"/>
        <v>0</v>
      </c>
      <c r="BH634" s="19">
        <f t="shared" si="478"/>
        <v>1494472.7500363006</v>
      </c>
      <c r="BI634" s="214">
        <f t="shared" si="465"/>
        <v>7274.4216793289752</v>
      </c>
      <c r="BJ634" s="214">
        <f t="shared" si="466"/>
        <v>0</v>
      </c>
      <c r="BK634" s="19">
        <f t="shared" si="482"/>
        <v>0</v>
      </c>
    </row>
    <row r="635" spans="1:63">
      <c r="A635" s="165">
        <f t="shared" si="467"/>
        <v>108.72279260780287</v>
      </c>
      <c r="B635" s="69">
        <f t="shared" si="468"/>
        <v>47</v>
      </c>
      <c r="C635" s="70">
        <f t="shared" si="469"/>
        <v>561</v>
      </c>
      <c r="D635" s="13">
        <f t="shared" si="438"/>
        <v>4.8675505653430484E-3</v>
      </c>
      <c r="E635" s="15">
        <f t="shared" si="439"/>
        <v>1</v>
      </c>
      <c r="F635" s="15">
        <f t="shared" si="470"/>
        <v>0</v>
      </c>
      <c r="G635" s="15">
        <f t="shared" si="440"/>
        <v>0</v>
      </c>
      <c r="H635" s="73">
        <f t="shared" si="441"/>
        <v>0</v>
      </c>
      <c r="I635" s="189"/>
      <c r="J635" s="189"/>
      <c r="K635" s="5">
        <f t="shared" si="483"/>
        <v>352063.78171496798</v>
      </c>
      <c r="M635" s="5">
        <f t="shared" si="442"/>
        <v>1713.688259723504</v>
      </c>
      <c r="N635" s="5">
        <f t="shared" si="443"/>
        <v>-582.55692231392277</v>
      </c>
      <c r="O635" s="5">
        <f t="shared" si="444"/>
        <v>0</v>
      </c>
      <c r="P635" s="5">
        <f t="shared" si="445"/>
        <v>0</v>
      </c>
      <c r="Q635" s="5">
        <f t="shared" si="479"/>
        <v>0</v>
      </c>
      <c r="R635" s="5">
        <f t="shared" si="471"/>
        <v>0</v>
      </c>
      <c r="S635" s="5">
        <f t="shared" si="446"/>
        <v>0</v>
      </c>
      <c r="T635" s="5">
        <f t="shared" si="447"/>
        <v>0</v>
      </c>
      <c r="U635" s="74">
        <f t="shared" si="448"/>
        <v>0</v>
      </c>
      <c r="V635" s="75">
        <f t="shared" si="449"/>
        <v>0</v>
      </c>
      <c r="W635" s="5">
        <f t="shared" si="450"/>
        <v>0</v>
      </c>
      <c r="X635" s="5">
        <f t="shared" si="451"/>
        <v>353194.91305237752</v>
      </c>
      <c r="Y635" s="5">
        <f t="shared" si="472"/>
        <v>100000</v>
      </c>
      <c r="Z635" s="215">
        <f t="shared" si="452"/>
        <v>1</v>
      </c>
      <c r="AA635" s="216">
        <f t="shared" si="473"/>
        <v>0</v>
      </c>
      <c r="AB635" s="72">
        <f t="shared" si="480"/>
        <v>105651.83946229343</v>
      </c>
      <c r="AC635" s="72">
        <f t="shared" si="453"/>
        <v>0</v>
      </c>
      <c r="AD635" s="72">
        <f t="shared" si="454"/>
        <v>0</v>
      </c>
      <c r="AE635" s="72">
        <f t="shared" si="474"/>
        <v>-73.548760080795788</v>
      </c>
      <c r="AF635" s="70">
        <f t="shared" si="455"/>
        <v>0</v>
      </c>
      <c r="AG635" s="70">
        <f t="shared" si="456"/>
        <v>30709.926493281528</v>
      </c>
      <c r="AH635" s="1">
        <f t="shared" ref="AH635:AS644" si="489">IF($B635&lt;=AH$74,1,0)</f>
        <v>0</v>
      </c>
      <c r="AI635" s="1">
        <f t="shared" si="489"/>
        <v>0</v>
      </c>
      <c r="AJ635" s="1">
        <f t="shared" si="489"/>
        <v>0</v>
      </c>
      <c r="AK635" s="1">
        <f t="shared" si="489"/>
        <v>0</v>
      </c>
      <c r="AL635" s="1">
        <f t="shared" si="489"/>
        <v>0</v>
      </c>
      <c r="AM635" s="1">
        <f t="shared" si="489"/>
        <v>0</v>
      </c>
      <c r="AN635" s="1">
        <f t="shared" si="489"/>
        <v>0</v>
      </c>
      <c r="AO635" s="1">
        <f t="shared" si="489"/>
        <v>0</v>
      </c>
      <c r="AP635" s="1">
        <f t="shared" si="489"/>
        <v>0</v>
      </c>
      <c r="AQ635" s="1">
        <f t="shared" si="489"/>
        <v>0</v>
      </c>
      <c r="AR635" s="1">
        <f t="shared" si="489"/>
        <v>0</v>
      </c>
      <c r="AS635" s="1">
        <f t="shared" si="489"/>
        <v>0</v>
      </c>
      <c r="AT635" s="39">
        <f t="shared" si="457"/>
        <v>353194.91305237752</v>
      </c>
      <c r="AU635" s="39">
        <f t="shared" si="475"/>
        <v>353194.91305237752</v>
      </c>
      <c r="AV635" s="39">
        <f t="shared" si="485"/>
        <v>0</v>
      </c>
      <c r="AW635" s="3">
        <f t="shared" si="458"/>
        <v>561</v>
      </c>
      <c r="AX635" s="69">
        <f t="shared" si="476"/>
        <v>0</v>
      </c>
      <c r="AY635" s="75">
        <f t="shared" si="459"/>
        <v>0</v>
      </c>
      <c r="AZ635" s="75">
        <f t="shared" si="460"/>
        <v>0</v>
      </c>
      <c r="BA635" s="75">
        <f t="shared" si="461"/>
        <v>0</v>
      </c>
      <c r="BB635" s="75">
        <f t="shared" si="462"/>
        <v>0</v>
      </c>
      <c r="BD635" s="214">
        <f t="shared" si="477"/>
        <v>596732.65602185298</v>
      </c>
      <c r="BE635" s="214">
        <f t="shared" si="463"/>
        <v>2904.6263771778295</v>
      </c>
      <c r="BF635" s="214">
        <f t="shared" si="464"/>
        <v>-987.40841174553555</v>
      </c>
      <c r="BG635" s="224">
        <f t="shared" si="481"/>
        <v>0</v>
      </c>
      <c r="BH635" s="19">
        <f t="shared" si="478"/>
        <v>1501747.1717156295</v>
      </c>
      <c r="BI635" s="214">
        <f t="shared" si="465"/>
        <v>7309.8302946867361</v>
      </c>
      <c r="BJ635" s="214">
        <f t="shared" si="466"/>
        <v>0</v>
      </c>
      <c r="BK635" s="19">
        <f t="shared" si="482"/>
        <v>0</v>
      </c>
    </row>
    <row r="636" spans="1:63">
      <c r="A636" s="165">
        <f t="shared" si="467"/>
        <v>108.8061259411362</v>
      </c>
      <c r="B636" s="69">
        <f t="shared" si="468"/>
        <v>47</v>
      </c>
      <c r="C636" s="70">
        <f t="shared" si="469"/>
        <v>562</v>
      </c>
      <c r="D636" s="13">
        <f t="shared" si="438"/>
        <v>4.8675505653430484E-3</v>
      </c>
      <c r="E636" s="15">
        <f t="shared" si="439"/>
        <v>1</v>
      </c>
      <c r="F636" s="15">
        <f t="shared" si="470"/>
        <v>0</v>
      </c>
      <c r="G636" s="15">
        <f t="shared" si="440"/>
        <v>0</v>
      </c>
      <c r="H636" s="73">
        <f t="shared" si="441"/>
        <v>0</v>
      </c>
      <c r="I636" s="189"/>
      <c r="J636" s="189"/>
      <c r="K636" s="5">
        <f t="shared" si="483"/>
        <v>353194.91305237752</v>
      </c>
      <c r="M636" s="5">
        <f t="shared" si="442"/>
        <v>1719.194098704389</v>
      </c>
      <c r="N636" s="5">
        <f t="shared" si="443"/>
        <v>-584.42859564380717</v>
      </c>
      <c r="O636" s="5">
        <f t="shared" si="444"/>
        <v>0</v>
      </c>
      <c r="P636" s="5">
        <f t="shared" si="445"/>
        <v>0</v>
      </c>
      <c r="Q636" s="5">
        <f t="shared" si="479"/>
        <v>0</v>
      </c>
      <c r="R636" s="5">
        <f t="shared" si="471"/>
        <v>0</v>
      </c>
      <c r="S636" s="5">
        <f t="shared" si="446"/>
        <v>0</v>
      </c>
      <c r="T636" s="5">
        <f t="shared" si="447"/>
        <v>0</v>
      </c>
      <c r="U636" s="74">
        <f t="shared" si="448"/>
        <v>0</v>
      </c>
      <c r="V636" s="75">
        <f t="shared" si="449"/>
        <v>0</v>
      </c>
      <c r="W636" s="5">
        <f t="shared" si="450"/>
        <v>0</v>
      </c>
      <c r="X636" s="5">
        <f t="shared" si="451"/>
        <v>354329.67855543812</v>
      </c>
      <c r="Y636" s="5">
        <f t="shared" si="472"/>
        <v>100000</v>
      </c>
      <c r="Z636" s="215">
        <f t="shared" si="452"/>
        <v>1</v>
      </c>
      <c r="AA636" s="216">
        <f t="shared" si="473"/>
        <v>0</v>
      </c>
      <c r="AB636" s="72">
        <f t="shared" si="480"/>
        <v>105651.83946229343</v>
      </c>
      <c r="AC636" s="72">
        <f t="shared" si="453"/>
        <v>0</v>
      </c>
      <c r="AD636" s="72">
        <f t="shared" si="454"/>
        <v>0</v>
      </c>
      <c r="AE636" s="72">
        <f t="shared" si="474"/>
        <v>-73.78506188653607</v>
      </c>
      <c r="AF636" s="70">
        <f t="shared" si="455"/>
        <v>0</v>
      </c>
      <c r="AG636" s="70">
        <f t="shared" si="456"/>
        <v>31141.137384444562</v>
      </c>
      <c r="AH636" s="1">
        <f t="shared" si="489"/>
        <v>0</v>
      </c>
      <c r="AI636" s="1">
        <f t="shared" si="489"/>
        <v>0</v>
      </c>
      <c r="AJ636" s="1">
        <f t="shared" si="489"/>
        <v>0</v>
      </c>
      <c r="AK636" s="1">
        <f t="shared" si="489"/>
        <v>0</v>
      </c>
      <c r="AL636" s="1">
        <f t="shared" si="489"/>
        <v>0</v>
      </c>
      <c r="AM636" s="1">
        <f t="shared" si="489"/>
        <v>0</v>
      </c>
      <c r="AN636" s="1">
        <f t="shared" si="489"/>
        <v>0</v>
      </c>
      <c r="AO636" s="1">
        <f t="shared" si="489"/>
        <v>0</v>
      </c>
      <c r="AP636" s="1">
        <f t="shared" si="489"/>
        <v>0</v>
      </c>
      <c r="AQ636" s="1">
        <f t="shared" si="489"/>
        <v>0</v>
      </c>
      <c r="AR636" s="1">
        <f t="shared" si="489"/>
        <v>0</v>
      </c>
      <c r="AS636" s="1">
        <f t="shared" si="489"/>
        <v>0</v>
      </c>
      <c r="AT636" s="39">
        <f t="shared" si="457"/>
        <v>354329.67855543812</v>
      </c>
      <c r="AU636" s="39">
        <f t="shared" si="475"/>
        <v>354329.67855543812</v>
      </c>
      <c r="AV636" s="39">
        <f t="shared" si="485"/>
        <v>0</v>
      </c>
      <c r="AW636" s="3">
        <f t="shared" si="458"/>
        <v>562</v>
      </c>
      <c r="AX636" s="69">
        <f t="shared" si="476"/>
        <v>0</v>
      </c>
      <c r="AY636" s="75">
        <f t="shared" si="459"/>
        <v>0</v>
      </c>
      <c r="AZ636" s="75">
        <f t="shared" si="460"/>
        <v>0</v>
      </c>
      <c r="BA636" s="75">
        <f t="shared" si="461"/>
        <v>0</v>
      </c>
      <c r="BB636" s="75">
        <f t="shared" si="462"/>
        <v>0</v>
      </c>
      <c r="BD636" s="214">
        <f t="shared" si="477"/>
        <v>598649.87398728519</v>
      </c>
      <c r="BE636" s="214">
        <f t="shared" si="463"/>
        <v>2913.9585325693547</v>
      </c>
      <c r="BF636" s="214">
        <f t="shared" si="464"/>
        <v>-990.58081588181619</v>
      </c>
      <c r="BG636" s="224">
        <f t="shared" si="481"/>
        <v>0</v>
      </c>
      <c r="BH636" s="19">
        <f t="shared" si="478"/>
        <v>1509057.0020103164</v>
      </c>
      <c r="BI636" s="214">
        <f t="shared" si="465"/>
        <v>7345.4112632702008</v>
      </c>
      <c r="BJ636" s="214">
        <f t="shared" si="466"/>
        <v>0</v>
      </c>
      <c r="BK636" s="19">
        <f t="shared" si="482"/>
        <v>0</v>
      </c>
    </row>
    <row r="637" spans="1:63">
      <c r="A637" s="165">
        <f t="shared" si="467"/>
        <v>108.88945927446954</v>
      </c>
      <c r="B637" s="69">
        <f t="shared" si="468"/>
        <v>47</v>
      </c>
      <c r="C637" s="70">
        <f t="shared" si="469"/>
        <v>563</v>
      </c>
      <c r="D637" s="13">
        <f t="shared" si="438"/>
        <v>4.8675505653430484E-3</v>
      </c>
      <c r="E637" s="15">
        <f t="shared" si="439"/>
        <v>1</v>
      </c>
      <c r="F637" s="15">
        <f t="shared" si="470"/>
        <v>0</v>
      </c>
      <c r="G637" s="15">
        <f t="shared" si="440"/>
        <v>0</v>
      </c>
      <c r="H637" s="73">
        <f t="shared" si="441"/>
        <v>0</v>
      </c>
      <c r="I637" s="189"/>
      <c r="J637" s="189"/>
      <c r="K637" s="5">
        <f t="shared" si="483"/>
        <v>354329.67855543812</v>
      </c>
      <c r="M637" s="5">
        <f t="shared" si="442"/>
        <v>1724.7176271703433</v>
      </c>
      <c r="N637" s="5">
        <f t="shared" si="443"/>
        <v>-586.30628239644852</v>
      </c>
      <c r="O637" s="5">
        <f t="shared" si="444"/>
        <v>0</v>
      </c>
      <c r="P637" s="5">
        <f t="shared" si="445"/>
        <v>0</v>
      </c>
      <c r="Q637" s="5">
        <f t="shared" si="479"/>
        <v>0</v>
      </c>
      <c r="R637" s="5">
        <f t="shared" si="471"/>
        <v>0</v>
      </c>
      <c r="S637" s="5">
        <f t="shared" si="446"/>
        <v>0</v>
      </c>
      <c r="T637" s="5">
        <f t="shared" si="447"/>
        <v>0</v>
      </c>
      <c r="U637" s="74">
        <f t="shared" si="448"/>
        <v>0</v>
      </c>
      <c r="V637" s="75">
        <f t="shared" si="449"/>
        <v>0</v>
      </c>
      <c r="W637" s="5">
        <f t="shared" si="450"/>
        <v>0</v>
      </c>
      <c r="X637" s="5">
        <f t="shared" si="451"/>
        <v>355468.08990021201</v>
      </c>
      <c r="Y637" s="5">
        <f t="shared" si="472"/>
        <v>100000</v>
      </c>
      <c r="Z637" s="215">
        <f t="shared" si="452"/>
        <v>1</v>
      </c>
      <c r="AA637" s="216">
        <f t="shared" si="473"/>
        <v>0</v>
      </c>
      <c r="AB637" s="72">
        <f t="shared" si="480"/>
        <v>105651.83946229343</v>
      </c>
      <c r="AC637" s="72">
        <f t="shared" si="453"/>
        <v>0</v>
      </c>
      <c r="AD637" s="72">
        <f t="shared" si="454"/>
        <v>0</v>
      </c>
      <c r="AE637" s="72">
        <f t="shared" si="474"/>
        <v>-74.022122896691727</v>
      </c>
      <c r="AF637" s="70">
        <f t="shared" si="455"/>
        <v>0</v>
      </c>
      <c r="AG637" s="70">
        <f t="shared" si="456"/>
        <v>31573.73369545865</v>
      </c>
      <c r="AH637" s="1">
        <f t="shared" si="489"/>
        <v>0</v>
      </c>
      <c r="AI637" s="1">
        <f t="shared" si="489"/>
        <v>0</v>
      </c>
      <c r="AJ637" s="1">
        <f t="shared" si="489"/>
        <v>0</v>
      </c>
      <c r="AK637" s="1">
        <f t="shared" si="489"/>
        <v>0</v>
      </c>
      <c r="AL637" s="1">
        <f t="shared" si="489"/>
        <v>0</v>
      </c>
      <c r="AM637" s="1">
        <f t="shared" si="489"/>
        <v>0</v>
      </c>
      <c r="AN637" s="1">
        <f t="shared" si="489"/>
        <v>0</v>
      </c>
      <c r="AO637" s="1">
        <f t="shared" si="489"/>
        <v>0</v>
      </c>
      <c r="AP637" s="1">
        <f t="shared" si="489"/>
        <v>0</v>
      </c>
      <c r="AQ637" s="1">
        <f t="shared" si="489"/>
        <v>0</v>
      </c>
      <c r="AR637" s="1">
        <f t="shared" si="489"/>
        <v>0</v>
      </c>
      <c r="AS637" s="1">
        <f t="shared" si="489"/>
        <v>0</v>
      </c>
      <c r="AT637" s="39">
        <f t="shared" si="457"/>
        <v>355468.08990021201</v>
      </c>
      <c r="AU637" s="39">
        <f t="shared" si="475"/>
        <v>355468.08990021201</v>
      </c>
      <c r="AV637" s="39">
        <f t="shared" si="485"/>
        <v>0</v>
      </c>
      <c r="AW637" s="3">
        <f t="shared" si="458"/>
        <v>563</v>
      </c>
      <c r="AX637" s="69">
        <f t="shared" si="476"/>
        <v>0</v>
      </c>
      <c r="AY637" s="75">
        <f t="shared" si="459"/>
        <v>0</v>
      </c>
      <c r="AZ637" s="75">
        <f t="shared" si="460"/>
        <v>0</v>
      </c>
      <c r="BA637" s="75">
        <f t="shared" si="461"/>
        <v>0</v>
      </c>
      <c r="BB637" s="75">
        <f t="shared" si="462"/>
        <v>0</v>
      </c>
      <c r="BD637" s="214">
        <f t="shared" si="477"/>
        <v>600573.2517039727</v>
      </c>
      <c r="BE637" s="214">
        <f t="shared" si="463"/>
        <v>2923.3206708615853</v>
      </c>
      <c r="BF637" s="214">
        <f t="shared" si="464"/>
        <v>-993.76341250570783</v>
      </c>
      <c r="BG637" s="224">
        <f t="shared" si="481"/>
        <v>0</v>
      </c>
      <c r="BH637" s="19">
        <f t="shared" si="478"/>
        <v>1516402.4132735867</v>
      </c>
      <c r="BI637" s="214">
        <f t="shared" si="465"/>
        <v>7381.1654240174094</v>
      </c>
      <c r="BJ637" s="214">
        <f t="shared" si="466"/>
        <v>0</v>
      </c>
      <c r="BK637" s="19">
        <f t="shared" si="482"/>
        <v>0</v>
      </c>
    </row>
    <row r="638" spans="1:63">
      <c r="A638" s="165">
        <f t="shared" si="467"/>
        <v>108.97279260780287</v>
      </c>
      <c r="B638" s="69">
        <f t="shared" si="468"/>
        <v>47</v>
      </c>
      <c r="C638" s="70">
        <f t="shared" si="469"/>
        <v>564</v>
      </c>
      <c r="D638" s="13">
        <f t="shared" si="438"/>
        <v>4.8675505653430484E-3</v>
      </c>
      <c r="E638" s="15">
        <f t="shared" si="439"/>
        <v>1</v>
      </c>
      <c r="F638" s="15">
        <f t="shared" si="470"/>
        <v>0</v>
      </c>
      <c r="G638" s="15">
        <f t="shared" si="440"/>
        <v>0</v>
      </c>
      <c r="H638" s="73">
        <f t="shared" si="441"/>
        <v>0</v>
      </c>
      <c r="I638" s="189"/>
      <c r="J638" s="189"/>
      <c r="K638" s="5">
        <f t="shared" si="483"/>
        <v>355468.08990021201</v>
      </c>
      <c r="M638" s="5">
        <f t="shared" si="442"/>
        <v>1730.2589019551906</v>
      </c>
      <c r="N638" s="5">
        <f t="shared" si="443"/>
        <v>-588.19000189212682</v>
      </c>
      <c r="O638" s="5">
        <f t="shared" si="444"/>
        <v>0</v>
      </c>
      <c r="P638" s="5">
        <f t="shared" si="445"/>
        <v>0</v>
      </c>
      <c r="Q638" s="5">
        <f t="shared" si="479"/>
        <v>0</v>
      </c>
      <c r="R638" s="5">
        <f t="shared" si="471"/>
        <v>0</v>
      </c>
      <c r="S638" s="5">
        <f t="shared" si="446"/>
        <v>0</v>
      </c>
      <c r="T638" s="5">
        <f t="shared" si="447"/>
        <v>0</v>
      </c>
      <c r="U638" s="74">
        <f t="shared" si="448"/>
        <v>0</v>
      </c>
      <c r="V638" s="75">
        <f t="shared" si="449"/>
        <v>0</v>
      </c>
      <c r="W638" s="5">
        <f t="shared" si="450"/>
        <v>0</v>
      </c>
      <c r="X638" s="5">
        <f t="shared" si="451"/>
        <v>356610.15880027512</v>
      </c>
      <c r="Y638" s="5">
        <f t="shared" si="472"/>
        <v>100000</v>
      </c>
      <c r="Z638" s="215">
        <f t="shared" si="452"/>
        <v>1</v>
      </c>
      <c r="AA638" s="216">
        <f t="shared" si="473"/>
        <v>0</v>
      </c>
      <c r="AB638" s="72">
        <f t="shared" si="480"/>
        <v>105651.83946229343</v>
      </c>
      <c r="AC638" s="72">
        <f t="shared" si="453"/>
        <v>0</v>
      </c>
      <c r="AD638" s="72">
        <f t="shared" si="454"/>
        <v>0</v>
      </c>
      <c r="AE638" s="72">
        <f t="shared" si="474"/>
        <v>-74.259945550479543</v>
      </c>
      <c r="AF638" s="70">
        <f t="shared" si="455"/>
        <v>0</v>
      </c>
      <c r="AG638" s="70">
        <f t="shared" si="456"/>
        <v>32007.719877482625</v>
      </c>
      <c r="AH638" s="1">
        <f t="shared" si="489"/>
        <v>0</v>
      </c>
      <c r="AI638" s="1">
        <f t="shared" si="489"/>
        <v>0</v>
      </c>
      <c r="AJ638" s="1">
        <f t="shared" si="489"/>
        <v>0</v>
      </c>
      <c r="AK638" s="1">
        <f t="shared" si="489"/>
        <v>0</v>
      </c>
      <c r="AL638" s="1">
        <f t="shared" si="489"/>
        <v>0</v>
      </c>
      <c r="AM638" s="1">
        <f t="shared" si="489"/>
        <v>0</v>
      </c>
      <c r="AN638" s="1">
        <f t="shared" si="489"/>
        <v>0</v>
      </c>
      <c r="AO638" s="1">
        <f t="shared" si="489"/>
        <v>0</v>
      </c>
      <c r="AP638" s="1">
        <f t="shared" si="489"/>
        <v>0</v>
      </c>
      <c r="AQ638" s="1">
        <f t="shared" si="489"/>
        <v>0</v>
      </c>
      <c r="AR638" s="1">
        <f t="shared" si="489"/>
        <v>0</v>
      </c>
      <c r="AS638" s="1">
        <f t="shared" si="489"/>
        <v>0</v>
      </c>
      <c r="AT638" s="39">
        <f t="shared" si="457"/>
        <v>356610.15880027512</v>
      </c>
      <c r="AU638" s="39">
        <f t="shared" si="475"/>
        <v>356610.15880027512</v>
      </c>
      <c r="AV638" s="39">
        <f t="shared" si="485"/>
        <v>0</v>
      </c>
      <c r="AW638" s="3">
        <f t="shared" si="458"/>
        <v>564</v>
      </c>
      <c r="AX638" s="69">
        <f t="shared" si="476"/>
        <v>0</v>
      </c>
      <c r="AY638" s="75">
        <f t="shared" si="459"/>
        <v>0</v>
      </c>
      <c r="AZ638" s="75">
        <f t="shared" si="460"/>
        <v>0</v>
      </c>
      <c r="BA638" s="75">
        <f t="shared" si="461"/>
        <v>0</v>
      </c>
      <c r="BB638" s="75">
        <f t="shared" si="462"/>
        <v>0</v>
      </c>
      <c r="BD638" s="214">
        <f t="shared" si="477"/>
        <v>602502.80896232859</v>
      </c>
      <c r="BE638" s="214">
        <f t="shared" si="463"/>
        <v>2932.712888385357</v>
      </c>
      <c r="BF638" s="214">
        <f t="shared" si="464"/>
        <v>-996.95623436423796</v>
      </c>
      <c r="BG638" s="224">
        <f t="shared" si="481"/>
        <v>0</v>
      </c>
      <c r="BH638" s="19">
        <f t="shared" si="478"/>
        <v>1523783.5786976041</v>
      </c>
      <c r="BI638" s="214">
        <f t="shared" si="465"/>
        <v>7417.0936199499765</v>
      </c>
      <c r="BJ638" s="214">
        <f t="shared" si="466"/>
        <v>0</v>
      </c>
      <c r="BK638" s="19">
        <f t="shared" si="482"/>
        <v>0</v>
      </c>
    </row>
    <row r="639" spans="1:63">
      <c r="A639" s="165">
        <f t="shared" si="467"/>
        <v>109.0561259411362</v>
      </c>
      <c r="B639" s="69">
        <f t="shared" si="468"/>
        <v>48</v>
      </c>
      <c r="C639" s="70">
        <f t="shared" si="469"/>
        <v>565</v>
      </c>
      <c r="D639" s="13">
        <f t="shared" si="438"/>
        <v>4.8675505653430484E-3</v>
      </c>
      <c r="E639" s="15">
        <f t="shared" si="439"/>
        <v>1</v>
      </c>
      <c r="F639" s="15">
        <f t="shared" si="470"/>
        <v>0</v>
      </c>
      <c r="G639" s="15">
        <f t="shared" si="440"/>
        <v>0</v>
      </c>
      <c r="H639" s="73">
        <f t="shared" si="441"/>
        <v>0</v>
      </c>
      <c r="I639" s="189"/>
      <c r="J639" s="189"/>
      <c r="K639" s="5">
        <f t="shared" si="483"/>
        <v>356610.15880027512</v>
      </c>
      <c r="M639" s="5">
        <f t="shared" si="442"/>
        <v>1735.8179800753535</v>
      </c>
      <c r="N639" s="5">
        <f t="shared" si="443"/>
        <v>-590.07977351319596</v>
      </c>
      <c r="O639" s="5">
        <f t="shared" si="444"/>
        <v>0</v>
      </c>
      <c r="P639" s="5">
        <f t="shared" si="445"/>
        <v>0</v>
      </c>
      <c r="Q639" s="5">
        <f t="shared" si="479"/>
        <v>0</v>
      </c>
      <c r="R639" s="5">
        <f t="shared" si="471"/>
        <v>0</v>
      </c>
      <c r="S639" s="5">
        <f t="shared" si="446"/>
        <v>0</v>
      </c>
      <c r="T639" s="5">
        <f t="shared" si="447"/>
        <v>0</v>
      </c>
      <c r="U639" s="74">
        <f t="shared" si="448"/>
        <v>0</v>
      </c>
      <c r="V639" s="75">
        <f t="shared" si="449"/>
        <v>0</v>
      </c>
      <c r="W639" s="5">
        <f t="shared" si="450"/>
        <v>0</v>
      </c>
      <c r="X639" s="5">
        <f t="shared" si="451"/>
        <v>357755.8970068373</v>
      </c>
      <c r="Y639" s="5">
        <f t="shared" si="472"/>
        <v>100000</v>
      </c>
      <c r="Z639" s="215">
        <f t="shared" si="452"/>
        <v>1</v>
      </c>
      <c r="AA639" s="216">
        <f t="shared" si="473"/>
        <v>0</v>
      </c>
      <c r="AB639" s="72">
        <f t="shared" si="480"/>
        <v>105651.83946229343</v>
      </c>
      <c r="AC639" s="72">
        <f t="shared" si="453"/>
        <v>0</v>
      </c>
      <c r="AD639" s="72">
        <f t="shared" si="454"/>
        <v>0</v>
      </c>
      <c r="AE639" s="72">
        <f t="shared" si="474"/>
        <v>-74.498532294953264</v>
      </c>
      <c r="AF639" s="70">
        <f t="shared" si="455"/>
        <v>0</v>
      </c>
      <c r="AG639" s="70">
        <f t="shared" si="456"/>
        <v>32443.100395976246</v>
      </c>
      <c r="AH639" s="1">
        <f t="shared" si="489"/>
        <v>0</v>
      </c>
      <c r="AI639" s="1">
        <f t="shared" si="489"/>
        <v>0</v>
      </c>
      <c r="AJ639" s="1">
        <f t="shared" si="489"/>
        <v>0</v>
      </c>
      <c r="AK639" s="1">
        <f t="shared" si="489"/>
        <v>0</v>
      </c>
      <c r="AL639" s="1">
        <f t="shared" si="489"/>
        <v>0</v>
      </c>
      <c r="AM639" s="1">
        <f t="shared" si="489"/>
        <v>0</v>
      </c>
      <c r="AN639" s="1">
        <f t="shared" si="489"/>
        <v>0</v>
      </c>
      <c r="AO639" s="1">
        <f t="shared" si="489"/>
        <v>0</v>
      </c>
      <c r="AP639" s="1">
        <f t="shared" si="489"/>
        <v>0</v>
      </c>
      <c r="AQ639" s="1">
        <f t="shared" si="489"/>
        <v>0</v>
      </c>
      <c r="AR639" s="1">
        <f t="shared" si="489"/>
        <v>0</v>
      </c>
      <c r="AS639" s="1">
        <f t="shared" si="489"/>
        <v>0</v>
      </c>
      <c r="AT639" s="39">
        <f t="shared" si="457"/>
        <v>357755.8970068373</v>
      </c>
      <c r="AU639" s="39">
        <f t="shared" si="475"/>
        <v>357755.8970068373</v>
      </c>
      <c r="AV639" s="39">
        <f t="shared" si="485"/>
        <v>0</v>
      </c>
      <c r="AW639" s="3">
        <f t="shared" si="458"/>
        <v>565</v>
      </c>
      <c r="AX639" s="69">
        <f t="shared" si="476"/>
        <v>0</v>
      </c>
      <c r="AY639" s="75">
        <f t="shared" si="459"/>
        <v>0</v>
      </c>
      <c r="AZ639" s="75">
        <f t="shared" si="460"/>
        <v>0</v>
      </c>
      <c r="BA639" s="75">
        <f t="shared" si="461"/>
        <v>0</v>
      </c>
      <c r="BB639" s="75">
        <f t="shared" si="462"/>
        <v>0</v>
      </c>
      <c r="BD639" s="214">
        <f t="shared" si="477"/>
        <v>604438.56561634981</v>
      </c>
      <c r="BE639" s="214">
        <f t="shared" si="463"/>
        <v>2942.1352817810048</v>
      </c>
      <c r="BF639" s="214">
        <f t="shared" si="464"/>
        <v>-1000.1593143096447</v>
      </c>
      <c r="BG639" s="224">
        <f t="shared" si="481"/>
        <v>0</v>
      </c>
      <c r="BH639" s="19">
        <f t="shared" si="478"/>
        <v>1531200.672317554</v>
      </c>
      <c r="BI639" s="214">
        <f t="shared" si="465"/>
        <v>7453.1966981929654</v>
      </c>
      <c r="BJ639" s="214">
        <f t="shared" si="466"/>
        <v>0</v>
      </c>
      <c r="BK639" s="19">
        <f t="shared" si="482"/>
        <v>0</v>
      </c>
    </row>
    <row r="640" spans="1:63">
      <c r="A640" s="165">
        <f t="shared" si="467"/>
        <v>109.13945927446954</v>
      </c>
      <c r="B640" s="69">
        <f t="shared" si="468"/>
        <v>48</v>
      </c>
      <c r="C640" s="70">
        <f t="shared" si="469"/>
        <v>566</v>
      </c>
      <c r="D640" s="13">
        <f t="shared" si="438"/>
        <v>4.8675505653430484E-3</v>
      </c>
      <c r="E640" s="15">
        <f t="shared" si="439"/>
        <v>1</v>
      </c>
      <c r="F640" s="15">
        <f t="shared" si="470"/>
        <v>0</v>
      </c>
      <c r="G640" s="15">
        <f t="shared" si="440"/>
        <v>0</v>
      </c>
      <c r="H640" s="73">
        <f t="shared" si="441"/>
        <v>0</v>
      </c>
      <c r="I640" s="189"/>
      <c r="J640" s="189"/>
      <c r="K640" s="5">
        <f t="shared" si="483"/>
        <v>357755.8970068373</v>
      </c>
      <c r="M640" s="5">
        <f t="shared" si="442"/>
        <v>1741.3949187304404</v>
      </c>
      <c r="N640" s="5">
        <f t="shared" si="443"/>
        <v>-591.97561670428206</v>
      </c>
      <c r="O640" s="5">
        <f t="shared" si="444"/>
        <v>0</v>
      </c>
      <c r="P640" s="5">
        <f t="shared" si="445"/>
        <v>0</v>
      </c>
      <c r="Q640" s="5">
        <f t="shared" si="479"/>
        <v>0</v>
      </c>
      <c r="R640" s="5">
        <f t="shared" si="471"/>
        <v>0</v>
      </c>
      <c r="S640" s="5">
        <f t="shared" si="446"/>
        <v>0</v>
      </c>
      <c r="T640" s="5">
        <f t="shared" si="447"/>
        <v>0</v>
      </c>
      <c r="U640" s="74">
        <f t="shared" si="448"/>
        <v>0</v>
      </c>
      <c r="V640" s="75">
        <f t="shared" si="449"/>
        <v>0</v>
      </c>
      <c r="W640" s="5">
        <f t="shared" si="450"/>
        <v>0</v>
      </c>
      <c r="X640" s="5">
        <f t="shared" si="451"/>
        <v>358905.31630886346</v>
      </c>
      <c r="Y640" s="5">
        <f t="shared" si="472"/>
        <v>100000</v>
      </c>
      <c r="Z640" s="215">
        <f t="shared" si="452"/>
        <v>1</v>
      </c>
      <c r="AA640" s="216">
        <f t="shared" si="473"/>
        <v>0</v>
      </c>
      <c r="AB640" s="72">
        <f t="shared" si="480"/>
        <v>105651.83946229343</v>
      </c>
      <c r="AC640" s="72">
        <f t="shared" si="453"/>
        <v>0</v>
      </c>
      <c r="AD640" s="72">
        <f t="shared" si="454"/>
        <v>0</v>
      </c>
      <c r="AE640" s="72">
        <f t="shared" si="474"/>
        <v>-74.737885585028607</v>
      </c>
      <c r="AF640" s="70">
        <f t="shared" si="455"/>
        <v>0</v>
      </c>
      <c r="AG640" s="70">
        <f t="shared" si="456"/>
        <v>32879.879730746179</v>
      </c>
      <c r="AH640" s="1">
        <f t="shared" si="489"/>
        <v>0</v>
      </c>
      <c r="AI640" s="1">
        <f t="shared" si="489"/>
        <v>0</v>
      </c>
      <c r="AJ640" s="1">
        <f t="shared" si="489"/>
        <v>0</v>
      </c>
      <c r="AK640" s="1">
        <f t="shared" si="489"/>
        <v>0</v>
      </c>
      <c r="AL640" s="1">
        <f t="shared" si="489"/>
        <v>0</v>
      </c>
      <c r="AM640" s="1">
        <f t="shared" si="489"/>
        <v>0</v>
      </c>
      <c r="AN640" s="1">
        <f t="shared" si="489"/>
        <v>0</v>
      </c>
      <c r="AO640" s="1">
        <f t="shared" si="489"/>
        <v>0</v>
      </c>
      <c r="AP640" s="1">
        <f t="shared" si="489"/>
        <v>0</v>
      </c>
      <c r="AQ640" s="1">
        <f t="shared" si="489"/>
        <v>0</v>
      </c>
      <c r="AR640" s="1">
        <f t="shared" si="489"/>
        <v>0</v>
      </c>
      <c r="AS640" s="1">
        <f t="shared" si="489"/>
        <v>0</v>
      </c>
      <c r="AT640" s="39">
        <f t="shared" si="457"/>
        <v>358905.31630886346</v>
      </c>
      <c r="AU640" s="39">
        <f t="shared" si="475"/>
        <v>358905.31630886346</v>
      </c>
      <c r="AV640" s="39">
        <f t="shared" si="485"/>
        <v>0</v>
      </c>
      <c r="AW640" s="3">
        <f t="shared" si="458"/>
        <v>566</v>
      </c>
      <c r="AX640" s="69">
        <f t="shared" si="476"/>
        <v>0</v>
      </c>
      <c r="AY640" s="75">
        <f t="shared" si="459"/>
        <v>0</v>
      </c>
      <c r="AZ640" s="75">
        <f t="shared" si="460"/>
        <v>0</v>
      </c>
      <c r="BA640" s="75">
        <f t="shared" si="461"/>
        <v>0</v>
      </c>
      <c r="BB640" s="75">
        <f t="shared" si="462"/>
        <v>0</v>
      </c>
      <c r="BD640" s="214">
        <f t="shared" si="477"/>
        <v>606380.54158382118</v>
      </c>
      <c r="BE640" s="214">
        <f t="shared" si="463"/>
        <v>2951.5879479993528</v>
      </c>
      <c r="BF640" s="214">
        <f t="shared" si="464"/>
        <v>-1003.3726852997162</v>
      </c>
      <c r="BG640" s="224">
        <f t="shared" si="481"/>
        <v>0</v>
      </c>
      <c r="BH640" s="19">
        <f t="shared" si="478"/>
        <v>1538653.869015747</v>
      </c>
      <c r="BI640" s="214">
        <f t="shared" si="465"/>
        <v>7489.4755099948679</v>
      </c>
      <c r="BJ640" s="214">
        <f t="shared" si="466"/>
        <v>0</v>
      </c>
      <c r="BK640" s="19">
        <f t="shared" si="482"/>
        <v>0</v>
      </c>
    </row>
    <row r="641" spans="1:63">
      <c r="A641" s="165">
        <f t="shared" si="467"/>
        <v>109.22279260780287</v>
      </c>
      <c r="B641" s="69">
        <f t="shared" si="468"/>
        <v>48</v>
      </c>
      <c r="C641" s="70">
        <f t="shared" si="469"/>
        <v>567</v>
      </c>
      <c r="D641" s="13">
        <f t="shared" si="438"/>
        <v>4.8675505653430484E-3</v>
      </c>
      <c r="E641" s="15">
        <f t="shared" si="439"/>
        <v>1</v>
      </c>
      <c r="F641" s="15">
        <f t="shared" si="470"/>
        <v>0</v>
      </c>
      <c r="G641" s="15">
        <f t="shared" si="440"/>
        <v>0</v>
      </c>
      <c r="H641" s="73">
        <f t="shared" si="441"/>
        <v>0</v>
      </c>
      <c r="I641" s="189"/>
      <c r="J641" s="189"/>
      <c r="K641" s="5">
        <f t="shared" si="483"/>
        <v>358905.31630886346</v>
      </c>
      <c r="M641" s="5">
        <f t="shared" si="442"/>
        <v>1746.989775303834</v>
      </c>
      <c r="N641" s="5">
        <f t="shared" si="443"/>
        <v>-593.8775509724843</v>
      </c>
      <c r="O641" s="5">
        <f t="shared" si="444"/>
        <v>0</v>
      </c>
      <c r="P641" s="5">
        <f t="shared" si="445"/>
        <v>0</v>
      </c>
      <c r="Q641" s="5">
        <f t="shared" si="479"/>
        <v>0</v>
      </c>
      <c r="R641" s="5">
        <f t="shared" si="471"/>
        <v>0</v>
      </c>
      <c r="S641" s="5">
        <f t="shared" si="446"/>
        <v>0</v>
      </c>
      <c r="T641" s="5">
        <f t="shared" si="447"/>
        <v>0</v>
      </c>
      <c r="U641" s="74">
        <f t="shared" si="448"/>
        <v>0</v>
      </c>
      <c r="V641" s="75">
        <f t="shared" si="449"/>
        <v>0</v>
      </c>
      <c r="W641" s="5">
        <f t="shared" si="450"/>
        <v>0</v>
      </c>
      <c r="X641" s="5">
        <f t="shared" si="451"/>
        <v>360058.42853319476</v>
      </c>
      <c r="Y641" s="5">
        <f t="shared" si="472"/>
        <v>100000</v>
      </c>
      <c r="Z641" s="215">
        <f t="shared" si="452"/>
        <v>1</v>
      </c>
      <c r="AA641" s="216">
        <f t="shared" si="473"/>
        <v>0</v>
      </c>
      <c r="AB641" s="72">
        <f t="shared" si="480"/>
        <v>105651.83946229343</v>
      </c>
      <c r="AC641" s="72">
        <f t="shared" si="453"/>
        <v>0</v>
      </c>
      <c r="AD641" s="72">
        <f t="shared" si="454"/>
        <v>0</v>
      </c>
      <c r="AE641" s="72">
        <f t="shared" si="474"/>
        <v>-74.978007883508596</v>
      </c>
      <c r="AF641" s="70">
        <f t="shared" si="455"/>
        <v>0</v>
      </c>
      <c r="AG641" s="70">
        <f t="shared" si="456"/>
        <v>33318.062375992071</v>
      </c>
      <c r="AH641" s="1">
        <f t="shared" si="489"/>
        <v>0</v>
      </c>
      <c r="AI641" s="1">
        <f t="shared" si="489"/>
        <v>0</v>
      </c>
      <c r="AJ641" s="1">
        <f t="shared" si="489"/>
        <v>0</v>
      </c>
      <c r="AK641" s="1">
        <f t="shared" si="489"/>
        <v>0</v>
      </c>
      <c r="AL641" s="1">
        <f t="shared" si="489"/>
        <v>0</v>
      </c>
      <c r="AM641" s="1">
        <f t="shared" si="489"/>
        <v>0</v>
      </c>
      <c r="AN641" s="1">
        <f t="shared" si="489"/>
        <v>0</v>
      </c>
      <c r="AO641" s="1">
        <f t="shared" si="489"/>
        <v>0</v>
      </c>
      <c r="AP641" s="1">
        <f t="shared" si="489"/>
        <v>0</v>
      </c>
      <c r="AQ641" s="1">
        <f t="shared" si="489"/>
        <v>0</v>
      </c>
      <c r="AR641" s="1">
        <f t="shared" si="489"/>
        <v>0</v>
      </c>
      <c r="AS641" s="1">
        <f t="shared" si="489"/>
        <v>0</v>
      </c>
      <c r="AT641" s="39">
        <f t="shared" si="457"/>
        <v>360058.42853319476</v>
      </c>
      <c r="AU641" s="39">
        <f t="shared" si="475"/>
        <v>360058.42853319476</v>
      </c>
      <c r="AV641" s="39">
        <f t="shared" si="485"/>
        <v>0</v>
      </c>
      <c r="AW641" s="3">
        <f t="shared" si="458"/>
        <v>567</v>
      </c>
      <c r="AX641" s="69">
        <f t="shared" si="476"/>
        <v>0</v>
      </c>
      <c r="AY641" s="75">
        <f t="shared" si="459"/>
        <v>0</v>
      </c>
      <c r="AZ641" s="75">
        <f t="shared" si="460"/>
        <v>0</v>
      </c>
      <c r="BA641" s="75">
        <f t="shared" si="461"/>
        <v>0</v>
      </c>
      <c r="BB641" s="75">
        <f t="shared" si="462"/>
        <v>0</v>
      </c>
      <c r="BD641" s="214">
        <f t="shared" si="477"/>
        <v>608328.75684652082</v>
      </c>
      <c r="BE641" s="214">
        <f t="shared" si="463"/>
        <v>2961.0709843027162</v>
      </c>
      <c r="BF641" s="214">
        <f t="shared" si="464"/>
        <v>-1006.5963803981293</v>
      </c>
      <c r="BG641" s="224">
        <f t="shared" si="481"/>
        <v>0</v>
      </c>
      <c r="BH641" s="19">
        <f t="shared" si="478"/>
        <v>1546143.3445257419</v>
      </c>
      <c r="BI641" s="214">
        <f t="shared" si="465"/>
        <v>7525.9309107476665</v>
      </c>
      <c r="BJ641" s="214">
        <f t="shared" si="466"/>
        <v>0</v>
      </c>
      <c r="BK641" s="19">
        <f t="shared" si="482"/>
        <v>0</v>
      </c>
    </row>
    <row r="642" spans="1:63">
      <c r="A642" s="165">
        <f t="shared" si="467"/>
        <v>109.3061259411362</v>
      </c>
      <c r="B642" s="69">
        <f t="shared" si="468"/>
        <v>48</v>
      </c>
      <c r="C642" s="70">
        <f t="shared" si="469"/>
        <v>568</v>
      </c>
      <c r="D642" s="13">
        <f t="shared" si="438"/>
        <v>4.8675505653430484E-3</v>
      </c>
      <c r="E642" s="15">
        <f t="shared" si="439"/>
        <v>1</v>
      </c>
      <c r="F642" s="15">
        <f t="shared" si="470"/>
        <v>0</v>
      </c>
      <c r="G642" s="15">
        <f t="shared" si="440"/>
        <v>0</v>
      </c>
      <c r="H642" s="73">
        <f t="shared" si="441"/>
        <v>0</v>
      </c>
      <c r="I642" s="189"/>
      <c r="J642" s="189"/>
      <c r="K642" s="5">
        <f t="shared" si="483"/>
        <v>360058.42853319476</v>
      </c>
      <c r="M642" s="5">
        <f t="shared" si="442"/>
        <v>1752.6026073632818</v>
      </c>
      <c r="N642" s="5">
        <f t="shared" si="443"/>
        <v>-595.78559588757537</v>
      </c>
      <c r="O642" s="5">
        <f t="shared" si="444"/>
        <v>0</v>
      </c>
      <c r="P642" s="5">
        <f t="shared" si="445"/>
        <v>0</v>
      </c>
      <c r="Q642" s="5">
        <f t="shared" si="479"/>
        <v>0</v>
      </c>
      <c r="R642" s="5">
        <f t="shared" si="471"/>
        <v>0</v>
      </c>
      <c r="S642" s="5">
        <f t="shared" si="446"/>
        <v>0</v>
      </c>
      <c r="T642" s="5">
        <f t="shared" si="447"/>
        <v>0</v>
      </c>
      <c r="U642" s="74">
        <f t="shared" si="448"/>
        <v>0</v>
      </c>
      <c r="V642" s="75">
        <f t="shared" si="449"/>
        <v>0</v>
      </c>
      <c r="W642" s="5">
        <f t="shared" si="450"/>
        <v>0</v>
      </c>
      <c r="X642" s="5">
        <f t="shared" si="451"/>
        <v>361215.24554467044</v>
      </c>
      <c r="Y642" s="5">
        <f t="shared" si="472"/>
        <v>100000</v>
      </c>
      <c r="Z642" s="215">
        <f t="shared" si="452"/>
        <v>1</v>
      </c>
      <c r="AA642" s="216">
        <f t="shared" si="473"/>
        <v>0</v>
      </c>
      <c r="AB642" s="72">
        <f t="shared" si="480"/>
        <v>105651.83946229343</v>
      </c>
      <c r="AC642" s="72">
        <f t="shared" si="453"/>
        <v>0</v>
      </c>
      <c r="AD642" s="72">
        <f t="shared" si="454"/>
        <v>0</v>
      </c>
      <c r="AE642" s="72">
        <f t="shared" si="474"/>
        <v>-75.218901661108916</v>
      </c>
      <c r="AF642" s="70">
        <f t="shared" si="455"/>
        <v>0</v>
      </c>
      <c r="AG642" s="70">
        <f t="shared" si="456"/>
        <v>33757.65284035285</v>
      </c>
      <c r="AH642" s="1">
        <f t="shared" si="489"/>
        <v>0</v>
      </c>
      <c r="AI642" s="1">
        <f t="shared" si="489"/>
        <v>0</v>
      </c>
      <c r="AJ642" s="1">
        <f t="shared" si="489"/>
        <v>0</v>
      </c>
      <c r="AK642" s="1">
        <f t="shared" si="489"/>
        <v>0</v>
      </c>
      <c r="AL642" s="1">
        <f t="shared" si="489"/>
        <v>0</v>
      </c>
      <c r="AM642" s="1">
        <f t="shared" si="489"/>
        <v>0</v>
      </c>
      <c r="AN642" s="1">
        <f t="shared" si="489"/>
        <v>0</v>
      </c>
      <c r="AO642" s="1">
        <f t="shared" si="489"/>
        <v>0</v>
      </c>
      <c r="AP642" s="1">
        <f t="shared" si="489"/>
        <v>0</v>
      </c>
      <c r="AQ642" s="1">
        <f t="shared" si="489"/>
        <v>0</v>
      </c>
      <c r="AR642" s="1">
        <f t="shared" si="489"/>
        <v>0</v>
      </c>
      <c r="AS642" s="1">
        <f t="shared" si="489"/>
        <v>0</v>
      </c>
      <c r="AT642" s="39">
        <f t="shared" si="457"/>
        <v>361215.24554467044</v>
      </c>
      <c r="AU642" s="39">
        <f t="shared" si="475"/>
        <v>361215.24554467044</v>
      </c>
      <c r="AV642" s="39">
        <f t="shared" si="485"/>
        <v>0</v>
      </c>
      <c r="AW642" s="3">
        <f t="shared" si="458"/>
        <v>568</v>
      </c>
      <c r="AX642" s="69">
        <f t="shared" si="476"/>
        <v>0</v>
      </c>
      <c r="AY642" s="75">
        <f t="shared" si="459"/>
        <v>0</v>
      </c>
      <c r="AZ642" s="75">
        <f t="shared" si="460"/>
        <v>0</v>
      </c>
      <c r="BA642" s="75">
        <f t="shared" si="461"/>
        <v>0</v>
      </c>
      <c r="BB642" s="75">
        <f t="shared" si="462"/>
        <v>0</v>
      </c>
      <c r="BD642" s="214">
        <f t="shared" si="477"/>
        <v>610283.23145042534</v>
      </c>
      <c r="BE642" s="214">
        <f t="shared" si="463"/>
        <v>2970.5844882659003</v>
      </c>
      <c r="BF642" s="214">
        <f t="shared" si="464"/>
        <v>-1009.8304327747898</v>
      </c>
      <c r="BG642" s="224">
        <f t="shared" si="481"/>
        <v>0</v>
      </c>
      <c r="BH642" s="19">
        <f t="shared" si="478"/>
        <v>1553669.2754364896</v>
      </c>
      <c r="BI642" s="214">
        <f t="shared" si="465"/>
        <v>7562.5637600070095</v>
      </c>
      <c r="BJ642" s="214">
        <f t="shared" si="466"/>
        <v>0</v>
      </c>
      <c r="BK642" s="19">
        <f t="shared" si="482"/>
        <v>0</v>
      </c>
    </row>
    <row r="643" spans="1:63">
      <c r="A643" s="165">
        <f t="shared" si="467"/>
        <v>109.38945927446954</v>
      </c>
      <c r="B643" s="69">
        <f t="shared" si="468"/>
        <v>48</v>
      </c>
      <c r="C643" s="70">
        <f t="shared" si="469"/>
        <v>569</v>
      </c>
      <c r="D643" s="13">
        <f t="shared" si="438"/>
        <v>4.8675505653430484E-3</v>
      </c>
      <c r="E643" s="15">
        <f t="shared" si="439"/>
        <v>1</v>
      </c>
      <c r="F643" s="15">
        <f t="shared" si="470"/>
        <v>0</v>
      </c>
      <c r="G643" s="15">
        <f t="shared" si="440"/>
        <v>0</v>
      </c>
      <c r="H643" s="73">
        <f t="shared" si="441"/>
        <v>0</v>
      </c>
      <c r="I643" s="189"/>
      <c r="J643" s="189"/>
      <c r="K643" s="5">
        <f t="shared" si="483"/>
        <v>361215.24554467044</v>
      </c>
      <c r="M643" s="5">
        <f t="shared" si="442"/>
        <v>1758.2334726614886</v>
      </c>
      <c r="N643" s="5">
        <f t="shared" si="443"/>
        <v>-597.69977108220326</v>
      </c>
      <c r="O643" s="5">
        <f t="shared" si="444"/>
        <v>0</v>
      </c>
      <c r="P643" s="5">
        <f t="shared" si="445"/>
        <v>0</v>
      </c>
      <c r="Q643" s="5">
        <f t="shared" si="479"/>
        <v>0</v>
      </c>
      <c r="R643" s="5">
        <f t="shared" si="471"/>
        <v>0</v>
      </c>
      <c r="S643" s="5">
        <f t="shared" si="446"/>
        <v>0</v>
      </c>
      <c r="T643" s="5">
        <f t="shared" si="447"/>
        <v>0</v>
      </c>
      <c r="U643" s="74">
        <f t="shared" si="448"/>
        <v>0</v>
      </c>
      <c r="V643" s="75">
        <f t="shared" si="449"/>
        <v>0</v>
      </c>
      <c r="W643" s="5">
        <f t="shared" si="450"/>
        <v>0</v>
      </c>
      <c r="X643" s="5">
        <f t="shared" si="451"/>
        <v>362375.7792462497</v>
      </c>
      <c r="Y643" s="5">
        <f t="shared" si="472"/>
        <v>100000</v>
      </c>
      <c r="Z643" s="215">
        <f t="shared" si="452"/>
        <v>1</v>
      </c>
      <c r="AA643" s="216">
        <f t="shared" si="473"/>
        <v>0</v>
      </c>
      <c r="AB643" s="72">
        <f t="shared" si="480"/>
        <v>105651.83946229343</v>
      </c>
      <c r="AC643" s="72">
        <f t="shared" si="453"/>
        <v>0</v>
      </c>
      <c r="AD643" s="72">
        <f t="shared" si="454"/>
        <v>0</v>
      </c>
      <c r="AE643" s="72">
        <f t="shared" si="474"/>
        <v>-75.460569396483336</v>
      </c>
      <c r="AF643" s="70">
        <f t="shared" si="455"/>
        <v>0</v>
      </c>
      <c r="AG643" s="70">
        <f t="shared" si="456"/>
        <v>34198.655646952975</v>
      </c>
      <c r="AH643" s="1">
        <f t="shared" si="489"/>
        <v>0</v>
      </c>
      <c r="AI643" s="1">
        <f t="shared" si="489"/>
        <v>0</v>
      </c>
      <c r="AJ643" s="1">
        <f t="shared" si="489"/>
        <v>0</v>
      </c>
      <c r="AK643" s="1">
        <f t="shared" si="489"/>
        <v>0</v>
      </c>
      <c r="AL643" s="1">
        <f t="shared" si="489"/>
        <v>0</v>
      </c>
      <c r="AM643" s="1">
        <f t="shared" si="489"/>
        <v>0</v>
      </c>
      <c r="AN643" s="1">
        <f t="shared" si="489"/>
        <v>0</v>
      </c>
      <c r="AO643" s="1">
        <f t="shared" si="489"/>
        <v>0</v>
      </c>
      <c r="AP643" s="1">
        <f t="shared" si="489"/>
        <v>0</v>
      </c>
      <c r="AQ643" s="1">
        <f t="shared" si="489"/>
        <v>0</v>
      </c>
      <c r="AR643" s="1">
        <f t="shared" si="489"/>
        <v>0</v>
      </c>
      <c r="AS643" s="1">
        <f t="shared" si="489"/>
        <v>0</v>
      </c>
      <c r="AT643" s="39">
        <f t="shared" si="457"/>
        <v>362375.7792462497</v>
      </c>
      <c r="AU643" s="39">
        <f t="shared" si="475"/>
        <v>362375.7792462497</v>
      </c>
      <c r="AV643" s="39">
        <f t="shared" si="485"/>
        <v>0</v>
      </c>
      <c r="AW643" s="3">
        <f t="shared" si="458"/>
        <v>569</v>
      </c>
      <c r="AX643" s="69">
        <f t="shared" si="476"/>
        <v>0</v>
      </c>
      <c r="AY643" s="75">
        <f t="shared" si="459"/>
        <v>0</v>
      </c>
      <c r="AZ643" s="75">
        <f t="shared" si="460"/>
        <v>0</v>
      </c>
      <c r="BA643" s="75">
        <f t="shared" si="461"/>
        <v>0</v>
      </c>
      <c r="BB643" s="75">
        <f t="shared" si="462"/>
        <v>0</v>
      </c>
      <c r="BD643" s="214">
        <f t="shared" si="477"/>
        <v>612243.98550591653</v>
      </c>
      <c r="BE643" s="214">
        <f t="shared" si="463"/>
        <v>2980.1285577772051</v>
      </c>
      <c r="BF643" s="214">
        <f t="shared" si="464"/>
        <v>-1013.0748757061739</v>
      </c>
      <c r="BG643" s="224">
        <f t="shared" si="481"/>
        <v>0</v>
      </c>
      <c r="BH643" s="19">
        <f t="shared" si="478"/>
        <v>1561231.8391964966</v>
      </c>
      <c r="BI643" s="214">
        <f t="shared" si="465"/>
        <v>7599.3749215124744</v>
      </c>
      <c r="BJ643" s="214">
        <f t="shared" si="466"/>
        <v>0</v>
      </c>
      <c r="BK643" s="19">
        <f t="shared" si="482"/>
        <v>0</v>
      </c>
    </row>
    <row r="644" spans="1:63">
      <c r="A644" s="165">
        <f t="shared" si="467"/>
        <v>109.47279260780287</v>
      </c>
      <c r="B644" s="69">
        <f t="shared" si="468"/>
        <v>48</v>
      </c>
      <c r="C644" s="70">
        <f t="shared" si="469"/>
        <v>570</v>
      </c>
      <c r="D644" s="13">
        <f t="shared" si="438"/>
        <v>4.8675505653430484E-3</v>
      </c>
      <c r="E644" s="15">
        <f t="shared" si="439"/>
        <v>1</v>
      </c>
      <c r="F644" s="15">
        <f t="shared" si="470"/>
        <v>0</v>
      </c>
      <c r="G644" s="15">
        <f t="shared" si="440"/>
        <v>0</v>
      </c>
      <c r="H644" s="73">
        <f t="shared" si="441"/>
        <v>0</v>
      </c>
      <c r="I644" s="189"/>
      <c r="J644" s="189"/>
      <c r="K644" s="5">
        <f t="shared" si="483"/>
        <v>362375.7792462497</v>
      </c>
      <c r="M644" s="5">
        <f t="shared" si="442"/>
        <v>1763.8824291367105</v>
      </c>
      <c r="N644" s="5">
        <f t="shared" si="443"/>
        <v>-599.62009625209225</v>
      </c>
      <c r="O644" s="5">
        <f t="shared" si="444"/>
        <v>0</v>
      </c>
      <c r="P644" s="5">
        <f t="shared" si="445"/>
        <v>0</v>
      </c>
      <c r="Q644" s="5">
        <f t="shared" si="479"/>
        <v>0</v>
      </c>
      <c r="R644" s="5">
        <f t="shared" si="471"/>
        <v>0</v>
      </c>
      <c r="S644" s="5">
        <f t="shared" si="446"/>
        <v>0</v>
      </c>
      <c r="T644" s="5">
        <f t="shared" si="447"/>
        <v>0</v>
      </c>
      <c r="U644" s="74">
        <f t="shared" si="448"/>
        <v>0</v>
      </c>
      <c r="V644" s="75">
        <f t="shared" si="449"/>
        <v>0</v>
      </c>
      <c r="W644" s="5">
        <f t="shared" si="450"/>
        <v>0</v>
      </c>
      <c r="X644" s="5">
        <f t="shared" si="451"/>
        <v>363540.04157913435</v>
      </c>
      <c r="Y644" s="5">
        <f t="shared" si="472"/>
        <v>100000</v>
      </c>
      <c r="Z644" s="215">
        <f t="shared" si="452"/>
        <v>1</v>
      </c>
      <c r="AA644" s="216">
        <f t="shared" si="473"/>
        <v>0</v>
      </c>
      <c r="AB644" s="72">
        <f t="shared" si="480"/>
        <v>105651.83946229343</v>
      </c>
      <c r="AC644" s="72">
        <f t="shared" si="453"/>
        <v>0</v>
      </c>
      <c r="AD644" s="72">
        <f t="shared" si="454"/>
        <v>0</v>
      </c>
      <c r="AE644" s="72">
        <f t="shared" si="474"/>
        <v>-75.703013576249134</v>
      </c>
      <c r="AF644" s="70">
        <f t="shared" si="455"/>
        <v>0</v>
      </c>
      <c r="AG644" s="70">
        <f t="shared" si="456"/>
        <v>34641.075333449116</v>
      </c>
      <c r="AH644" s="1">
        <f t="shared" si="489"/>
        <v>0</v>
      </c>
      <c r="AI644" s="1">
        <f t="shared" si="489"/>
        <v>0</v>
      </c>
      <c r="AJ644" s="1">
        <f t="shared" si="489"/>
        <v>0</v>
      </c>
      <c r="AK644" s="1">
        <f t="shared" si="489"/>
        <v>0</v>
      </c>
      <c r="AL644" s="1">
        <f t="shared" si="489"/>
        <v>0</v>
      </c>
      <c r="AM644" s="1">
        <f t="shared" si="489"/>
        <v>0</v>
      </c>
      <c r="AN644" s="1">
        <f t="shared" si="489"/>
        <v>0</v>
      </c>
      <c r="AO644" s="1">
        <f t="shared" si="489"/>
        <v>0</v>
      </c>
      <c r="AP644" s="1">
        <f t="shared" si="489"/>
        <v>0</v>
      </c>
      <c r="AQ644" s="1">
        <f t="shared" si="489"/>
        <v>0</v>
      </c>
      <c r="AR644" s="1">
        <f t="shared" si="489"/>
        <v>0</v>
      </c>
      <c r="AS644" s="1">
        <f t="shared" si="489"/>
        <v>0</v>
      </c>
      <c r="AT644" s="39">
        <f t="shared" si="457"/>
        <v>363540.04157913435</v>
      </c>
      <c r="AU644" s="39">
        <f t="shared" si="475"/>
        <v>363540.04157913435</v>
      </c>
      <c r="AV644" s="39">
        <f t="shared" si="485"/>
        <v>0</v>
      </c>
      <c r="AW644" s="3">
        <f t="shared" si="458"/>
        <v>570</v>
      </c>
      <c r="AX644" s="69">
        <f t="shared" si="476"/>
        <v>0</v>
      </c>
      <c r="AY644" s="75">
        <f t="shared" si="459"/>
        <v>0</v>
      </c>
      <c r="AZ644" s="75">
        <f t="shared" si="460"/>
        <v>0</v>
      </c>
      <c r="BA644" s="75">
        <f t="shared" si="461"/>
        <v>0</v>
      </c>
      <c r="BB644" s="75">
        <f t="shared" si="462"/>
        <v>0</v>
      </c>
      <c r="BD644" s="214">
        <f t="shared" si="477"/>
        <v>614211.03918798745</v>
      </c>
      <c r="BE644" s="214">
        <f t="shared" si="463"/>
        <v>2989.7032910394296</v>
      </c>
      <c r="BF644" s="214">
        <f t="shared" si="464"/>
        <v>-1016.3297425756698</v>
      </c>
      <c r="BG644" s="224">
        <f t="shared" si="481"/>
        <v>0</v>
      </c>
      <c r="BH644" s="19">
        <f t="shared" si="478"/>
        <v>1568831.2141180092</v>
      </c>
      <c r="BI644" s="214">
        <f t="shared" si="465"/>
        <v>7636.3652632079366</v>
      </c>
      <c r="BJ644" s="214">
        <f t="shared" si="466"/>
        <v>0</v>
      </c>
      <c r="BK644" s="19">
        <f t="shared" si="482"/>
        <v>0</v>
      </c>
    </row>
    <row r="645" spans="1:63">
      <c r="A645" s="165">
        <f t="shared" si="467"/>
        <v>109.5561259411362</v>
      </c>
      <c r="B645" s="69">
        <f t="shared" si="468"/>
        <v>48</v>
      </c>
      <c r="C645" s="70">
        <f t="shared" si="469"/>
        <v>571</v>
      </c>
      <c r="D645" s="13">
        <f t="shared" si="438"/>
        <v>4.8675505653430484E-3</v>
      </c>
      <c r="E645" s="15">
        <f t="shared" si="439"/>
        <v>1</v>
      </c>
      <c r="F645" s="15">
        <f t="shared" si="470"/>
        <v>0</v>
      </c>
      <c r="G645" s="15">
        <f t="shared" si="440"/>
        <v>0</v>
      </c>
      <c r="H645" s="73">
        <f t="shared" si="441"/>
        <v>0</v>
      </c>
      <c r="I645" s="189"/>
      <c r="J645" s="189"/>
      <c r="K645" s="5">
        <f t="shared" si="483"/>
        <v>363540.04157913435</v>
      </c>
      <c r="M645" s="5">
        <f t="shared" si="442"/>
        <v>1769.5495349133507</v>
      </c>
      <c r="N645" s="5">
        <f t="shared" si="443"/>
        <v>-601.54659115624702</v>
      </c>
      <c r="O645" s="5">
        <f t="shared" si="444"/>
        <v>0</v>
      </c>
      <c r="P645" s="5">
        <f t="shared" si="445"/>
        <v>0</v>
      </c>
      <c r="Q645" s="5">
        <f t="shared" si="479"/>
        <v>0</v>
      </c>
      <c r="R645" s="5">
        <f t="shared" si="471"/>
        <v>0</v>
      </c>
      <c r="S645" s="5">
        <f t="shared" si="446"/>
        <v>0</v>
      </c>
      <c r="T645" s="5">
        <f t="shared" si="447"/>
        <v>0</v>
      </c>
      <c r="U645" s="74">
        <f t="shared" si="448"/>
        <v>0</v>
      </c>
      <c r="V645" s="75">
        <f t="shared" si="449"/>
        <v>0</v>
      </c>
      <c r="W645" s="5">
        <f t="shared" si="450"/>
        <v>0</v>
      </c>
      <c r="X645" s="5">
        <f t="shared" si="451"/>
        <v>364708.04452289146</v>
      </c>
      <c r="Y645" s="5">
        <f t="shared" si="472"/>
        <v>100000</v>
      </c>
      <c r="Z645" s="215">
        <f t="shared" si="452"/>
        <v>1</v>
      </c>
      <c r="AA645" s="216">
        <f t="shared" si="473"/>
        <v>0</v>
      </c>
      <c r="AB645" s="72">
        <f t="shared" si="480"/>
        <v>105651.83946229343</v>
      </c>
      <c r="AC645" s="72">
        <f t="shared" si="453"/>
        <v>0</v>
      </c>
      <c r="AD645" s="72">
        <f t="shared" si="454"/>
        <v>0</v>
      </c>
      <c r="AE645" s="72">
        <f t="shared" si="474"/>
        <v>-75.946236695012786</v>
      </c>
      <c r="AF645" s="70">
        <f t="shared" si="455"/>
        <v>0</v>
      </c>
      <c r="AG645" s="70">
        <f t="shared" si="456"/>
        <v>35084.916452076839</v>
      </c>
      <c r="AH645" s="1">
        <f t="shared" ref="AH645:AS654" si="490">IF($B645&lt;=AH$74,1,0)</f>
        <v>0</v>
      </c>
      <c r="AI645" s="1">
        <f t="shared" si="490"/>
        <v>0</v>
      </c>
      <c r="AJ645" s="1">
        <f t="shared" si="490"/>
        <v>0</v>
      </c>
      <c r="AK645" s="1">
        <f t="shared" si="490"/>
        <v>0</v>
      </c>
      <c r="AL645" s="1">
        <f t="shared" si="490"/>
        <v>0</v>
      </c>
      <c r="AM645" s="1">
        <f t="shared" si="490"/>
        <v>0</v>
      </c>
      <c r="AN645" s="1">
        <f t="shared" si="490"/>
        <v>0</v>
      </c>
      <c r="AO645" s="1">
        <f t="shared" si="490"/>
        <v>0</v>
      </c>
      <c r="AP645" s="1">
        <f t="shared" si="490"/>
        <v>0</v>
      </c>
      <c r="AQ645" s="1">
        <f t="shared" si="490"/>
        <v>0</v>
      </c>
      <c r="AR645" s="1">
        <f t="shared" si="490"/>
        <v>0</v>
      </c>
      <c r="AS645" s="1">
        <f t="shared" si="490"/>
        <v>0</v>
      </c>
      <c r="AT645" s="39">
        <f t="shared" si="457"/>
        <v>364708.04452289146</v>
      </c>
      <c r="AU645" s="39">
        <f t="shared" si="475"/>
        <v>364708.04452289146</v>
      </c>
      <c r="AV645" s="39">
        <f t="shared" si="485"/>
        <v>0</v>
      </c>
      <c r="AW645" s="3">
        <f t="shared" si="458"/>
        <v>571</v>
      </c>
      <c r="AX645" s="69">
        <f t="shared" si="476"/>
        <v>0</v>
      </c>
      <c r="AY645" s="75">
        <f t="shared" si="459"/>
        <v>0</v>
      </c>
      <c r="AZ645" s="75">
        <f t="shared" si="460"/>
        <v>0</v>
      </c>
      <c r="BA645" s="75">
        <f t="shared" si="461"/>
        <v>0</v>
      </c>
      <c r="BB645" s="75">
        <f t="shared" si="462"/>
        <v>0</v>
      </c>
      <c r="BD645" s="214">
        <f t="shared" si="477"/>
        <v>616184.41273645125</v>
      </c>
      <c r="BE645" s="214">
        <f t="shared" si="463"/>
        <v>2999.3087865708876</v>
      </c>
      <c r="BF645" s="214">
        <f t="shared" si="464"/>
        <v>-1019.5950668739229</v>
      </c>
      <c r="BG645" s="224">
        <f t="shared" si="481"/>
        <v>0</v>
      </c>
      <c r="BH645" s="19">
        <f t="shared" si="478"/>
        <v>1576467.5793812172</v>
      </c>
      <c r="BI645" s="214">
        <f t="shared" si="465"/>
        <v>7673.5356572620312</v>
      </c>
      <c r="BJ645" s="214">
        <f t="shared" si="466"/>
        <v>0</v>
      </c>
      <c r="BK645" s="19">
        <f t="shared" si="482"/>
        <v>0</v>
      </c>
    </row>
    <row r="646" spans="1:63">
      <c r="A646" s="165">
        <f t="shared" si="467"/>
        <v>109.63945927446954</v>
      </c>
      <c r="B646" s="69">
        <f t="shared" si="468"/>
        <v>48</v>
      </c>
      <c r="C646" s="70">
        <f t="shared" si="469"/>
        <v>572</v>
      </c>
      <c r="D646" s="13">
        <f t="shared" si="438"/>
        <v>4.8675505653430484E-3</v>
      </c>
      <c r="E646" s="15">
        <f t="shared" si="439"/>
        <v>1</v>
      </c>
      <c r="F646" s="15">
        <f t="shared" si="470"/>
        <v>0</v>
      </c>
      <c r="G646" s="15">
        <f t="shared" si="440"/>
        <v>0</v>
      </c>
      <c r="H646" s="73">
        <f t="shared" si="441"/>
        <v>0</v>
      </c>
      <c r="I646" s="189"/>
      <c r="J646" s="189"/>
      <c r="K646" s="5">
        <f t="shared" si="483"/>
        <v>364708.04452289146</v>
      </c>
      <c r="M646" s="5">
        <f t="shared" si="442"/>
        <v>1775.234848302558</v>
      </c>
      <c r="N646" s="5">
        <f t="shared" si="443"/>
        <v>-603.47927561715426</v>
      </c>
      <c r="O646" s="5">
        <f t="shared" si="444"/>
        <v>0</v>
      </c>
      <c r="P646" s="5">
        <f t="shared" si="445"/>
        <v>0</v>
      </c>
      <c r="Q646" s="5">
        <f t="shared" si="479"/>
        <v>0</v>
      </c>
      <c r="R646" s="5">
        <f t="shared" si="471"/>
        <v>0</v>
      </c>
      <c r="S646" s="5">
        <f t="shared" si="446"/>
        <v>0</v>
      </c>
      <c r="T646" s="5">
        <f t="shared" si="447"/>
        <v>0</v>
      </c>
      <c r="U646" s="74">
        <f t="shared" si="448"/>
        <v>0</v>
      </c>
      <c r="V646" s="75">
        <f t="shared" si="449"/>
        <v>0</v>
      </c>
      <c r="W646" s="5">
        <f t="shared" si="450"/>
        <v>0</v>
      </c>
      <c r="X646" s="5">
        <f t="shared" si="451"/>
        <v>365879.80009557685</v>
      </c>
      <c r="Y646" s="5">
        <f t="shared" si="472"/>
        <v>100000</v>
      </c>
      <c r="Z646" s="215">
        <f t="shared" si="452"/>
        <v>1</v>
      </c>
      <c r="AA646" s="216">
        <f t="shared" si="473"/>
        <v>0</v>
      </c>
      <c r="AB646" s="72">
        <f t="shared" si="480"/>
        <v>105651.83946229343</v>
      </c>
      <c r="AC646" s="72">
        <f t="shared" si="453"/>
        <v>0</v>
      </c>
      <c r="AD646" s="72">
        <f t="shared" si="454"/>
        <v>0</v>
      </c>
      <c r="AE646" s="72">
        <f t="shared" si="474"/>
        <v>-76.190241255395549</v>
      </c>
      <c r="AF646" s="70">
        <f t="shared" si="455"/>
        <v>0</v>
      </c>
      <c r="AG646" s="70">
        <f t="shared" si="456"/>
        <v>35530.183569697285</v>
      </c>
      <c r="AH646" s="1">
        <f t="shared" si="490"/>
        <v>0</v>
      </c>
      <c r="AI646" s="1">
        <f t="shared" si="490"/>
        <v>0</v>
      </c>
      <c r="AJ646" s="1">
        <f t="shared" si="490"/>
        <v>0</v>
      </c>
      <c r="AK646" s="1">
        <f t="shared" si="490"/>
        <v>0</v>
      </c>
      <c r="AL646" s="1">
        <f t="shared" si="490"/>
        <v>0</v>
      </c>
      <c r="AM646" s="1">
        <f t="shared" si="490"/>
        <v>0</v>
      </c>
      <c r="AN646" s="1">
        <f t="shared" si="490"/>
        <v>0</v>
      </c>
      <c r="AO646" s="1">
        <f t="shared" si="490"/>
        <v>0</v>
      </c>
      <c r="AP646" s="1">
        <f t="shared" si="490"/>
        <v>0</v>
      </c>
      <c r="AQ646" s="1">
        <f t="shared" si="490"/>
        <v>0</v>
      </c>
      <c r="AR646" s="1">
        <f t="shared" si="490"/>
        <v>0</v>
      </c>
      <c r="AS646" s="1">
        <f t="shared" si="490"/>
        <v>0</v>
      </c>
      <c r="AT646" s="39">
        <f t="shared" si="457"/>
        <v>365879.80009557685</v>
      </c>
      <c r="AU646" s="39">
        <f t="shared" si="475"/>
        <v>365879.80009557685</v>
      </c>
      <c r="AV646" s="39">
        <f t="shared" si="485"/>
        <v>0</v>
      </c>
      <c r="AW646" s="3">
        <f t="shared" si="458"/>
        <v>572</v>
      </c>
      <c r="AX646" s="69">
        <f t="shared" si="476"/>
        <v>0</v>
      </c>
      <c r="AY646" s="75">
        <f t="shared" si="459"/>
        <v>0</v>
      </c>
      <c r="AZ646" s="75">
        <f t="shared" si="460"/>
        <v>0</v>
      </c>
      <c r="BA646" s="75">
        <f t="shared" si="461"/>
        <v>0</v>
      </c>
      <c r="BB646" s="75">
        <f t="shared" si="462"/>
        <v>0</v>
      </c>
      <c r="BD646" s="214">
        <f t="shared" si="477"/>
        <v>618164.12645614822</v>
      </c>
      <c r="BE646" s="214">
        <f t="shared" si="463"/>
        <v>3008.9451432064161</v>
      </c>
      <c r="BF646" s="214">
        <f t="shared" si="464"/>
        <v>-1022.8708821991786</v>
      </c>
      <c r="BG646" s="224">
        <f t="shared" si="481"/>
        <v>0</v>
      </c>
      <c r="BH646" s="19">
        <f t="shared" si="478"/>
        <v>1584141.1150384792</v>
      </c>
      <c r="BI646" s="214">
        <f t="shared" si="465"/>
        <v>7710.8869800887169</v>
      </c>
      <c r="BJ646" s="214">
        <f t="shared" si="466"/>
        <v>0</v>
      </c>
      <c r="BK646" s="19">
        <f t="shared" si="482"/>
        <v>0</v>
      </c>
    </row>
    <row r="647" spans="1:63">
      <c r="A647" s="165">
        <f t="shared" si="467"/>
        <v>109.72279260780287</v>
      </c>
      <c r="B647" s="69">
        <f t="shared" si="468"/>
        <v>48</v>
      </c>
      <c r="C647" s="70">
        <f t="shared" si="469"/>
        <v>573</v>
      </c>
      <c r="D647" s="13">
        <f t="shared" si="438"/>
        <v>4.8675505653430484E-3</v>
      </c>
      <c r="E647" s="15">
        <f t="shared" si="439"/>
        <v>1</v>
      </c>
      <c r="F647" s="15">
        <f t="shared" si="470"/>
        <v>0</v>
      </c>
      <c r="G647" s="15">
        <f t="shared" si="440"/>
        <v>0</v>
      </c>
      <c r="H647" s="73">
        <f t="shared" si="441"/>
        <v>0</v>
      </c>
      <c r="I647" s="189"/>
      <c r="J647" s="189"/>
      <c r="K647" s="5">
        <f t="shared" si="483"/>
        <v>365879.80009557685</v>
      </c>
      <c r="M647" s="5">
        <f t="shared" si="442"/>
        <v>1780.9384278028267</v>
      </c>
      <c r="N647" s="5">
        <f t="shared" si="443"/>
        <v>-605.41816952098793</v>
      </c>
      <c r="O647" s="5">
        <f t="shared" si="444"/>
        <v>0</v>
      </c>
      <c r="P647" s="5">
        <f t="shared" si="445"/>
        <v>0</v>
      </c>
      <c r="Q647" s="5">
        <f t="shared" si="479"/>
        <v>0</v>
      </c>
      <c r="R647" s="5">
        <f t="shared" si="471"/>
        <v>0</v>
      </c>
      <c r="S647" s="5">
        <f t="shared" si="446"/>
        <v>0</v>
      </c>
      <c r="T647" s="5">
        <f t="shared" si="447"/>
        <v>0</v>
      </c>
      <c r="U647" s="74">
        <f t="shared" si="448"/>
        <v>0</v>
      </c>
      <c r="V647" s="75">
        <f t="shared" si="449"/>
        <v>0</v>
      </c>
      <c r="W647" s="5">
        <f t="shared" si="450"/>
        <v>0</v>
      </c>
      <c r="X647" s="5">
        <f t="shared" si="451"/>
        <v>367055.3203538587</v>
      </c>
      <c r="Y647" s="5">
        <f t="shared" si="472"/>
        <v>100000</v>
      </c>
      <c r="Z647" s="215">
        <f t="shared" si="452"/>
        <v>1</v>
      </c>
      <c r="AA647" s="216">
        <f t="shared" si="473"/>
        <v>0</v>
      </c>
      <c r="AB647" s="72">
        <f t="shared" si="480"/>
        <v>105651.83946229343</v>
      </c>
      <c r="AC647" s="72">
        <f t="shared" si="453"/>
        <v>0</v>
      </c>
      <c r="AD647" s="72">
        <f t="shared" si="454"/>
        <v>0</v>
      </c>
      <c r="AE647" s="72">
        <f t="shared" si="474"/>
        <v>-76.43502976805928</v>
      </c>
      <c r="AF647" s="70">
        <f t="shared" si="455"/>
        <v>0</v>
      </c>
      <c r="AG647" s="70">
        <f t="shared" si="456"/>
        <v>35976.881267844379</v>
      </c>
      <c r="AH647" s="1">
        <f t="shared" si="490"/>
        <v>0</v>
      </c>
      <c r="AI647" s="1">
        <f t="shared" si="490"/>
        <v>0</v>
      </c>
      <c r="AJ647" s="1">
        <f t="shared" si="490"/>
        <v>0</v>
      </c>
      <c r="AK647" s="1">
        <f t="shared" si="490"/>
        <v>0</v>
      </c>
      <c r="AL647" s="1">
        <f t="shared" si="490"/>
        <v>0</v>
      </c>
      <c r="AM647" s="1">
        <f t="shared" si="490"/>
        <v>0</v>
      </c>
      <c r="AN647" s="1">
        <f t="shared" si="490"/>
        <v>0</v>
      </c>
      <c r="AO647" s="1">
        <f t="shared" si="490"/>
        <v>0</v>
      </c>
      <c r="AP647" s="1">
        <f t="shared" si="490"/>
        <v>0</v>
      </c>
      <c r="AQ647" s="1">
        <f t="shared" si="490"/>
        <v>0</v>
      </c>
      <c r="AR647" s="1">
        <f t="shared" si="490"/>
        <v>0</v>
      </c>
      <c r="AS647" s="1">
        <f t="shared" si="490"/>
        <v>0</v>
      </c>
      <c r="AT647" s="39">
        <f t="shared" si="457"/>
        <v>367055.3203538587</v>
      </c>
      <c r="AU647" s="39">
        <f t="shared" si="475"/>
        <v>367055.3203538587</v>
      </c>
      <c r="AV647" s="39">
        <f t="shared" si="485"/>
        <v>0</v>
      </c>
      <c r="AW647" s="3">
        <f t="shared" si="458"/>
        <v>573</v>
      </c>
      <c r="AX647" s="69">
        <f t="shared" si="476"/>
        <v>0</v>
      </c>
      <c r="AY647" s="75">
        <f t="shared" si="459"/>
        <v>0</v>
      </c>
      <c r="AZ647" s="75">
        <f t="shared" si="460"/>
        <v>0</v>
      </c>
      <c r="BA647" s="75">
        <f t="shared" si="461"/>
        <v>0</v>
      </c>
      <c r="BB647" s="75">
        <f t="shared" si="462"/>
        <v>0</v>
      </c>
      <c r="BD647" s="214">
        <f t="shared" si="477"/>
        <v>620150.20071715547</v>
      </c>
      <c r="BE647" s="214">
        <f t="shared" si="463"/>
        <v>3018.6124600983949</v>
      </c>
      <c r="BF647" s="214">
        <f t="shared" si="464"/>
        <v>-1026.1572222576285</v>
      </c>
      <c r="BG647" s="224">
        <f t="shared" si="481"/>
        <v>0</v>
      </c>
      <c r="BH647" s="19">
        <f t="shared" si="478"/>
        <v>1591852.0020185679</v>
      </c>
      <c r="BI647" s="214">
        <f t="shared" si="465"/>
        <v>7748.4201123679431</v>
      </c>
      <c r="BJ647" s="214">
        <f t="shared" si="466"/>
        <v>0</v>
      </c>
      <c r="BK647" s="19">
        <f t="shared" si="482"/>
        <v>0</v>
      </c>
    </row>
    <row r="648" spans="1:63">
      <c r="A648" s="165">
        <f t="shared" si="467"/>
        <v>109.8061259411362</v>
      </c>
      <c r="B648" s="69">
        <f t="shared" si="468"/>
        <v>48</v>
      </c>
      <c r="C648" s="70">
        <f t="shared" si="469"/>
        <v>574</v>
      </c>
      <c r="D648" s="13">
        <f t="shared" si="438"/>
        <v>4.8675505653430484E-3</v>
      </c>
      <c r="E648" s="15">
        <f t="shared" si="439"/>
        <v>1</v>
      </c>
      <c r="F648" s="15">
        <f t="shared" si="470"/>
        <v>0</v>
      </c>
      <c r="G648" s="15">
        <f t="shared" si="440"/>
        <v>0</v>
      </c>
      <c r="H648" s="73">
        <f t="shared" si="441"/>
        <v>0</v>
      </c>
      <c r="I648" s="189"/>
      <c r="J648" s="189"/>
      <c r="K648" s="5">
        <f t="shared" si="483"/>
        <v>367055.3203538587</v>
      </c>
      <c r="M648" s="5">
        <f t="shared" si="442"/>
        <v>1786.6603321005987</v>
      </c>
      <c r="N648" s="5">
        <f t="shared" si="443"/>
        <v>-607.36329281781354</v>
      </c>
      <c r="O648" s="5">
        <f t="shared" si="444"/>
        <v>0</v>
      </c>
      <c r="P648" s="5">
        <f t="shared" si="445"/>
        <v>0</v>
      </c>
      <c r="Q648" s="5">
        <f t="shared" si="479"/>
        <v>0</v>
      </c>
      <c r="R648" s="5">
        <f t="shared" si="471"/>
        <v>0</v>
      </c>
      <c r="S648" s="5">
        <f t="shared" si="446"/>
        <v>0</v>
      </c>
      <c r="T648" s="5">
        <f t="shared" si="447"/>
        <v>0</v>
      </c>
      <c r="U648" s="74">
        <f t="shared" si="448"/>
        <v>0</v>
      </c>
      <c r="V648" s="75">
        <f t="shared" si="449"/>
        <v>0</v>
      </c>
      <c r="W648" s="5">
        <f t="shared" si="450"/>
        <v>0</v>
      </c>
      <c r="X648" s="5">
        <f t="shared" si="451"/>
        <v>368234.61739314144</v>
      </c>
      <c r="Y648" s="5">
        <f t="shared" si="472"/>
        <v>100000</v>
      </c>
      <c r="Z648" s="215">
        <f t="shared" si="452"/>
        <v>1</v>
      </c>
      <c r="AA648" s="216">
        <f t="shared" si="473"/>
        <v>0</v>
      </c>
      <c r="AB648" s="72">
        <f t="shared" si="480"/>
        <v>105651.83946229343</v>
      </c>
      <c r="AC648" s="72">
        <f t="shared" si="453"/>
        <v>0</v>
      </c>
      <c r="AD648" s="72">
        <f t="shared" si="454"/>
        <v>0</v>
      </c>
      <c r="AE648" s="72">
        <f t="shared" si="474"/>
        <v>-76.680604751732218</v>
      </c>
      <c r="AF648" s="70">
        <f t="shared" si="455"/>
        <v>0</v>
      </c>
      <c r="AG648" s="70">
        <f t="shared" si="456"/>
        <v>36425.014142771834</v>
      </c>
      <c r="AH648" s="1">
        <f t="shared" si="490"/>
        <v>0</v>
      </c>
      <c r="AI648" s="1">
        <f t="shared" si="490"/>
        <v>0</v>
      </c>
      <c r="AJ648" s="1">
        <f t="shared" si="490"/>
        <v>0</v>
      </c>
      <c r="AK648" s="1">
        <f t="shared" si="490"/>
        <v>0</v>
      </c>
      <c r="AL648" s="1">
        <f t="shared" si="490"/>
        <v>0</v>
      </c>
      <c r="AM648" s="1">
        <f t="shared" si="490"/>
        <v>0</v>
      </c>
      <c r="AN648" s="1">
        <f t="shared" si="490"/>
        <v>0</v>
      </c>
      <c r="AO648" s="1">
        <f t="shared" si="490"/>
        <v>0</v>
      </c>
      <c r="AP648" s="1">
        <f t="shared" si="490"/>
        <v>0</v>
      </c>
      <c r="AQ648" s="1">
        <f t="shared" si="490"/>
        <v>0</v>
      </c>
      <c r="AR648" s="1">
        <f t="shared" si="490"/>
        <v>0</v>
      </c>
      <c r="AS648" s="1">
        <f t="shared" si="490"/>
        <v>0</v>
      </c>
      <c r="AT648" s="39">
        <f t="shared" si="457"/>
        <v>368234.61739314144</v>
      </c>
      <c r="AU648" s="39">
        <f t="shared" si="475"/>
        <v>368234.61739314144</v>
      </c>
      <c r="AV648" s="39">
        <f t="shared" si="485"/>
        <v>0</v>
      </c>
      <c r="AW648" s="3">
        <f t="shared" si="458"/>
        <v>574</v>
      </c>
      <c r="AX648" s="69">
        <f t="shared" si="476"/>
        <v>0</v>
      </c>
      <c r="AY648" s="75">
        <f t="shared" si="459"/>
        <v>0</v>
      </c>
      <c r="AZ648" s="75">
        <f t="shared" si="460"/>
        <v>0</v>
      </c>
      <c r="BA648" s="75">
        <f t="shared" si="461"/>
        <v>0</v>
      </c>
      <c r="BB648" s="75">
        <f t="shared" si="462"/>
        <v>0</v>
      </c>
      <c r="BD648" s="214">
        <f t="shared" si="477"/>
        <v>622142.65595499624</v>
      </c>
      <c r="BE648" s="214">
        <f t="shared" si="463"/>
        <v>3028.3108367177674</v>
      </c>
      <c r="BF648" s="214">
        <f t="shared" si="464"/>
        <v>-1029.4541208637579</v>
      </c>
      <c r="BG648" s="224">
        <f t="shared" si="481"/>
        <v>0</v>
      </c>
      <c r="BH648" s="19">
        <f t="shared" si="478"/>
        <v>1599600.4221309358</v>
      </c>
      <c r="BI648" s="214">
        <f t="shared" si="465"/>
        <v>7786.1359390664156</v>
      </c>
      <c r="BJ648" s="214">
        <f t="shared" si="466"/>
        <v>0</v>
      </c>
      <c r="BK648" s="19">
        <f t="shared" si="482"/>
        <v>0</v>
      </c>
    </row>
    <row r="649" spans="1:63">
      <c r="A649" s="165">
        <f t="shared" si="467"/>
        <v>109.88945927446954</v>
      </c>
      <c r="B649" s="69">
        <f t="shared" si="468"/>
        <v>48</v>
      </c>
      <c r="C649" s="70">
        <f t="shared" si="469"/>
        <v>575</v>
      </c>
      <c r="D649" s="13">
        <f t="shared" si="438"/>
        <v>4.8675505653430484E-3</v>
      </c>
      <c r="E649" s="15">
        <f t="shared" si="439"/>
        <v>1</v>
      </c>
      <c r="F649" s="15">
        <f t="shared" si="470"/>
        <v>0</v>
      </c>
      <c r="G649" s="15">
        <f t="shared" si="440"/>
        <v>0</v>
      </c>
      <c r="H649" s="73">
        <f t="shared" si="441"/>
        <v>0</v>
      </c>
      <c r="I649" s="189"/>
      <c r="J649" s="189"/>
      <c r="K649" s="5">
        <f t="shared" si="483"/>
        <v>368234.61739314144</v>
      </c>
      <c r="M649" s="5">
        <f t="shared" si="442"/>
        <v>1792.4006200708668</v>
      </c>
      <c r="N649" s="5">
        <f t="shared" si="443"/>
        <v>-609.31466552179336</v>
      </c>
      <c r="O649" s="5">
        <f t="shared" si="444"/>
        <v>0</v>
      </c>
      <c r="P649" s="5">
        <f t="shared" si="445"/>
        <v>0</v>
      </c>
      <c r="Q649" s="5">
        <f t="shared" si="479"/>
        <v>0</v>
      </c>
      <c r="R649" s="5">
        <f t="shared" si="471"/>
        <v>0</v>
      </c>
      <c r="S649" s="5">
        <f t="shared" si="446"/>
        <v>0</v>
      </c>
      <c r="T649" s="5">
        <f t="shared" si="447"/>
        <v>0</v>
      </c>
      <c r="U649" s="74">
        <f t="shared" si="448"/>
        <v>0</v>
      </c>
      <c r="V649" s="75">
        <f t="shared" si="449"/>
        <v>0</v>
      </c>
      <c r="W649" s="5">
        <f t="shared" si="450"/>
        <v>0</v>
      </c>
      <c r="X649" s="5">
        <f t="shared" si="451"/>
        <v>369417.70334769052</v>
      </c>
      <c r="Y649" s="5">
        <f t="shared" si="472"/>
        <v>100000</v>
      </c>
      <c r="Z649" s="215">
        <f t="shared" si="452"/>
        <v>1</v>
      </c>
      <c r="AA649" s="216">
        <f t="shared" si="473"/>
        <v>0</v>
      </c>
      <c r="AB649" s="72">
        <f t="shared" si="480"/>
        <v>105651.83946229343</v>
      </c>
      <c r="AC649" s="72">
        <f t="shared" si="453"/>
        <v>0</v>
      </c>
      <c r="AD649" s="72">
        <f t="shared" si="454"/>
        <v>0</v>
      </c>
      <c r="AE649" s="72">
        <f t="shared" si="474"/>
        <v>-76.926968733234915</v>
      </c>
      <c r="AF649" s="70">
        <f t="shared" si="455"/>
        <v>0</v>
      </c>
      <c r="AG649" s="70">
        <f t="shared" si="456"/>
        <v>36874.586805500468</v>
      </c>
      <c r="AH649" s="1">
        <f t="shared" si="490"/>
        <v>0</v>
      </c>
      <c r="AI649" s="1">
        <f t="shared" si="490"/>
        <v>0</v>
      </c>
      <c r="AJ649" s="1">
        <f t="shared" si="490"/>
        <v>0</v>
      </c>
      <c r="AK649" s="1">
        <f t="shared" si="490"/>
        <v>0</v>
      </c>
      <c r="AL649" s="1">
        <f t="shared" si="490"/>
        <v>0</v>
      </c>
      <c r="AM649" s="1">
        <f t="shared" si="490"/>
        <v>0</v>
      </c>
      <c r="AN649" s="1">
        <f t="shared" si="490"/>
        <v>0</v>
      </c>
      <c r="AO649" s="1">
        <f t="shared" si="490"/>
        <v>0</v>
      </c>
      <c r="AP649" s="1">
        <f t="shared" si="490"/>
        <v>0</v>
      </c>
      <c r="AQ649" s="1">
        <f t="shared" si="490"/>
        <v>0</v>
      </c>
      <c r="AR649" s="1">
        <f t="shared" si="490"/>
        <v>0</v>
      </c>
      <c r="AS649" s="1">
        <f t="shared" si="490"/>
        <v>0</v>
      </c>
      <c r="AT649" s="39">
        <f t="shared" si="457"/>
        <v>369417.70334769052</v>
      </c>
      <c r="AU649" s="39">
        <f t="shared" si="475"/>
        <v>369417.70334769052</v>
      </c>
      <c r="AV649" s="39">
        <f t="shared" si="485"/>
        <v>0</v>
      </c>
      <c r="AW649" s="3">
        <f t="shared" si="458"/>
        <v>575</v>
      </c>
      <c r="AX649" s="69">
        <f t="shared" si="476"/>
        <v>0</v>
      </c>
      <c r="AY649" s="75">
        <f t="shared" si="459"/>
        <v>0</v>
      </c>
      <c r="AZ649" s="75">
        <f t="shared" si="460"/>
        <v>0</v>
      </c>
      <c r="BA649" s="75">
        <f t="shared" si="461"/>
        <v>0</v>
      </c>
      <c r="BB649" s="75">
        <f t="shared" si="462"/>
        <v>0</v>
      </c>
      <c r="BD649" s="214">
        <f t="shared" si="477"/>
        <v>624141.51267085015</v>
      </c>
      <c r="BE649" s="214">
        <f t="shared" si="463"/>
        <v>3038.0403728550618</v>
      </c>
      <c r="BF649" s="214">
        <f t="shared" si="464"/>
        <v>-1032.7616119406932</v>
      </c>
      <c r="BG649" s="224">
        <f t="shared" si="481"/>
        <v>0</v>
      </c>
      <c r="BH649" s="19">
        <f t="shared" si="478"/>
        <v>1607386.5580700024</v>
      </c>
      <c r="BI649" s="214">
        <f t="shared" si="465"/>
        <v>7824.0353494584569</v>
      </c>
      <c r="BJ649" s="214">
        <f t="shared" si="466"/>
        <v>0</v>
      </c>
      <c r="BK649" s="19">
        <f t="shared" si="482"/>
        <v>0</v>
      </c>
    </row>
    <row r="650" spans="1:63">
      <c r="A650" s="165">
        <f t="shared" si="467"/>
        <v>109.97279260780287</v>
      </c>
      <c r="B650" s="69">
        <f t="shared" si="468"/>
        <v>48</v>
      </c>
      <c r="C650" s="70">
        <f t="shared" si="469"/>
        <v>576</v>
      </c>
      <c r="D650" s="13">
        <f t="shared" si="438"/>
        <v>4.8675505653430484E-3</v>
      </c>
      <c r="E650" s="15">
        <f t="shared" si="439"/>
        <v>1</v>
      </c>
      <c r="F650" s="15">
        <f t="shared" si="470"/>
        <v>1</v>
      </c>
      <c r="G650" s="15">
        <f t="shared" si="440"/>
        <v>0</v>
      </c>
      <c r="H650" s="73">
        <f t="shared" si="441"/>
        <v>0</v>
      </c>
      <c r="I650" s="189"/>
      <c r="J650" s="189"/>
      <c r="K650" s="5">
        <f t="shared" si="483"/>
        <v>369417.70334769052</v>
      </c>
      <c r="M650" s="5">
        <f t="shared" si="442"/>
        <v>1798.1593507777816</v>
      </c>
      <c r="N650" s="5">
        <f t="shared" si="443"/>
        <v>-611.27230771139216</v>
      </c>
      <c r="O650" s="5">
        <f t="shared" si="444"/>
        <v>0</v>
      </c>
      <c r="P650" s="5">
        <f t="shared" si="445"/>
        <v>0</v>
      </c>
      <c r="Q650" s="5">
        <f t="shared" si="479"/>
        <v>0</v>
      </c>
      <c r="R650" s="5">
        <f t="shared" si="471"/>
        <v>0</v>
      </c>
      <c r="S650" s="5">
        <f t="shared" si="446"/>
        <v>0</v>
      </c>
      <c r="T650" s="5">
        <f t="shared" si="447"/>
        <v>0</v>
      </c>
      <c r="U650" s="74">
        <f t="shared" si="448"/>
        <v>0</v>
      </c>
      <c r="V650" s="75">
        <f t="shared" si="449"/>
        <v>0</v>
      </c>
      <c r="W650" s="5">
        <f t="shared" si="450"/>
        <v>0</v>
      </c>
      <c r="X650" s="5">
        <f t="shared" si="451"/>
        <v>370604.5903907569</v>
      </c>
      <c r="Y650" s="5">
        <f t="shared" si="472"/>
        <v>100000</v>
      </c>
      <c r="Z650" s="215">
        <f t="shared" si="452"/>
        <v>1</v>
      </c>
      <c r="AA650" s="216">
        <f t="shared" si="473"/>
        <v>0</v>
      </c>
      <c r="AB650" s="72">
        <f t="shared" si="480"/>
        <v>105651.83946229343</v>
      </c>
      <c r="AC650" s="72">
        <f t="shared" si="453"/>
        <v>-37325.603881865711</v>
      </c>
      <c r="AD650" s="72">
        <f t="shared" si="454"/>
        <v>0</v>
      </c>
      <c r="AE650" s="72">
        <f t="shared" si="474"/>
        <v>-77.174124247506299</v>
      </c>
      <c r="AF650" s="70">
        <f t="shared" si="455"/>
        <v>0</v>
      </c>
      <c r="AG650" s="70">
        <f t="shared" si="456"/>
        <v>0</v>
      </c>
      <c r="AH650" s="1">
        <f t="shared" si="490"/>
        <v>0</v>
      </c>
      <c r="AI650" s="1">
        <f t="shared" si="490"/>
        <v>0</v>
      </c>
      <c r="AJ650" s="1">
        <f t="shared" si="490"/>
        <v>0</v>
      </c>
      <c r="AK650" s="1">
        <f t="shared" si="490"/>
        <v>0</v>
      </c>
      <c r="AL650" s="1">
        <f t="shared" si="490"/>
        <v>0</v>
      </c>
      <c r="AM650" s="1">
        <f t="shared" si="490"/>
        <v>0</v>
      </c>
      <c r="AN650" s="1">
        <f t="shared" si="490"/>
        <v>0</v>
      </c>
      <c r="AO650" s="1">
        <f t="shared" si="490"/>
        <v>0</v>
      </c>
      <c r="AP650" s="1">
        <f t="shared" si="490"/>
        <v>0</v>
      </c>
      <c r="AQ650" s="1">
        <f t="shared" si="490"/>
        <v>0</v>
      </c>
      <c r="AR650" s="1">
        <f t="shared" si="490"/>
        <v>0</v>
      </c>
      <c r="AS650" s="1">
        <f t="shared" si="490"/>
        <v>0</v>
      </c>
      <c r="AT650" s="39">
        <f t="shared" si="457"/>
        <v>333278.98650889122</v>
      </c>
      <c r="AU650" s="39">
        <f t="shared" si="475"/>
        <v>370604.5903907569</v>
      </c>
      <c r="AV650" s="39">
        <f t="shared" si="485"/>
        <v>0</v>
      </c>
      <c r="AW650" s="3">
        <f t="shared" si="458"/>
        <v>576</v>
      </c>
      <c r="AX650" s="69">
        <f t="shared" si="476"/>
        <v>0</v>
      </c>
      <c r="AY650" s="75">
        <f t="shared" si="459"/>
        <v>0</v>
      </c>
      <c r="AZ650" s="75">
        <f t="shared" si="460"/>
        <v>0</v>
      </c>
      <c r="BA650" s="75">
        <f t="shared" si="461"/>
        <v>0</v>
      </c>
      <c r="BB650" s="75">
        <f t="shared" si="462"/>
        <v>0</v>
      </c>
      <c r="BD650" s="214">
        <f t="shared" si="477"/>
        <v>626146.79143176449</v>
      </c>
      <c r="BE650" s="214">
        <f t="shared" si="463"/>
        <v>3047.8011686214209</v>
      </c>
      <c r="BF650" s="214">
        <f t="shared" si="464"/>
        <v>-1036.0797295205514</v>
      </c>
      <c r="BG650" s="224">
        <f t="shared" si="481"/>
        <v>0</v>
      </c>
      <c r="BH650" s="19">
        <f t="shared" si="478"/>
        <v>1615210.5934194608</v>
      </c>
      <c r="BI650" s="214">
        <f t="shared" si="465"/>
        <v>7862.119237146977</v>
      </c>
      <c r="BJ650" s="214">
        <f t="shared" si="466"/>
        <v>0</v>
      </c>
      <c r="BK650" s="19">
        <f t="shared" si="482"/>
        <v>0</v>
      </c>
    </row>
    <row r="651" spans="1:63">
      <c r="A651" s="165">
        <f t="shared" si="467"/>
        <v>110.0561259411362</v>
      </c>
      <c r="B651" s="69">
        <f t="shared" si="468"/>
        <v>49</v>
      </c>
      <c r="C651" s="70">
        <f t="shared" si="469"/>
        <v>577</v>
      </c>
      <c r="D651" s="13">
        <f t="shared" ref="D651:D674" si="491">Growth_Rate_1_Monthly</f>
        <v>4.8675505653430484E-3</v>
      </c>
      <c r="E651" s="15">
        <f t="shared" ref="E651:E674" si="492">IF(Gtee_Flag="on",1,0)</f>
        <v>1</v>
      </c>
      <c r="F651" s="15">
        <f t="shared" si="470"/>
        <v>0</v>
      </c>
      <c r="G651" s="15">
        <f t="shared" ref="G651:G674" si="493">IF(AND(RP_Flag = "Yes",RP_Allowed="Yes"),IF(RP_PremFreq = "Annual",IF(MOD(C651-1, 12) = 0, 1, 0), IF(RP_PremFreq = "Half-Yearly", IF(MOD(C651-1, 6) = 0, 1, 0), IF(RP_PremFreq = "Quarterly", IF(MOD(C651-1, 3) = 0, 1, 0), IF(RP_PremFreq = "Monthly", IF(MOD(C651-1, 1) = 0, 1, 0), "Error")))),0)</f>
        <v>0</v>
      </c>
      <c r="H651" s="73">
        <f t="shared" ref="H651:H674" si="494">IF(ISERROR(VLOOKUP(Product_Code,Product_Parameters,B651+8,FALSE)),0,VLOOKUP(Product_Code,Product_Parameters,B651+8,FALSE))</f>
        <v>0</v>
      </c>
      <c r="I651" s="189"/>
      <c r="J651" s="189"/>
      <c r="K651" s="5">
        <f t="shared" si="483"/>
        <v>333278.98650889122</v>
      </c>
      <c r="M651" s="5">
        <f t="shared" ref="M651:M674" si="495">(K651+L651)*D651</f>
        <v>1622.2523191983116</v>
      </c>
      <c r="N651" s="5">
        <f t="shared" ref="N651:N674" si="496">-(($K651+(L651)+M651/2)*(External_Fund_Charge_Monthly+Fund_Charge_Monthly+Gtee_Charge_Monthly*$E651))-I651*Government_Levy</f>
        <v>-551.47388267763029</v>
      </c>
      <c r="O651" s="5">
        <f t="shared" ref="O651:O674" si="497">(Reg_Contrib/Contrib_Per_Year)*(1+RP_Escalation_Rate)^(B651-1)*G651</f>
        <v>0</v>
      </c>
      <c r="P651" s="5">
        <f t="shared" ref="P651:P674" si="498">O651*(RP_Allocation_Rate-1)</f>
        <v>0</v>
      </c>
      <c r="Q651" s="5">
        <f t="shared" si="479"/>
        <v>0</v>
      </c>
      <c r="R651" s="5">
        <f t="shared" si="471"/>
        <v>0</v>
      </c>
      <c r="S651" s="5">
        <f t="shared" ref="S651:S674" si="499">(Q651+R651)*D651</f>
        <v>0</v>
      </c>
      <c r="T651" s="5">
        <f t="shared" ref="T651:T674" si="500">-(($Q651+(R651)+S651/2)*(External_Fund_Charge_Monthly+Fund_Charge_Monthly+Gtee_Charge_Monthly*$E651))-O651*Government_Levy</f>
        <v>0</v>
      </c>
      <c r="U651" s="74">
        <f t="shared" ref="U651:U674" si="501">IF(OR(Reg_Income_Flag="No",Income_Type="Fixed Percent"),0,IF(C651&gt;=Regular_Income_Start_Month,
MIN(Regular_Income_Amount/12*(1+Income_Escalation_Rate_Annual)^($B651-1),AU651),0))</f>
        <v>0</v>
      </c>
      <c r="V651" s="75">
        <f t="shared" ref="V651:V674" si="502">IF(Reg_Income_Flag="No",0,MAX(IF(C651&gt;=Regular_Income_Start_Month,
MIN(IF(Income_Type="Fixed Percent",$C$43,0)/12*(K651+L651+M651+N651+Q651+R651+S651+T651),AU651),0),0))</f>
        <v>0</v>
      </c>
      <c r="W651" s="5">
        <f t="shared" ref="W651:W674" si="503">-MAX(U651:V651)</f>
        <v>0</v>
      </c>
      <c r="X651" s="5">
        <f t="shared" ref="X651:X674" si="504">SUM(K651:N651,Q651:T651)</f>
        <v>334349.76494541194</v>
      </c>
      <c r="Y651" s="5">
        <f t="shared" si="472"/>
        <v>100000</v>
      </c>
      <c r="Z651" s="215">
        <f t="shared" ref="Z651:Z674" si="505">IFERROR(SUM(K651:N651)/X651,0)</f>
        <v>1</v>
      </c>
      <c r="AA651" s="216">
        <f t="shared" si="473"/>
        <v>0</v>
      </c>
      <c r="AB651" s="72">
        <f t="shared" si="480"/>
        <v>142977.44334415914</v>
      </c>
      <c r="AC651" s="72">
        <f t="shared" ref="AC651:AC674" si="506">IF(Y651=0,0,-IF(F651=1,1,AA651)*(MAX(X651+AB651-Y651,0)*Exit_Tax_Rate-AB651))</f>
        <v>0</v>
      </c>
      <c r="AD651" s="72">
        <f t="shared" ref="AD651:AD674" si="507">W651-IF(F651=1,AA651,1)*AC651</f>
        <v>0</v>
      </c>
      <c r="AE651" s="72">
        <f t="shared" si="474"/>
        <v>-69.624475710933595</v>
      </c>
      <c r="AF651" s="70">
        <f t="shared" ref="AF651:AF674" si="508">SUM(K651:N651,SUM(AC651:AD651)*Z651)*$H651</f>
        <v>0</v>
      </c>
      <c r="AG651" s="70">
        <f t="shared" ref="AG651:AG674" si="509">IF(F651=1,0,MAX(X651+AB651+AC651+AD651-AF651-Y651,0)*Exit_Tax_Rate-AB651)</f>
        <v>406.89580587789533</v>
      </c>
      <c r="AH651" s="1">
        <f t="shared" si="490"/>
        <v>0</v>
      </c>
      <c r="AI651" s="1">
        <f t="shared" si="490"/>
        <v>0</v>
      </c>
      <c r="AJ651" s="1">
        <f t="shared" si="490"/>
        <v>0</v>
      </c>
      <c r="AK651" s="1">
        <f t="shared" si="490"/>
        <v>0</v>
      </c>
      <c r="AL651" s="1">
        <f t="shared" si="490"/>
        <v>0</v>
      </c>
      <c r="AM651" s="1">
        <f t="shared" si="490"/>
        <v>0</v>
      </c>
      <c r="AN651" s="1">
        <f t="shared" si="490"/>
        <v>0</v>
      </c>
      <c r="AO651" s="1">
        <f t="shared" si="490"/>
        <v>0</v>
      </c>
      <c r="AP651" s="1">
        <f t="shared" si="490"/>
        <v>0</v>
      </c>
      <c r="AQ651" s="1">
        <f t="shared" si="490"/>
        <v>0</v>
      </c>
      <c r="AR651" s="1">
        <f t="shared" si="490"/>
        <v>0</v>
      </c>
      <c r="AS651" s="1">
        <f t="shared" si="490"/>
        <v>0</v>
      </c>
      <c r="AT651" s="39">
        <f t="shared" ref="AT651:AT674" si="510">SUM(K651:N651,Q651:T651,W651,AC651)</f>
        <v>334349.76494541194</v>
      </c>
      <c r="AU651" s="39">
        <f t="shared" si="475"/>
        <v>334349.76494541194</v>
      </c>
      <c r="AV651" s="39">
        <f t="shared" si="485"/>
        <v>0</v>
      </c>
      <c r="AW651" s="3">
        <f t="shared" ref="AW651:AW674" si="511">C651</f>
        <v>577</v>
      </c>
      <c r="AX651" s="69">
        <f t="shared" si="476"/>
        <v>0</v>
      </c>
      <c r="AY651" s="75">
        <f t="shared" ref="AY651:AY674" si="512">IF(OR(AND(B651=Fund_Zero_Year,BD652=0,BD651&gt;0),C651=$C$53*12),-BH651,IF(AND(B651+1=Fund_Zero_Year,BD652=0,BD651&gt;0),-BH651,0))</f>
        <v>0</v>
      </c>
      <c r="AZ651" s="75">
        <f t="shared" ref="AZ651:AZ674" si="513">IF(OR(AND(B651=Fund_Zero_Year,BD652=0,BD651&gt;0),C651=$C$53*12),-BD651,IF(AND(B651+1=Fund_Zero_Year,BD652=0,BD651&gt;0),-BD651,0))</f>
        <v>0</v>
      </c>
      <c r="BA651" s="75">
        <f t="shared" ref="BA651:BA674" si="514">AY651+AX651+IF(OR(B651&gt;Fund_Zero_Year,BD651=0,C651&gt;MAX($C$53,$C$52)*12),0,W651)</f>
        <v>0</v>
      </c>
      <c r="BB651" s="75">
        <f t="shared" ref="BB651:BB674" si="515">AZ651+AX651+IF(OR(B651&gt;Fund_Zero_Year,BD651=0,C651&gt;MAX($C$53,$C$52)*12),0,W651)</f>
        <v>0</v>
      </c>
      <c r="BD651" s="214">
        <f t="shared" si="477"/>
        <v>628158.51287086529</v>
      </c>
      <c r="BE651" s="214">
        <f t="shared" ref="BE651:BE674" si="516">BD651*D651</f>
        <v>3057.5933244496291</v>
      </c>
      <c r="BF651" s="214">
        <f t="shared" ref="BF651:BF674" si="517">-(BD651+BE651/2)*(External_Fund_Charge_Monthly+Fund_Charge_Monthly+Gtee_Charge_Monthly*$E651)-(I651+O651)*Government_Levy</f>
        <v>-1039.4085077447889</v>
      </c>
      <c r="BG651" s="224">
        <f t="shared" si="481"/>
        <v>0</v>
      </c>
      <c r="BH651" s="19">
        <f t="shared" si="478"/>
        <v>1623072.7126566079</v>
      </c>
      <c r="BI651" s="214">
        <f t="shared" ref="BI651:BI674" si="518">BH651*D651</f>
        <v>7900.3885000845466</v>
      </c>
      <c r="BJ651" s="214">
        <f t="shared" ref="BJ651:BJ673" si="519">-(I651+O651)*Government_Levy</f>
        <v>0</v>
      </c>
      <c r="BK651" s="19">
        <f t="shared" si="482"/>
        <v>0</v>
      </c>
    </row>
    <row r="652" spans="1:63">
      <c r="A652" s="165">
        <f t="shared" ref="A652:A674" si="520">$C$35+C651/12</f>
        <v>110.13945927446954</v>
      </c>
      <c r="B652" s="69">
        <f t="shared" ref="B652:B674" si="521">INT((C652-1)/12)+1</f>
        <v>49</v>
      </c>
      <c r="C652" s="70">
        <f t="shared" ref="C652:C674" si="522">C651+1</f>
        <v>578</v>
      </c>
      <c r="D652" s="13">
        <f t="shared" si="491"/>
        <v>4.8675505653430484E-3</v>
      </c>
      <c r="E652" s="15">
        <f t="shared" si="492"/>
        <v>1</v>
      </c>
      <c r="F652" s="15">
        <f t="shared" ref="F652:F674" si="523">IF(MOD(C652,96)=0,1,0)</f>
        <v>0</v>
      </c>
      <c r="G652" s="15">
        <f t="shared" si="493"/>
        <v>0</v>
      </c>
      <c r="H652" s="73">
        <f t="shared" si="494"/>
        <v>0</v>
      </c>
      <c r="I652" s="189"/>
      <c r="J652" s="189"/>
      <c r="K652" s="5">
        <f t="shared" si="483"/>
        <v>334349.76494541194</v>
      </c>
      <c r="M652" s="5">
        <f t="shared" si="495"/>
        <v>1627.4643873823552</v>
      </c>
      <c r="N652" s="5">
        <f t="shared" si="496"/>
        <v>-553.24569057965596</v>
      </c>
      <c r="O652" s="5">
        <f t="shared" si="497"/>
        <v>0</v>
      </c>
      <c r="P652" s="5">
        <f t="shared" si="498"/>
        <v>0</v>
      </c>
      <c r="Q652" s="5">
        <f t="shared" si="479"/>
        <v>0</v>
      </c>
      <c r="R652" s="5">
        <f t="shared" ref="R652:R673" si="524">O652+P652</f>
        <v>0</v>
      </c>
      <c r="S652" s="5">
        <f t="shared" si="499"/>
        <v>0</v>
      </c>
      <c r="T652" s="5">
        <f t="shared" si="500"/>
        <v>0</v>
      </c>
      <c r="U652" s="74">
        <f t="shared" si="501"/>
        <v>0</v>
      </c>
      <c r="V652" s="75">
        <f t="shared" si="502"/>
        <v>0</v>
      </c>
      <c r="W652" s="5">
        <f t="shared" si="503"/>
        <v>0</v>
      </c>
      <c r="X652" s="5">
        <f t="shared" si="504"/>
        <v>335423.98364221468</v>
      </c>
      <c r="Y652" s="5">
        <f t="shared" ref="Y652:Y674" si="525">I652+O652+Y651*(1-AA651)</f>
        <v>100000</v>
      </c>
      <c r="Z652" s="215">
        <f t="shared" si="505"/>
        <v>1</v>
      </c>
      <c r="AA652" s="216">
        <f t="shared" ref="AA652:AA674" si="526">IFERROR(-W652/X652,0)</f>
        <v>0</v>
      </c>
      <c r="AB652" s="72">
        <f t="shared" si="480"/>
        <v>142977.44334415914</v>
      </c>
      <c r="AC652" s="72">
        <f t="shared" si="506"/>
        <v>0</v>
      </c>
      <c r="AD652" s="72">
        <f t="shared" si="507"/>
        <v>0</v>
      </c>
      <c r="AE652" s="72">
        <f t="shared" ref="AE652:AE674" si="527">-(($K652+I652+M652/2+N652/2+W652/2+$Q652+O652+S652/2+T652/2))*(Ongoing_Commission_Monthly)</f>
        <v>-69.848169343785358</v>
      </c>
      <c r="AF652" s="70">
        <f t="shared" si="508"/>
        <v>0</v>
      </c>
      <c r="AG652" s="70">
        <f t="shared" si="509"/>
        <v>815.09891066292766</v>
      </c>
      <c r="AH652" s="1">
        <f t="shared" si="490"/>
        <v>0</v>
      </c>
      <c r="AI652" s="1">
        <f t="shared" si="490"/>
        <v>0</v>
      </c>
      <c r="AJ652" s="1">
        <f t="shared" si="490"/>
        <v>0</v>
      </c>
      <c r="AK652" s="1">
        <f t="shared" si="490"/>
        <v>0</v>
      </c>
      <c r="AL652" s="1">
        <f t="shared" si="490"/>
        <v>0</v>
      </c>
      <c r="AM652" s="1">
        <f t="shared" si="490"/>
        <v>0</v>
      </c>
      <c r="AN652" s="1">
        <f t="shared" si="490"/>
        <v>0</v>
      </c>
      <c r="AO652" s="1">
        <f t="shared" si="490"/>
        <v>0</v>
      </c>
      <c r="AP652" s="1">
        <f t="shared" si="490"/>
        <v>0</v>
      </c>
      <c r="AQ652" s="1">
        <f t="shared" si="490"/>
        <v>0</v>
      </c>
      <c r="AR652" s="1">
        <f t="shared" si="490"/>
        <v>0</v>
      </c>
      <c r="AS652" s="1">
        <f t="shared" si="490"/>
        <v>0</v>
      </c>
      <c r="AT652" s="39">
        <f t="shared" si="510"/>
        <v>335423.98364221468</v>
      </c>
      <c r="AU652" s="39">
        <f t="shared" ref="AU652:AU674" si="528">MAX(0,SUM(K652:N652)-$C$51)</f>
        <v>335423.98364221468</v>
      </c>
      <c r="AV652" s="39">
        <f t="shared" si="485"/>
        <v>0</v>
      </c>
      <c r="AW652" s="3">
        <f t="shared" si="511"/>
        <v>578</v>
      </c>
      <c r="AX652" s="69">
        <f t="shared" ref="AX652:AX674" si="529">IF(OR(B652&gt;Fund_Zero_Year,SUM(K652,Q652)=0,C652&gt;$C$53*12),0,I652+O652)</f>
        <v>0</v>
      </c>
      <c r="AY652" s="75">
        <f t="shared" si="512"/>
        <v>0</v>
      </c>
      <c r="AZ652" s="75">
        <f t="shared" si="513"/>
        <v>0</v>
      </c>
      <c r="BA652" s="75">
        <f t="shared" si="514"/>
        <v>0</v>
      </c>
      <c r="BB652" s="75">
        <f t="shared" si="515"/>
        <v>0</v>
      </c>
      <c r="BD652" s="214">
        <f t="shared" ref="BD652:BD674" si="530">SUM(BD651:BG651)+L652+R652</f>
        <v>630176.69768757012</v>
      </c>
      <c r="BE652" s="214">
        <f t="shared" si="516"/>
        <v>3067.4169410951472</v>
      </c>
      <c r="BF652" s="214">
        <f t="shared" si="517"/>
        <v>-1042.7479808645546</v>
      </c>
      <c r="BG652" s="224">
        <f t="shared" si="481"/>
        <v>0</v>
      </c>
      <c r="BH652" s="19">
        <f t="shared" ref="BH652:BH674" si="531">SUM(BH651:BK651)+L652+R652</f>
        <v>1630973.1011566925</v>
      </c>
      <c r="BI652" s="214">
        <f t="shared" si="518"/>
        <v>7938.844040594563</v>
      </c>
      <c r="BJ652" s="214">
        <f t="shared" si="519"/>
        <v>0</v>
      </c>
      <c r="BK652" s="19">
        <f t="shared" si="482"/>
        <v>0</v>
      </c>
    </row>
    <row r="653" spans="1:63">
      <c r="A653" s="165">
        <f t="shared" si="520"/>
        <v>110.22279260780287</v>
      </c>
      <c r="B653" s="69">
        <f t="shared" si="521"/>
        <v>49</v>
      </c>
      <c r="C653" s="70">
        <f t="shared" si="522"/>
        <v>579</v>
      </c>
      <c r="D653" s="13">
        <f t="shared" si="491"/>
        <v>4.8675505653430484E-3</v>
      </c>
      <c r="E653" s="15">
        <f t="shared" si="492"/>
        <v>1</v>
      </c>
      <c r="F653" s="15">
        <f t="shared" si="523"/>
        <v>0</v>
      </c>
      <c r="G653" s="15">
        <f t="shared" si="493"/>
        <v>0</v>
      </c>
      <c r="H653" s="73">
        <f t="shared" si="494"/>
        <v>0</v>
      </c>
      <c r="I653" s="189"/>
      <c r="J653" s="189"/>
      <c r="K653" s="5">
        <f t="shared" si="483"/>
        <v>335423.98364221468</v>
      </c>
      <c r="M653" s="5">
        <f t="shared" si="495"/>
        <v>1632.6932012072796</v>
      </c>
      <c r="N653" s="5">
        <f t="shared" si="496"/>
        <v>-555.02319105088623</v>
      </c>
      <c r="O653" s="5">
        <f t="shared" si="497"/>
        <v>0</v>
      </c>
      <c r="P653" s="5">
        <f t="shared" si="498"/>
        <v>0</v>
      </c>
      <c r="Q653" s="5">
        <f t="shared" ref="Q653:Q674" si="532">SUM(Q652:T652)+SUM(AC652)*(1-Z652)</f>
        <v>0</v>
      </c>
      <c r="R653" s="5">
        <f t="shared" si="524"/>
        <v>0</v>
      </c>
      <c r="S653" s="5">
        <f t="shared" si="499"/>
        <v>0</v>
      </c>
      <c r="T653" s="5">
        <f t="shared" si="500"/>
        <v>0</v>
      </c>
      <c r="U653" s="74">
        <f t="shared" si="501"/>
        <v>0</v>
      </c>
      <c r="V653" s="75">
        <f t="shared" si="502"/>
        <v>0</v>
      </c>
      <c r="W653" s="5">
        <f t="shared" si="503"/>
        <v>0</v>
      </c>
      <c r="X653" s="5">
        <f t="shared" si="504"/>
        <v>336501.65365237108</v>
      </c>
      <c r="Y653" s="5">
        <f t="shared" si="525"/>
        <v>100000</v>
      </c>
      <c r="Z653" s="215">
        <f t="shared" si="505"/>
        <v>1</v>
      </c>
      <c r="AA653" s="216">
        <f t="shared" si="526"/>
        <v>0</v>
      </c>
      <c r="AB653" s="72">
        <f t="shared" ref="AB653:AB674" si="533">-IF(F652=1,AC652*(1-AA652),0)+AB652*(1-AA652)</f>
        <v>142977.44334415914</v>
      </c>
      <c r="AC653" s="72">
        <f t="shared" si="506"/>
        <v>0</v>
      </c>
      <c r="AD653" s="72">
        <f t="shared" si="507"/>
        <v>0</v>
      </c>
      <c r="AE653" s="72">
        <f t="shared" si="527"/>
        <v>-70.072581672769019</v>
      </c>
      <c r="AF653" s="70">
        <f t="shared" si="508"/>
        <v>0</v>
      </c>
      <c r="AG653" s="70">
        <f t="shared" si="509"/>
        <v>1224.6135145223234</v>
      </c>
      <c r="AH653" s="1">
        <f t="shared" si="490"/>
        <v>0</v>
      </c>
      <c r="AI653" s="1">
        <f t="shared" si="490"/>
        <v>0</v>
      </c>
      <c r="AJ653" s="1">
        <f t="shared" si="490"/>
        <v>0</v>
      </c>
      <c r="AK653" s="1">
        <f t="shared" si="490"/>
        <v>0</v>
      </c>
      <c r="AL653" s="1">
        <f t="shared" si="490"/>
        <v>0</v>
      </c>
      <c r="AM653" s="1">
        <f t="shared" si="490"/>
        <v>0</v>
      </c>
      <c r="AN653" s="1">
        <f t="shared" si="490"/>
        <v>0</v>
      </c>
      <c r="AO653" s="1">
        <f t="shared" si="490"/>
        <v>0</v>
      </c>
      <c r="AP653" s="1">
        <f t="shared" si="490"/>
        <v>0</v>
      </c>
      <c r="AQ653" s="1">
        <f t="shared" si="490"/>
        <v>0</v>
      </c>
      <c r="AR653" s="1">
        <f t="shared" si="490"/>
        <v>0</v>
      </c>
      <c r="AS653" s="1">
        <f t="shared" si="490"/>
        <v>0</v>
      </c>
      <c r="AT653" s="39">
        <f t="shared" si="510"/>
        <v>336501.65365237108</v>
      </c>
      <c r="AU653" s="39">
        <f t="shared" si="528"/>
        <v>336501.65365237108</v>
      </c>
      <c r="AV653" s="39">
        <f t="shared" si="485"/>
        <v>0</v>
      </c>
      <c r="AW653" s="3">
        <f t="shared" si="511"/>
        <v>579</v>
      </c>
      <c r="AX653" s="69">
        <f t="shared" si="529"/>
        <v>0</v>
      </c>
      <c r="AY653" s="75">
        <f t="shared" si="512"/>
        <v>0</v>
      </c>
      <c r="AZ653" s="75">
        <f t="shared" si="513"/>
        <v>0</v>
      </c>
      <c r="BA653" s="75">
        <f t="shared" si="514"/>
        <v>0</v>
      </c>
      <c r="BB653" s="75">
        <f t="shared" si="515"/>
        <v>0</v>
      </c>
      <c r="BD653" s="214">
        <f t="shared" si="530"/>
        <v>632201.36664780066</v>
      </c>
      <c r="BE653" s="214">
        <f t="shared" si="516"/>
        <v>3077.2721196371499</v>
      </c>
      <c r="BF653" s="214">
        <f t="shared" si="517"/>
        <v>-1046.0981832410416</v>
      </c>
      <c r="BG653" s="224">
        <f t="shared" ref="BG653:BG674" si="534">W653</f>
        <v>0</v>
      </c>
      <c r="BH653" s="19">
        <f t="shared" si="531"/>
        <v>1638911.945197287</v>
      </c>
      <c r="BI653" s="214">
        <f t="shared" si="518"/>
        <v>7977.4867653925294</v>
      </c>
      <c r="BJ653" s="214">
        <f t="shared" si="519"/>
        <v>0</v>
      </c>
      <c r="BK653" s="19">
        <f t="shared" ref="BK653:BK674" si="535">W653</f>
        <v>0</v>
      </c>
    </row>
    <row r="654" spans="1:63">
      <c r="A654" s="165">
        <f t="shared" si="520"/>
        <v>110.3061259411362</v>
      </c>
      <c r="B654" s="69">
        <f t="shared" si="521"/>
        <v>49</v>
      </c>
      <c r="C654" s="70">
        <f t="shared" si="522"/>
        <v>580</v>
      </c>
      <c r="D654" s="13">
        <f t="shared" si="491"/>
        <v>4.8675505653430484E-3</v>
      </c>
      <c r="E654" s="15">
        <f t="shared" si="492"/>
        <v>1</v>
      </c>
      <c r="F654" s="15">
        <f t="shared" si="523"/>
        <v>0</v>
      </c>
      <c r="G654" s="15">
        <f t="shared" si="493"/>
        <v>0</v>
      </c>
      <c r="H654" s="73">
        <f t="shared" si="494"/>
        <v>0</v>
      </c>
      <c r="I654" s="189"/>
      <c r="J654" s="189"/>
      <c r="K654" s="5">
        <f t="shared" ref="K654:K674" si="536">SUM(K653:N653)+AD653+AC653*Z653</f>
        <v>336501.65365237108</v>
      </c>
      <c r="M654" s="5">
        <f t="shared" si="495"/>
        <v>1637.9388144744696</v>
      </c>
      <c r="N654" s="5">
        <f t="shared" si="496"/>
        <v>-556.80640238074409</v>
      </c>
      <c r="O654" s="5">
        <f t="shared" si="497"/>
        <v>0</v>
      </c>
      <c r="P654" s="5">
        <f t="shared" si="498"/>
        <v>0</v>
      </c>
      <c r="Q654" s="5">
        <f t="shared" si="532"/>
        <v>0</v>
      </c>
      <c r="R654" s="5">
        <f t="shared" si="524"/>
        <v>0</v>
      </c>
      <c r="S654" s="5">
        <f t="shared" si="499"/>
        <v>0</v>
      </c>
      <c r="T654" s="5">
        <f t="shared" si="500"/>
        <v>0</v>
      </c>
      <c r="U654" s="74">
        <f t="shared" si="501"/>
        <v>0</v>
      </c>
      <c r="V654" s="75">
        <f t="shared" si="502"/>
        <v>0</v>
      </c>
      <c r="W654" s="5">
        <f t="shared" si="503"/>
        <v>0</v>
      </c>
      <c r="X654" s="5">
        <f t="shared" si="504"/>
        <v>337582.78606446477</v>
      </c>
      <c r="Y654" s="5">
        <f t="shared" si="525"/>
        <v>100000</v>
      </c>
      <c r="Z654" s="215">
        <f t="shared" si="505"/>
        <v>1</v>
      </c>
      <c r="AA654" s="216">
        <f t="shared" si="526"/>
        <v>0</v>
      </c>
      <c r="AB654" s="72">
        <f t="shared" si="533"/>
        <v>142977.44334415914</v>
      </c>
      <c r="AC654" s="72">
        <f t="shared" si="506"/>
        <v>0</v>
      </c>
      <c r="AD654" s="72">
        <f t="shared" si="507"/>
        <v>0</v>
      </c>
      <c r="AE654" s="72">
        <f t="shared" si="527"/>
        <v>-70.297715006953993</v>
      </c>
      <c r="AF654" s="70">
        <f t="shared" si="508"/>
        <v>0</v>
      </c>
      <c r="AG654" s="70">
        <f t="shared" si="509"/>
        <v>1635.4438311179401</v>
      </c>
      <c r="AH654" s="1">
        <f t="shared" si="490"/>
        <v>0</v>
      </c>
      <c r="AI654" s="1">
        <f t="shared" si="490"/>
        <v>0</v>
      </c>
      <c r="AJ654" s="1">
        <f t="shared" si="490"/>
        <v>0</v>
      </c>
      <c r="AK654" s="1">
        <f t="shared" si="490"/>
        <v>0</v>
      </c>
      <c r="AL654" s="1">
        <f t="shared" si="490"/>
        <v>0</v>
      </c>
      <c r="AM654" s="1">
        <f t="shared" si="490"/>
        <v>0</v>
      </c>
      <c r="AN654" s="1">
        <f t="shared" si="490"/>
        <v>0</v>
      </c>
      <c r="AO654" s="1">
        <f t="shared" si="490"/>
        <v>0</v>
      </c>
      <c r="AP654" s="1">
        <f t="shared" si="490"/>
        <v>0</v>
      </c>
      <c r="AQ654" s="1">
        <f t="shared" si="490"/>
        <v>0</v>
      </c>
      <c r="AR654" s="1">
        <f t="shared" si="490"/>
        <v>0</v>
      </c>
      <c r="AS654" s="1">
        <f t="shared" si="490"/>
        <v>0</v>
      </c>
      <c r="AT654" s="39">
        <f t="shared" si="510"/>
        <v>337582.78606446477</v>
      </c>
      <c r="AU654" s="39">
        <f t="shared" si="528"/>
        <v>337582.78606446477</v>
      </c>
      <c r="AV654" s="39">
        <f t="shared" si="485"/>
        <v>0</v>
      </c>
      <c r="AW654" s="3">
        <f t="shared" si="511"/>
        <v>580</v>
      </c>
      <c r="AX654" s="69">
        <f t="shared" si="529"/>
        <v>0</v>
      </c>
      <c r="AY654" s="75">
        <f t="shared" si="512"/>
        <v>0</v>
      </c>
      <c r="AZ654" s="75">
        <f t="shared" si="513"/>
        <v>0</v>
      </c>
      <c r="BA654" s="75">
        <f t="shared" si="514"/>
        <v>0</v>
      </c>
      <c r="BB654" s="75">
        <f t="shared" si="515"/>
        <v>0</v>
      </c>
      <c r="BD654" s="214">
        <f t="shared" si="530"/>
        <v>634232.54058419669</v>
      </c>
      <c r="BE654" s="214">
        <f t="shared" si="516"/>
        <v>3087.1589614795644</v>
      </c>
      <c r="BF654" s="214">
        <f t="shared" si="517"/>
        <v>-1049.4591493458399</v>
      </c>
      <c r="BG654" s="224">
        <f t="shared" si="534"/>
        <v>0</v>
      </c>
      <c r="BH654" s="19">
        <f t="shared" si="531"/>
        <v>1646889.4319626796</v>
      </c>
      <c r="BI654" s="214">
        <f t="shared" si="518"/>
        <v>8016.3175856074331</v>
      </c>
      <c r="BJ654" s="214">
        <f t="shared" si="519"/>
        <v>0</v>
      </c>
      <c r="BK654" s="19">
        <f t="shared" si="535"/>
        <v>0</v>
      </c>
    </row>
    <row r="655" spans="1:63">
      <c r="A655" s="165">
        <f t="shared" si="520"/>
        <v>110.38945927446954</v>
      </c>
      <c r="B655" s="69">
        <f t="shared" si="521"/>
        <v>49</v>
      </c>
      <c r="C655" s="70">
        <f t="shared" si="522"/>
        <v>581</v>
      </c>
      <c r="D655" s="13">
        <f t="shared" si="491"/>
        <v>4.8675505653430484E-3</v>
      </c>
      <c r="E655" s="15">
        <f t="shared" si="492"/>
        <v>1</v>
      </c>
      <c r="F655" s="15">
        <f t="shared" si="523"/>
        <v>0</v>
      </c>
      <c r="G655" s="15">
        <f t="shared" si="493"/>
        <v>0</v>
      </c>
      <c r="H655" s="73">
        <f t="shared" si="494"/>
        <v>0</v>
      </c>
      <c r="I655" s="189"/>
      <c r="J655" s="189"/>
      <c r="K655" s="5">
        <f t="shared" si="536"/>
        <v>337582.78606446477</v>
      </c>
      <c r="M655" s="5">
        <f t="shared" si="495"/>
        <v>1643.2012811581669</v>
      </c>
      <c r="N655" s="5">
        <f t="shared" si="496"/>
        <v>-558.59534291741375</v>
      </c>
      <c r="O655" s="5">
        <f t="shared" si="497"/>
        <v>0</v>
      </c>
      <c r="P655" s="5">
        <f t="shared" si="498"/>
        <v>0</v>
      </c>
      <c r="Q655" s="5">
        <f t="shared" si="532"/>
        <v>0</v>
      </c>
      <c r="R655" s="5">
        <f t="shared" si="524"/>
        <v>0</v>
      </c>
      <c r="S655" s="5">
        <f t="shared" si="499"/>
        <v>0</v>
      </c>
      <c r="T655" s="5">
        <f t="shared" si="500"/>
        <v>0</v>
      </c>
      <c r="U655" s="74">
        <f t="shared" si="501"/>
        <v>0</v>
      </c>
      <c r="V655" s="75">
        <f t="shared" si="502"/>
        <v>0</v>
      </c>
      <c r="W655" s="5">
        <f t="shared" si="503"/>
        <v>0</v>
      </c>
      <c r="X655" s="5">
        <f t="shared" si="504"/>
        <v>338667.39200270554</v>
      </c>
      <c r="Y655" s="5">
        <f t="shared" si="525"/>
        <v>100000</v>
      </c>
      <c r="Z655" s="215">
        <f t="shared" si="505"/>
        <v>1</v>
      </c>
      <c r="AA655" s="216">
        <f t="shared" si="526"/>
        <v>0</v>
      </c>
      <c r="AB655" s="72">
        <f t="shared" si="533"/>
        <v>142977.44334415914</v>
      </c>
      <c r="AC655" s="72">
        <f t="shared" si="506"/>
        <v>0</v>
      </c>
      <c r="AD655" s="72">
        <f t="shared" si="507"/>
        <v>0</v>
      </c>
      <c r="AE655" s="72">
        <f t="shared" si="527"/>
        <v>-70.523571662828431</v>
      </c>
      <c r="AF655" s="70">
        <f t="shared" si="508"/>
        <v>0</v>
      </c>
      <c r="AG655" s="70">
        <f t="shared" si="509"/>
        <v>2047.5940876494278</v>
      </c>
      <c r="AH655" s="1">
        <f t="shared" ref="AH655:AS664" si="537">IF($B655&lt;=AH$74,1,0)</f>
        <v>0</v>
      </c>
      <c r="AI655" s="1">
        <f t="shared" si="537"/>
        <v>0</v>
      </c>
      <c r="AJ655" s="1">
        <f t="shared" si="537"/>
        <v>0</v>
      </c>
      <c r="AK655" s="1">
        <f t="shared" si="537"/>
        <v>0</v>
      </c>
      <c r="AL655" s="1">
        <f t="shared" si="537"/>
        <v>0</v>
      </c>
      <c r="AM655" s="1">
        <f t="shared" si="537"/>
        <v>0</v>
      </c>
      <c r="AN655" s="1">
        <f t="shared" si="537"/>
        <v>0</v>
      </c>
      <c r="AO655" s="1">
        <f t="shared" si="537"/>
        <v>0</v>
      </c>
      <c r="AP655" s="1">
        <f t="shared" si="537"/>
        <v>0</v>
      </c>
      <c r="AQ655" s="1">
        <f t="shared" si="537"/>
        <v>0</v>
      </c>
      <c r="AR655" s="1">
        <f t="shared" si="537"/>
        <v>0</v>
      </c>
      <c r="AS655" s="1">
        <f t="shared" si="537"/>
        <v>0</v>
      </c>
      <c r="AT655" s="39">
        <f t="shared" si="510"/>
        <v>338667.39200270554</v>
      </c>
      <c r="AU655" s="39">
        <f t="shared" si="528"/>
        <v>338667.39200270554</v>
      </c>
      <c r="AV655" s="39">
        <f t="shared" si="485"/>
        <v>0</v>
      </c>
      <c r="AW655" s="3">
        <f t="shared" si="511"/>
        <v>581</v>
      </c>
      <c r="AX655" s="69">
        <f t="shared" si="529"/>
        <v>0</v>
      </c>
      <c r="AY655" s="75">
        <f t="shared" si="512"/>
        <v>0</v>
      </c>
      <c r="AZ655" s="75">
        <f t="shared" si="513"/>
        <v>0</v>
      </c>
      <c r="BA655" s="75">
        <f t="shared" si="514"/>
        <v>0</v>
      </c>
      <c r="BB655" s="75">
        <f t="shared" si="515"/>
        <v>0</v>
      </c>
      <c r="BD655" s="214">
        <f t="shared" si="530"/>
        <v>636270.24039633037</v>
      </c>
      <c r="BE655" s="214">
        <f t="shared" si="516"/>
        <v>3097.0775683521151</v>
      </c>
      <c r="BF655" s="214">
        <f t="shared" si="517"/>
        <v>-1052.8309137612928</v>
      </c>
      <c r="BG655" s="224">
        <f t="shared" si="534"/>
        <v>0</v>
      </c>
      <c r="BH655" s="19">
        <f t="shared" si="531"/>
        <v>1654905.7495482871</v>
      </c>
      <c r="BI655" s="214">
        <f t="shared" si="518"/>
        <v>8055.337416803226</v>
      </c>
      <c r="BJ655" s="214">
        <f t="shared" si="519"/>
        <v>0</v>
      </c>
      <c r="BK655" s="19">
        <f t="shared" si="535"/>
        <v>0</v>
      </c>
    </row>
    <row r="656" spans="1:63">
      <c r="A656" s="165">
        <f t="shared" si="520"/>
        <v>110.47279260780287</v>
      </c>
      <c r="B656" s="69">
        <f t="shared" si="521"/>
        <v>49</v>
      </c>
      <c r="C656" s="70">
        <f t="shared" si="522"/>
        <v>582</v>
      </c>
      <c r="D656" s="13">
        <f t="shared" si="491"/>
        <v>4.8675505653430484E-3</v>
      </c>
      <c r="E656" s="15">
        <f t="shared" si="492"/>
        <v>1</v>
      </c>
      <c r="F656" s="15">
        <f t="shared" si="523"/>
        <v>0</v>
      </c>
      <c r="G656" s="15">
        <f t="shared" si="493"/>
        <v>0</v>
      </c>
      <c r="H656" s="73">
        <f t="shared" si="494"/>
        <v>0</v>
      </c>
      <c r="I656" s="189"/>
      <c r="J656" s="189"/>
      <c r="K656" s="5">
        <f t="shared" si="536"/>
        <v>338667.39200270554</v>
      </c>
      <c r="M656" s="5">
        <f t="shared" si="495"/>
        <v>1648.4806554060251</v>
      </c>
      <c r="N656" s="5">
        <f t="shared" si="496"/>
        <v>-560.39003106802977</v>
      </c>
      <c r="O656" s="5">
        <f t="shared" si="497"/>
        <v>0</v>
      </c>
      <c r="P656" s="5">
        <f t="shared" si="498"/>
        <v>0</v>
      </c>
      <c r="Q656" s="5">
        <f t="shared" si="532"/>
        <v>0</v>
      </c>
      <c r="R656" s="5">
        <f t="shared" si="524"/>
        <v>0</v>
      </c>
      <c r="S656" s="5">
        <f t="shared" si="499"/>
        <v>0</v>
      </c>
      <c r="T656" s="5">
        <f t="shared" si="500"/>
        <v>0</v>
      </c>
      <c r="U656" s="74">
        <f t="shared" si="501"/>
        <v>0</v>
      </c>
      <c r="V656" s="75">
        <f t="shared" si="502"/>
        <v>0</v>
      </c>
      <c r="W656" s="5">
        <f t="shared" si="503"/>
        <v>0</v>
      </c>
      <c r="X656" s="5">
        <f t="shared" si="504"/>
        <v>339755.48262704356</v>
      </c>
      <c r="Y656" s="5">
        <f t="shared" si="525"/>
        <v>100000</v>
      </c>
      <c r="Z656" s="215">
        <f t="shared" si="505"/>
        <v>1</v>
      </c>
      <c r="AA656" s="216">
        <f t="shared" si="526"/>
        <v>0</v>
      </c>
      <c r="AB656" s="72">
        <f t="shared" si="533"/>
        <v>142977.44334415914</v>
      </c>
      <c r="AC656" s="72">
        <f t="shared" si="506"/>
        <v>0</v>
      </c>
      <c r="AD656" s="72">
        <f t="shared" si="507"/>
        <v>0</v>
      </c>
      <c r="AE656" s="72">
        <f t="shared" si="527"/>
        <v>-70.750153964323047</v>
      </c>
      <c r="AF656" s="70">
        <f t="shared" si="508"/>
        <v>0</v>
      </c>
      <c r="AG656" s="70">
        <f t="shared" si="509"/>
        <v>2461.0685248978843</v>
      </c>
      <c r="AH656" s="1">
        <f t="shared" si="537"/>
        <v>0</v>
      </c>
      <c r="AI656" s="1">
        <f t="shared" si="537"/>
        <v>0</v>
      </c>
      <c r="AJ656" s="1">
        <f t="shared" si="537"/>
        <v>0</v>
      </c>
      <c r="AK656" s="1">
        <f t="shared" si="537"/>
        <v>0</v>
      </c>
      <c r="AL656" s="1">
        <f t="shared" si="537"/>
        <v>0</v>
      </c>
      <c r="AM656" s="1">
        <f t="shared" si="537"/>
        <v>0</v>
      </c>
      <c r="AN656" s="1">
        <f t="shared" si="537"/>
        <v>0</v>
      </c>
      <c r="AO656" s="1">
        <f t="shared" si="537"/>
        <v>0</v>
      </c>
      <c r="AP656" s="1">
        <f t="shared" si="537"/>
        <v>0</v>
      </c>
      <c r="AQ656" s="1">
        <f t="shared" si="537"/>
        <v>0</v>
      </c>
      <c r="AR656" s="1">
        <f t="shared" si="537"/>
        <v>0</v>
      </c>
      <c r="AS656" s="1">
        <f t="shared" si="537"/>
        <v>0</v>
      </c>
      <c r="AT656" s="39">
        <f t="shared" si="510"/>
        <v>339755.48262704356</v>
      </c>
      <c r="AU656" s="39">
        <f t="shared" si="528"/>
        <v>339755.48262704356</v>
      </c>
      <c r="AV656" s="39">
        <f t="shared" si="485"/>
        <v>0</v>
      </c>
      <c r="AW656" s="3">
        <f t="shared" si="511"/>
        <v>582</v>
      </c>
      <c r="AX656" s="69">
        <f t="shared" si="529"/>
        <v>0</v>
      </c>
      <c r="AY656" s="75">
        <f t="shared" si="512"/>
        <v>0</v>
      </c>
      <c r="AZ656" s="75">
        <f t="shared" si="513"/>
        <v>0</v>
      </c>
      <c r="BA656" s="75">
        <f t="shared" si="514"/>
        <v>0</v>
      </c>
      <c r="BB656" s="75">
        <f t="shared" si="515"/>
        <v>0</v>
      </c>
      <c r="BD656" s="214">
        <f t="shared" si="530"/>
        <v>638314.48705092119</v>
      </c>
      <c r="BE656" s="214">
        <f t="shared" si="516"/>
        <v>3107.0280423113695</v>
      </c>
      <c r="BF656" s="214">
        <f t="shared" si="517"/>
        <v>-1056.2135111808509</v>
      </c>
      <c r="BG656" s="224">
        <f t="shared" si="534"/>
        <v>0</v>
      </c>
      <c r="BH656" s="19">
        <f t="shared" si="531"/>
        <v>1662961.0869650904</v>
      </c>
      <c r="BI656" s="214">
        <f t="shared" si="518"/>
        <v>8094.5471790004158</v>
      </c>
      <c r="BJ656" s="214">
        <f t="shared" si="519"/>
        <v>0</v>
      </c>
      <c r="BK656" s="19">
        <f t="shared" si="535"/>
        <v>0</v>
      </c>
    </row>
    <row r="657" spans="1:63">
      <c r="A657" s="165">
        <f t="shared" si="520"/>
        <v>110.5561259411362</v>
      </c>
      <c r="B657" s="69">
        <f t="shared" si="521"/>
        <v>49</v>
      </c>
      <c r="C657" s="70">
        <f t="shared" si="522"/>
        <v>583</v>
      </c>
      <c r="D657" s="13">
        <f t="shared" si="491"/>
        <v>4.8675505653430484E-3</v>
      </c>
      <c r="E657" s="15">
        <f t="shared" si="492"/>
        <v>1</v>
      </c>
      <c r="F657" s="15">
        <f t="shared" si="523"/>
        <v>0</v>
      </c>
      <c r="G657" s="15">
        <f t="shared" si="493"/>
        <v>0</v>
      </c>
      <c r="H657" s="73">
        <f t="shared" si="494"/>
        <v>0</v>
      </c>
      <c r="I657" s="189"/>
      <c r="J657" s="189"/>
      <c r="K657" s="5">
        <f t="shared" si="536"/>
        <v>339755.48262704356</v>
      </c>
      <c r="M657" s="5">
        <f t="shared" si="495"/>
        <v>1653.7769915396661</v>
      </c>
      <c r="N657" s="5">
        <f t="shared" si="496"/>
        <v>-562.19048529886618</v>
      </c>
      <c r="O657" s="5">
        <f t="shared" si="497"/>
        <v>0</v>
      </c>
      <c r="P657" s="5">
        <f t="shared" si="498"/>
        <v>0</v>
      </c>
      <c r="Q657" s="5">
        <f t="shared" si="532"/>
        <v>0</v>
      </c>
      <c r="R657" s="5">
        <f t="shared" si="524"/>
        <v>0</v>
      </c>
      <c r="S657" s="5">
        <f t="shared" si="499"/>
        <v>0</v>
      </c>
      <c r="T657" s="5">
        <f t="shared" si="500"/>
        <v>0</v>
      </c>
      <c r="U657" s="74">
        <f t="shared" si="501"/>
        <v>0</v>
      </c>
      <c r="V657" s="75">
        <f t="shared" si="502"/>
        <v>0</v>
      </c>
      <c r="W657" s="5">
        <f t="shared" si="503"/>
        <v>0</v>
      </c>
      <c r="X657" s="5">
        <f t="shared" si="504"/>
        <v>340847.06913328439</v>
      </c>
      <c r="Y657" s="5">
        <f t="shared" si="525"/>
        <v>100000</v>
      </c>
      <c r="Z657" s="215">
        <f t="shared" si="505"/>
        <v>1</v>
      </c>
      <c r="AA657" s="216">
        <f t="shared" si="526"/>
        <v>0</v>
      </c>
      <c r="AB657" s="72">
        <f t="shared" si="533"/>
        <v>142977.44334415914</v>
      </c>
      <c r="AC657" s="72">
        <f t="shared" si="506"/>
        <v>0</v>
      </c>
      <c r="AD657" s="72">
        <f t="shared" si="507"/>
        <v>0</v>
      </c>
      <c r="AE657" s="72">
        <f t="shared" si="527"/>
        <v>-70.977464242834998</v>
      </c>
      <c r="AF657" s="70">
        <f t="shared" si="508"/>
        <v>0</v>
      </c>
      <c r="AG657" s="70">
        <f t="shared" si="509"/>
        <v>2875.8713972694241</v>
      </c>
      <c r="AH657" s="1">
        <f t="shared" si="537"/>
        <v>0</v>
      </c>
      <c r="AI657" s="1">
        <f t="shared" si="537"/>
        <v>0</v>
      </c>
      <c r="AJ657" s="1">
        <f t="shared" si="537"/>
        <v>0</v>
      </c>
      <c r="AK657" s="1">
        <f t="shared" si="537"/>
        <v>0</v>
      </c>
      <c r="AL657" s="1">
        <f t="shared" si="537"/>
        <v>0</v>
      </c>
      <c r="AM657" s="1">
        <f t="shared" si="537"/>
        <v>0</v>
      </c>
      <c r="AN657" s="1">
        <f t="shared" si="537"/>
        <v>0</v>
      </c>
      <c r="AO657" s="1">
        <f t="shared" si="537"/>
        <v>0</v>
      </c>
      <c r="AP657" s="1">
        <f t="shared" si="537"/>
        <v>0</v>
      </c>
      <c r="AQ657" s="1">
        <f t="shared" si="537"/>
        <v>0</v>
      </c>
      <c r="AR657" s="1">
        <f t="shared" si="537"/>
        <v>0</v>
      </c>
      <c r="AS657" s="1">
        <f t="shared" si="537"/>
        <v>0</v>
      </c>
      <c r="AT657" s="39">
        <f t="shared" si="510"/>
        <v>340847.06913328439</v>
      </c>
      <c r="AU657" s="39">
        <f t="shared" si="528"/>
        <v>340847.06913328439</v>
      </c>
      <c r="AV657" s="39">
        <f t="shared" si="485"/>
        <v>0</v>
      </c>
      <c r="AW657" s="3">
        <f t="shared" si="511"/>
        <v>583</v>
      </c>
      <c r="AX657" s="69">
        <f t="shared" si="529"/>
        <v>0</v>
      </c>
      <c r="AY657" s="75">
        <f t="shared" si="512"/>
        <v>0</v>
      </c>
      <c r="AZ657" s="75">
        <f t="shared" si="513"/>
        <v>0</v>
      </c>
      <c r="BA657" s="75">
        <f t="shared" si="514"/>
        <v>0</v>
      </c>
      <c r="BB657" s="75">
        <f t="shared" si="515"/>
        <v>0</v>
      </c>
      <c r="BD657" s="214">
        <f t="shared" si="530"/>
        <v>640365.30158205167</v>
      </c>
      <c r="BE657" s="214">
        <f t="shared" si="516"/>
        <v>3117.0104857417873</v>
      </c>
      <c r="BF657" s="214">
        <f t="shared" si="517"/>
        <v>-1059.6069764094307</v>
      </c>
      <c r="BG657" s="224">
        <f t="shared" si="534"/>
        <v>0</v>
      </c>
      <c r="BH657" s="19">
        <f t="shared" si="531"/>
        <v>1671055.6341440908</v>
      </c>
      <c r="BI657" s="214">
        <f t="shared" si="518"/>
        <v>8133.9477966977556</v>
      </c>
      <c r="BJ657" s="214">
        <f t="shared" si="519"/>
        <v>0</v>
      </c>
      <c r="BK657" s="19">
        <f t="shared" si="535"/>
        <v>0</v>
      </c>
    </row>
    <row r="658" spans="1:63">
      <c r="A658" s="165">
        <f t="shared" si="520"/>
        <v>110.63945927446954</v>
      </c>
      <c r="B658" s="69">
        <f t="shared" si="521"/>
        <v>49</v>
      </c>
      <c r="C658" s="70">
        <f t="shared" si="522"/>
        <v>584</v>
      </c>
      <c r="D658" s="13">
        <f t="shared" si="491"/>
        <v>4.8675505653430484E-3</v>
      </c>
      <c r="E658" s="15">
        <f t="shared" si="492"/>
        <v>1</v>
      </c>
      <c r="F658" s="15">
        <f t="shared" si="523"/>
        <v>0</v>
      </c>
      <c r="G658" s="15">
        <f t="shared" si="493"/>
        <v>0</v>
      </c>
      <c r="H658" s="73">
        <f t="shared" si="494"/>
        <v>0</v>
      </c>
      <c r="I658" s="189"/>
      <c r="J658" s="189"/>
      <c r="K658" s="5">
        <f t="shared" si="536"/>
        <v>340847.06913328439</v>
      </c>
      <c r="M658" s="5">
        <f t="shared" si="495"/>
        <v>1659.0903440552395</v>
      </c>
      <c r="N658" s="5">
        <f t="shared" si="496"/>
        <v>-563.99672413552651</v>
      </c>
      <c r="O658" s="5">
        <f t="shared" si="497"/>
        <v>0</v>
      </c>
      <c r="P658" s="5">
        <f t="shared" si="498"/>
        <v>0</v>
      </c>
      <c r="Q658" s="5">
        <f t="shared" si="532"/>
        <v>0</v>
      </c>
      <c r="R658" s="5">
        <f t="shared" si="524"/>
        <v>0</v>
      </c>
      <c r="S658" s="5">
        <f t="shared" si="499"/>
        <v>0</v>
      </c>
      <c r="T658" s="5">
        <f t="shared" si="500"/>
        <v>0</v>
      </c>
      <c r="U658" s="74">
        <f t="shared" si="501"/>
        <v>0</v>
      </c>
      <c r="V658" s="75">
        <f t="shared" si="502"/>
        <v>0</v>
      </c>
      <c r="W658" s="5">
        <f t="shared" si="503"/>
        <v>0</v>
      </c>
      <c r="X658" s="5">
        <f t="shared" si="504"/>
        <v>341942.16275320412</v>
      </c>
      <c r="Y658" s="5">
        <f t="shared" si="525"/>
        <v>100000</v>
      </c>
      <c r="Z658" s="215">
        <f t="shared" si="505"/>
        <v>1</v>
      </c>
      <c r="AA658" s="216">
        <f t="shared" si="526"/>
        <v>0</v>
      </c>
      <c r="AB658" s="72">
        <f t="shared" si="533"/>
        <v>142977.44334415914</v>
      </c>
      <c r="AC658" s="72">
        <f t="shared" si="506"/>
        <v>0</v>
      </c>
      <c r="AD658" s="72">
        <f t="shared" si="507"/>
        <v>0</v>
      </c>
      <c r="AE658" s="72">
        <f t="shared" si="527"/>
        <v>-71.205504837251894</v>
      </c>
      <c r="AF658" s="70">
        <f t="shared" si="508"/>
        <v>0</v>
      </c>
      <c r="AG658" s="70">
        <f t="shared" si="509"/>
        <v>3292.0069728389208</v>
      </c>
      <c r="AH658" s="1">
        <f t="shared" si="537"/>
        <v>0</v>
      </c>
      <c r="AI658" s="1">
        <f t="shared" si="537"/>
        <v>0</v>
      </c>
      <c r="AJ658" s="1">
        <f t="shared" si="537"/>
        <v>0</v>
      </c>
      <c r="AK658" s="1">
        <f t="shared" si="537"/>
        <v>0</v>
      </c>
      <c r="AL658" s="1">
        <f t="shared" si="537"/>
        <v>0</v>
      </c>
      <c r="AM658" s="1">
        <f t="shared" si="537"/>
        <v>0</v>
      </c>
      <c r="AN658" s="1">
        <f t="shared" si="537"/>
        <v>0</v>
      </c>
      <c r="AO658" s="1">
        <f t="shared" si="537"/>
        <v>0</v>
      </c>
      <c r="AP658" s="1">
        <f t="shared" si="537"/>
        <v>0</v>
      </c>
      <c r="AQ658" s="1">
        <f t="shared" si="537"/>
        <v>0</v>
      </c>
      <c r="AR658" s="1">
        <f t="shared" si="537"/>
        <v>0</v>
      </c>
      <c r="AS658" s="1">
        <f t="shared" si="537"/>
        <v>0</v>
      </c>
      <c r="AT658" s="39">
        <f t="shared" si="510"/>
        <v>341942.16275320412</v>
      </c>
      <c r="AU658" s="39">
        <f t="shared" si="528"/>
        <v>341942.16275320412</v>
      </c>
      <c r="AV658" s="39">
        <f t="shared" si="485"/>
        <v>0</v>
      </c>
      <c r="AW658" s="3">
        <f t="shared" si="511"/>
        <v>584</v>
      </c>
      <c r="AX658" s="69">
        <f t="shared" si="529"/>
        <v>0</v>
      </c>
      <c r="AY658" s="75">
        <f t="shared" si="512"/>
        <v>0</v>
      </c>
      <c r="AZ658" s="75">
        <f t="shared" si="513"/>
        <v>0</v>
      </c>
      <c r="BA658" s="75">
        <f t="shared" si="514"/>
        <v>0</v>
      </c>
      <c r="BB658" s="75">
        <f t="shared" si="515"/>
        <v>0</v>
      </c>
      <c r="BD658" s="214">
        <f t="shared" si="530"/>
        <v>642422.70509138401</v>
      </c>
      <c r="BE658" s="214">
        <f t="shared" si="516"/>
        <v>3127.0250013567766</v>
      </c>
      <c r="BF658" s="214">
        <f t="shared" si="517"/>
        <v>-1063.0113443637717</v>
      </c>
      <c r="BG658" s="224">
        <f t="shared" si="534"/>
        <v>0</v>
      </c>
      <c r="BH658" s="19">
        <f t="shared" si="531"/>
        <v>1679189.5819407885</v>
      </c>
      <c r="BI658" s="214">
        <f t="shared" si="518"/>
        <v>8173.5401988940421</v>
      </c>
      <c r="BJ658" s="214">
        <f t="shared" si="519"/>
        <v>0</v>
      </c>
      <c r="BK658" s="19">
        <f t="shared" si="535"/>
        <v>0</v>
      </c>
    </row>
    <row r="659" spans="1:63">
      <c r="A659" s="165">
        <f t="shared" si="520"/>
        <v>110.72279260780287</v>
      </c>
      <c r="B659" s="69">
        <f t="shared" si="521"/>
        <v>49</v>
      </c>
      <c r="C659" s="70">
        <f t="shared" si="522"/>
        <v>585</v>
      </c>
      <c r="D659" s="13">
        <f t="shared" si="491"/>
        <v>4.8675505653430484E-3</v>
      </c>
      <c r="E659" s="15">
        <f t="shared" si="492"/>
        <v>1</v>
      </c>
      <c r="F659" s="15">
        <f t="shared" si="523"/>
        <v>0</v>
      </c>
      <c r="G659" s="15">
        <f t="shared" si="493"/>
        <v>0</v>
      </c>
      <c r="H659" s="73">
        <f t="shared" si="494"/>
        <v>0</v>
      </c>
      <c r="I659" s="189"/>
      <c r="J659" s="189"/>
      <c r="K659" s="5">
        <f t="shared" si="536"/>
        <v>341942.16275320412</v>
      </c>
      <c r="M659" s="5">
        <f t="shared" si="495"/>
        <v>1664.4207676239835</v>
      </c>
      <c r="N659" s="5">
        <f t="shared" si="496"/>
        <v>-565.80876616313424</v>
      </c>
      <c r="O659" s="5">
        <f t="shared" si="497"/>
        <v>0</v>
      </c>
      <c r="P659" s="5">
        <f t="shared" si="498"/>
        <v>0</v>
      </c>
      <c r="Q659" s="5">
        <f t="shared" si="532"/>
        <v>0</v>
      </c>
      <c r="R659" s="5">
        <f t="shared" si="524"/>
        <v>0</v>
      </c>
      <c r="S659" s="5">
        <f t="shared" si="499"/>
        <v>0</v>
      </c>
      <c r="T659" s="5">
        <f t="shared" si="500"/>
        <v>0</v>
      </c>
      <c r="U659" s="74">
        <f t="shared" si="501"/>
        <v>0</v>
      </c>
      <c r="V659" s="75">
        <f t="shared" si="502"/>
        <v>0</v>
      </c>
      <c r="W659" s="5">
        <f t="shared" si="503"/>
        <v>0</v>
      </c>
      <c r="X659" s="5">
        <f t="shared" si="504"/>
        <v>343040.77475466498</v>
      </c>
      <c r="Y659" s="5">
        <f t="shared" si="525"/>
        <v>100000</v>
      </c>
      <c r="Z659" s="215">
        <f t="shared" si="505"/>
        <v>1</v>
      </c>
      <c r="AA659" s="216">
        <f t="shared" si="526"/>
        <v>0</v>
      </c>
      <c r="AB659" s="72">
        <f t="shared" si="533"/>
        <v>142977.44334415914</v>
      </c>
      <c r="AC659" s="72">
        <f t="shared" si="506"/>
        <v>0</v>
      </c>
      <c r="AD659" s="72">
        <f t="shared" si="507"/>
        <v>0</v>
      </c>
      <c r="AE659" s="72">
        <f t="shared" si="527"/>
        <v>-71.434278093975834</v>
      </c>
      <c r="AF659" s="70">
        <f t="shared" si="508"/>
        <v>0</v>
      </c>
      <c r="AG659" s="70">
        <f t="shared" si="509"/>
        <v>3709.4795333940419</v>
      </c>
      <c r="AH659" s="1">
        <f t="shared" si="537"/>
        <v>0</v>
      </c>
      <c r="AI659" s="1">
        <f t="shared" si="537"/>
        <v>0</v>
      </c>
      <c r="AJ659" s="1">
        <f t="shared" si="537"/>
        <v>0</v>
      </c>
      <c r="AK659" s="1">
        <f t="shared" si="537"/>
        <v>0</v>
      </c>
      <c r="AL659" s="1">
        <f t="shared" si="537"/>
        <v>0</v>
      </c>
      <c r="AM659" s="1">
        <f t="shared" si="537"/>
        <v>0</v>
      </c>
      <c r="AN659" s="1">
        <f t="shared" si="537"/>
        <v>0</v>
      </c>
      <c r="AO659" s="1">
        <f t="shared" si="537"/>
        <v>0</v>
      </c>
      <c r="AP659" s="1">
        <f t="shared" si="537"/>
        <v>0</v>
      </c>
      <c r="AQ659" s="1">
        <f t="shared" si="537"/>
        <v>0</v>
      </c>
      <c r="AR659" s="1">
        <f t="shared" si="537"/>
        <v>0</v>
      </c>
      <c r="AS659" s="1">
        <f t="shared" si="537"/>
        <v>0</v>
      </c>
      <c r="AT659" s="39">
        <f t="shared" si="510"/>
        <v>343040.77475466498</v>
      </c>
      <c r="AU659" s="39">
        <f t="shared" si="528"/>
        <v>343040.77475466498</v>
      </c>
      <c r="AV659" s="39">
        <f t="shared" si="485"/>
        <v>0</v>
      </c>
      <c r="AW659" s="3">
        <f t="shared" si="511"/>
        <v>585</v>
      </c>
      <c r="AX659" s="69">
        <f t="shared" si="529"/>
        <v>0</v>
      </c>
      <c r="AY659" s="75">
        <f t="shared" si="512"/>
        <v>0</v>
      </c>
      <c r="AZ659" s="75">
        <f t="shared" si="513"/>
        <v>0</v>
      </c>
      <c r="BA659" s="75">
        <f t="shared" si="514"/>
        <v>0</v>
      </c>
      <c r="BB659" s="75">
        <f t="shared" si="515"/>
        <v>0</v>
      </c>
      <c r="BD659" s="214">
        <f t="shared" si="530"/>
        <v>644486.71874837694</v>
      </c>
      <c r="BE659" s="214">
        <f t="shared" si="516"/>
        <v>3137.0716921997482</v>
      </c>
      <c r="BF659" s="214">
        <f t="shared" si="517"/>
        <v>-1066.4266500727956</v>
      </c>
      <c r="BG659" s="224">
        <f t="shared" si="534"/>
        <v>0</v>
      </c>
      <c r="BH659" s="19">
        <f t="shared" si="531"/>
        <v>1687363.1221396825</v>
      </c>
      <c r="BI659" s="214">
        <f t="shared" si="518"/>
        <v>8213.325319110023</v>
      </c>
      <c r="BJ659" s="214">
        <f t="shared" si="519"/>
        <v>0</v>
      </c>
      <c r="BK659" s="19">
        <f t="shared" si="535"/>
        <v>0</v>
      </c>
    </row>
    <row r="660" spans="1:63">
      <c r="A660" s="165">
        <f t="shared" si="520"/>
        <v>110.8061259411362</v>
      </c>
      <c r="B660" s="69">
        <f t="shared" si="521"/>
        <v>49</v>
      </c>
      <c r="C660" s="70">
        <f t="shared" si="522"/>
        <v>586</v>
      </c>
      <c r="D660" s="13">
        <f t="shared" si="491"/>
        <v>4.8675505653430484E-3</v>
      </c>
      <c r="E660" s="15">
        <f t="shared" si="492"/>
        <v>1</v>
      </c>
      <c r="F660" s="15">
        <f t="shared" si="523"/>
        <v>0</v>
      </c>
      <c r="G660" s="15">
        <f t="shared" si="493"/>
        <v>0</v>
      </c>
      <c r="H660" s="73">
        <f t="shared" si="494"/>
        <v>0</v>
      </c>
      <c r="I660" s="189"/>
      <c r="J660" s="189"/>
      <c r="K660" s="5">
        <f t="shared" si="536"/>
        <v>343040.77475466498</v>
      </c>
      <c r="M660" s="5">
        <f t="shared" si="495"/>
        <v>1669.7683170927869</v>
      </c>
      <c r="N660" s="5">
        <f t="shared" si="496"/>
        <v>-567.62663002652459</v>
      </c>
      <c r="O660" s="5">
        <f t="shared" si="497"/>
        <v>0</v>
      </c>
      <c r="P660" s="5">
        <f t="shared" si="498"/>
        <v>0</v>
      </c>
      <c r="Q660" s="5">
        <f t="shared" si="532"/>
        <v>0</v>
      </c>
      <c r="R660" s="5">
        <f t="shared" si="524"/>
        <v>0</v>
      </c>
      <c r="S660" s="5">
        <f t="shared" si="499"/>
        <v>0</v>
      </c>
      <c r="T660" s="5">
        <f t="shared" si="500"/>
        <v>0</v>
      </c>
      <c r="U660" s="74">
        <f t="shared" si="501"/>
        <v>0</v>
      </c>
      <c r="V660" s="75">
        <f t="shared" si="502"/>
        <v>0</v>
      </c>
      <c r="W660" s="5">
        <f t="shared" si="503"/>
        <v>0</v>
      </c>
      <c r="X660" s="5">
        <f t="shared" si="504"/>
        <v>344142.91644173127</v>
      </c>
      <c r="Y660" s="5">
        <f t="shared" si="525"/>
        <v>100000</v>
      </c>
      <c r="Z660" s="215">
        <f t="shared" si="505"/>
        <v>1</v>
      </c>
      <c r="AA660" s="216">
        <f t="shared" si="526"/>
        <v>0</v>
      </c>
      <c r="AB660" s="72">
        <f t="shared" si="533"/>
        <v>142977.44334415914</v>
      </c>
      <c r="AC660" s="72">
        <f t="shared" si="506"/>
        <v>0</v>
      </c>
      <c r="AD660" s="72">
        <f t="shared" si="507"/>
        <v>0</v>
      </c>
      <c r="AE660" s="72">
        <f t="shared" si="527"/>
        <v>-71.663786366947662</v>
      </c>
      <c r="AF660" s="70">
        <f t="shared" si="508"/>
        <v>0</v>
      </c>
      <c r="AG660" s="70">
        <f t="shared" si="509"/>
        <v>4128.2933744792244</v>
      </c>
      <c r="AH660" s="1">
        <f t="shared" si="537"/>
        <v>0</v>
      </c>
      <c r="AI660" s="1">
        <f t="shared" si="537"/>
        <v>0</v>
      </c>
      <c r="AJ660" s="1">
        <f t="shared" si="537"/>
        <v>0</v>
      </c>
      <c r="AK660" s="1">
        <f t="shared" si="537"/>
        <v>0</v>
      </c>
      <c r="AL660" s="1">
        <f t="shared" si="537"/>
        <v>0</v>
      </c>
      <c r="AM660" s="1">
        <f t="shared" si="537"/>
        <v>0</v>
      </c>
      <c r="AN660" s="1">
        <f t="shared" si="537"/>
        <v>0</v>
      </c>
      <c r="AO660" s="1">
        <f t="shared" si="537"/>
        <v>0</v>
      </c>
      <c r="AP660" s="1">
        <f t="shared" si="537"/>
        <v>0</v>
      </c>
      <c r="AQ660" s="1">
        <f t="shared" si="537"/>
        <v>0</v>
      </c>
      <c r="AR660" s="1">
        <f t="shared" si="537"/>
        <v>0</v>
      </c>
      <c r="AS660" s="1">
        <f t="shared" si="537"/>
        <v>0</v>
      </c>
      <c r="AT660" s="39">
        <f t="shared" si="510"/>
        <v>344142.91644173127</v>
      </c>
      <c r="AU660" s="39">
        <f t="shared" si="528"/>
        <v>344142.91644173127</v>
      </c>
      <c r="AV660" s="39">
        <f t="shared" si="485"/>
        <v>0</v>
      </c>
      <c r="AW660" s="3">
        <f t="shared" si="511"/>
        <v>586</v>
      </c>
      <c r="AX660" s="69">
        <f t="shared" si="529"/>
        <v>0</v>
      </c>
      <c r="AY660" s="75">
        <f t="shared" si="512"/>
        <v>0</v>
      </c>
      <c r="AZ660" s="75">
        <f t="shared" si="513"/>
        <v>0</v>
      </c>
      <c r="BA660" s="75">
        <f t="shared" si="514"/>
        <v>0</v>
      </c>
      <c r="BB660" s="75">
        <f t="shared" si="515"/>
        <v>0</v>
      </c>
      <c r="BD660" s="214">
        <f t="shared" si="530"/>
        <v>646557.36379050394</v>
      </c>
      <c r="BE660" s="214">
        <f t="shared" si="516"/>
        <v>3147.1506616451784</v>
      </c>
      <c r="BF660" s="214">
        <f t="shared" si="517"/>
        <v>-1069.8529286779681</v>
      </c>
      <c r="BG660" s="224">
        <f t="shared" si="534"/>
        <v>0</v>
      </c>
      <c r="BH660" s="19">
        <f t="shared" si="531"/>
        <v>1695576.4474587925</v>
      </c>
      <c r="BI660" s="214">
        <f t="shared" si="518"/>
        <v>8253.3040954104035</v>
      </c>
      <c r="BJ660" s="214">
        <f t="shared" si="519"/>
        <v>0</v>
      </c>
      <c r="BK660" s="19">
        <f t="shared" si="535"/>
        <v>0</v>
      </c>
    </row>
    <row r="661" spans="1:63">
      <c r="A661" s="165">
        <f t="shared" si="520"/>
        <v>110.88945927446954</v>
      </c>
      <c r="B661" s="69">
        <f t="shared" si="521"/>
        <v>49</v>
      </c>
      <c r="C661" s="70">
        <f t="shared" si="522"/>
        <v>587</v>
      </c>
      <c r="D661" s="13">
        <f t="shared" si="491"/>
        <v>4.8675505653430484E-3</v>
      </c>
      <c r="E661" s="15">
        <f t="shared" si="492"/>
        <v>1</v>
      </c>
      <c r="F661" s="15">
        <f t="shared" si="523"/>
        <v>0</v>
      </c>
      <c r="G661" s="15">
        <f t="shared" si="493"/>
        <v>0</v>
      </c>
      <c r="H661" s="73">
        <f t="shared" si="494"/>
        <v>0</v>
      </c>
      <c r="I661" s="189"/>
      <c r="J661" s="189"/>
      <c r="K661" s="5">
        <f t="shared" si="536"/>
        <v>344142.91644173127</v>
      </c>
      <c r="M661" s="5">
        <f t="shared" si="495"/>
        <v>1675.1330474847546</v>
      </c>
      <c r="N661" s="5">
        <f t="shared" si="496"/>
        <v>-569.45033443043587</v>
      </c>
      <c r="O661" s="5">
        <f t="shared" si="497"/>
        <v>0</v>
      </c>
      <c r="P661" s="5">
        <f t="shared" si="498"/>
        <v>0</v>
      </c>
      <c r="Q661" s="5">
        <f t="shared" si="532"/>
        <v>0</v>
      </c>
      <c r="R661" s="5">
        <f t="shared" si="524"/>
        <v>0</v>
      </c>
      <c r="S661" s="5">
        <f t="shared" si="499"/>
        <v>0</v>
      </c>
      <c r="T661" s="5">
        <f t="shared" si="500"/>
        <v>0</v>
      </c>
      <c r="U661" s="74">
        <f t="shared" si="501"/>
        <v>0</v>
      </c>
      <c r="V661" s="75">
        <f t="shared" si="502"/>
        <v>0</v>
      </c>
      <c r="W661" s="5">
        <f t="shared" si="503"/>
        <v>0</v>
      </c>
      <c r="X661" s="5">
        <f t="shared" si="504"/>
        <v>345248.59915478557</v>
      </c>
      <c r="Y661" s="5">
        <f t="shared" si="525"/>
        <v>100000</v>
      </c>
      <c r="Z661" s="215">
        <f t="shared" si="505"/>
        <v>1</v>
      </c>
      <c r="AA661" s="216">
        <f t="shared" si="526"/>
        <v>0</v>
      </c>
      <c r="AB661" s="72">
        <f t="shared" si="533"/>
        <v>142977.44334415914</v>
      </c>
      <c r="AC661" s="72">
        <f t="shared" si="506"/>
        <v>0</v>
      </c>
      <c r="AD661" s="72">
        <f t="shared" si="507"/>
        <v>0</v>
      </c>
      <c r="AE661" s="72">
        <f t="shared" si="527"/>
        <v>-71.894032017671009</v>
      </c>
      <c r="AF661" s="70">
        <f t="shared" si="508"/>
        <v>0</v>
      </c>
      <c r="AG661" s="70">
        <f t="shared" si="509"/>
        <v>4548.4528054398252</v>
      </c>
      <c r="AH661" s="1">
        <f t="shared" si="537"/>
        <v>0</v>
      </c>
      <c r="AI661" s="1">
        <f t="shared" si="537"/>
        <v>0</v>
      </c>
      <c r="AJ661" s="1">
        <f t="shared" si="537"/>
        <v>0</v>
      </c>
      <c r="AK661" s="1">
        <f t="shared" si="537"/>
        <v>0</v>
      </c>
      <c r="AL661" s="1">
        <f t="shared" si="537"/>
        <v>0</v>
      </c>
      <c r="AM661" s="1">
        <f t="shared" si="537"/>
        <v>0</v>
      </c>
      <c r="AN661" s="1">
        <f t="shared" si="537"/>
        <v>0</v>
      </c>
      <c r="AO661" s="1">
        <f t="shared" si="537"/>
        <v>0</v>
      </c>
      <c r="AP661" s="1">
        <f t="shared" si="537"/>
        <v>0</v>
      </c>
      <c r="AQ661" s="1">
        <f t="shared" si="537"/>
        <v>0</v>
      </c>
      <c r="AR661" s="1">
        <f t="shared" si="537"/>
        <v>0</v>
      </c>
      <c r="AS661" s="1">
        <f t="shared" si="537"/>
        <v>0</v>
      </c>
      <c r="AT661" s="39">
        <f t="shared" si="510"/>
        <v>345248.59915478557</v>
      </c>
      <c r="AU661" s="39">
        <f t="shared" si="528"/>
        <v>345248.59915478557</v>
      </c>
      <c r="AV661" s="39">
        <f t="shared" si="485"/>
        <v>0</v>
      </c>
      <c r="AW661" s="3">
        <f t="shared" si="511"/>
        <v>587</v>
      </c>
      <c r="AX661" s="69">
        <f t="shared" si="529"/>
        <v>0</v>
      </c>
      <c r="AY661" s="75">
        <f t="shared" si="512"/>
        <v>0</v>
      </c>
      <c r="AZ661" s="75">
        <f t="shared" si="513"/>
        <v>0</v>
      </c>
      <c r="BA661" s="75">
        <f t="shared" si="514"/>
        <v>0</v>
      </c>
      <c r="BB661" s="75">
        <f t="shared" si="515"/>
        <v>0</v>
      </c>
      <c r="BD661" s="214">
        <f t="shared" si="530"/>
        <v>648634.66152347124</v>
      </c>
      <c r="BE661" s="214">
        <f t="shared" si="516"/>
        <v>3157.2620133996693</v>
      </c>
      <c r="BF661" s="214">
        <f t="shared" si="517"/>
        <v>-1073.2902154336584</v>
      </c>
      <c r="BG661" s="224">
        <f t="shared" si="534"/>
        <v>0</v>
      </c>
      <c r="BH661" s="19">
        <f t="shared" si="531"/>
        <v>1703829.751554203</v>
      </c>
      <c r="BI661" s="214">
        <f t="shared" si="518"/>
        <v>8293.4774704259671</v>
      </c>
      <c r="BJ661" s="214">
        <f t="shared" si="519"/>
        <v>0</v>
      </c>
      <c r="BK661" s="19">
        <f t="shared" si="535"/>
        <v>0</v>
      </c>
    </row>
    <row r="662" spans="1:63">
      <c r="A662" s="165">
        <f t="shared" si="520"/>
        <v>110.97279260780287</v>
      </c>
      <c r="B662" s="69">
        <f t="shared" si="521"/>
        <v>49</v>
      </c>
      <c r="C662" s="70">
        <f t="shared" si="522"/>
        <v>588</v>
      </c>
      <c r="D662" s="13">
        <f t="shared" si="491"/>
        <v>4.8675505653430484E-3</v>
      </c>
      <c r="E662" s="15">
        <f t="shared" si="492"/>
        <v>1</v>
      </c>
      <c r="F662" s="15">
        <f t="shared" si="523"/>
        <v>0</v>
      </c>
      <c r="G662" s="15">
        <f t="shared" si="493"/>
        <v>0</v>
      </c>
      <c r="H662" s="73">
        <f t="shared" si="494"/>
        <v>0</v>
      </c>
      <c r="I662" s="189"/>
      <c r="J662" s="189"/>
      <c r="K662" s="5">
        <f t="shared" si="536"/>
        <v>345248.59915478557</v>
      </c>
      <c r="M662" s="5">
        <f t="shared" si="495"/>
        <v>1680.515013999772</v>
      </c>
      <c r="N662" s="5">
        <f t="shared" si="496"/>
        <v>-571.27989813970169</v>
      </c>
      <c r="O662" s="5">
        <f t="shared" si="497"/>
        <v>0</v>
      </c>
      <c r="P662" s="5">
        <f t="shared" si="498"/>
        <v>0</v>
      </c>
      <c r="Q662" s="5">
        <f t="shared" si="532"/>
        <v>0</v>
      </c>
      <c r="R662" s="5">
        <f t="shared" si="524"/>
        <v>0</v>
      </c>
      <c r="S662" s="5">
        <f t="shared" si="499"/>
        <v>0</v>
      </c>
      <c r="T662" s="5">
        <f t="shared" si="500"/>
        <v>0</v>
      </c>
      <c r="U662" s="74">
        <f t="shared" si="501"/>
        <v>0</v>
      </c>
      <c r="V662" s="75">
        <f t="shared" si="502"/>
        <v>0</v>
      </c>
      <c r="W662" s="5">
        <f t="shared" si="503"/>
        <v>0</v>
      </c>
      <c r="X662" s="5">
        <f t="shared" si="504"/>
        <v>346357.83427064563</v>
      </c>
      <c r="Y662" s="5">
        <f t="shared" si="525"/>
        <v>100000</v>
      </c>
      <c r="Z662" s="215">
        <f t="shared" si="505"/>
        <v>1</v>
      </c>
      <c r="AA662" s="216">
        <f t="shared" si="526"/>
        <v>0</v>
      </c>
      <c r="AB662" s="72">
        <f t="shared" si="533"/>
        <v>142977.44334415914</v>
      </c>
      <c r="AC662" s="72">
        <f t="shared" si="506"/>
        <v>0</v>
      </c>
      <c r="AD662" s="72">
        <f t="shared" si="507"/>
        <v>0</v>
      </c>
      <c r="AE662" s="72">
        <f t="shared" si="527"/>
        <v>-72.125017415236698</v>
      </c>
      <c r="AF662" s="70">
        <f t="shared" si="508"/>
        <v>0</v>
      </c>
      <c r="AG662" s="70">
        <f t="shared" si="509"/>
        <v>4969.962149466679</v>
      </c>
      <c r="AH662" s="1">
        <f t="shared" si="537"/>
        <v>0</v>
      </c>
      <c r="AI662" s="1">
        <f t="shared" si="537"/>
        <v>0</v>
      </c>
      <c r="AJ662" s="1">
        <f t="shared" si="537"/>
        <v>0</v>
      </c>
      <c r="AK662" s="1">
        <f t="shared" si="537"/>
        <v>0</v>
      </c>
      <c r="AL662" s="1">
        <f t="shared" si="537"/>
        <v>0</v>
      </c>
      <c r="AM662" s="1">
        <f t="shared" si="537"/>
        <v>0</v>
      </c>
      <c r="AN662" s="1">
        <f t="shared" si="537"/>
        <v>0</v>
      </c>
      <c r="AO662" s="1">
        <f t="shared" si="537"/>
        <v>0</v>
      </c>
      <c r="AP662" s="1">
        <f t="shared" si="537"/>
        <v>0</v>
      </c>
      <c r="AQ662" s="1">
        <f t="shared" si="537"/>
        <v>0</v>
      </c>
      <c r="AR662" s="1">
        <f t="shared" si="537"/>
        <v>0</v>
      </c>
      <c r="AS662" s="1">
        <f t="shared" si="537"/>
        <v>0</v>
      </c>
      <c r="AT662" s="39">
        <f t="shared" si="510"/>
        <v>346357.83427064563</v>
      </c>
      <c r="AU662" s="39">
        <f t="shared" si="528"/>
        <v>346357.83427064563</v>
      </c>
      <c r="AV662" s="39">
        <f t="shared" si="485"/>
        <v>0</v>
      </c>
      <c r="AW662" s="3">
        <f t="shared" si="511"/>
        <v>588</v>
      </c>
      <c r="AX662" s="69">
        <f t="shared" si="529"/>
        <v>0</v>
      </c>
      <c r="AY662" s="75">
        <f t="shared" si="512"/>
        <v>0</v>
      </c>
      <c r="AZ662" s="75">
        <f t="shared" si="513"/>
        <v>0</v>
      </c>
      <c r="BA662" s="75">
        <f t="shared" si="514"/>
        <v>0</v>
      </c>
      <c r="BB662" s="75">
        <f t="shared" si="515"/>
        <v>0</v>
      </c>
      <c r="BD662" s="214">
        <f t="shared" si="530"/>
        <v>650718.63332143717</v>
      </c>
      <c r="BE662" s="214">
        <f t="shared" si="516"/>
        <v>3167.4058515030174</v>
      </c>
      <c r="BF662" s="214">
        <f t="shared" si="517"/>
        <v>-1076.7385457075031</v>
      </c>
      <c r="BG662" s="224">
        <f t="shared" si="534"/>
        <v>0</v>
      </c>
      <c r="BH662" s="19">
        <f t="shared" si="531"/>
        <v>1712123.2290246289</v>
      </c>
      <c r="BI662" s="214">
        <f t="shared" si="518"/>
        <v>8333.8463913757987</v>
      </c>
      <c r="BJ662" s="214">
        <f t="shared" si="519"/>
        <v>0</v>
      </c>
      <c r="BK662" s="19">
        <f t="shared" si="535"/>
        <v>0</v>
      </c>
    </row>
    <row r="663" spans="1:63">
      <c r="A663" s="165">
        <f t="shared" si="520"/>
        <v>111.0561259411362</v>
      </c>
      <c r="B663" s="69">
        <f t="shared" si="521"/>
        <v>50</v>
      </c>
      <c r="C663" s="70">
        <f t="shared" si="522"/>
        <v>589</v>
      </c>
      <c r="D663" s="13">
        <f t="shared" si="491"/>
        <v>4.8675505653430484E-3</v>
      </c>
      <c r="E663" s="15">
        <f t="shared" si="492"/>
        <v>1</v>
      </c>
      <c r="F663" s="15">
        <f t="shared" si="523"/>
        <v>0</v>
      </c>
      <c r="G663" s="15">
        <f t="shared" si="493"/>
        <v>0</v>
      </c>
      <c r="H663" s="73">
        <f t="shared" si="494"/>
        <v>0</v>
      </c>
      <c r="I663" s="189"/>
      <c r="J663" s="189"/>
      <c r="K663" s="5">
        <f t="shared" si="536"/>
        <v>346357.83427064563</v>
      </c>
      <c r="M663" s="5">
        <f t="shared" si="495"/>
        <v>1685.9142720150751</v>
      </c>
      <c r="N663" s="5">
        <f t="shared" si="496"/>
        <v>-573.11533997944525</v>
      </c>
      <c r="O663" s="5">
        <f t="shared" si="497"/>
        <v>0</v>
      </c>
      <c r="P663" s="5">
        <f t="shared" si="498"/>
        <v>0</v>
      </c>
      <c r="Q663" s="5">
        <f t="shared" si="532"/>
        <v>0</v>
      </c>
      <c r="R663" s="5">
        <f t="shared" si="524"/>
        <v>0</v>
      </c>
      <c r="S663" s="5">
        <f t="shared" si="499"/>
        <v>0</v>
      </c>
      <c r="T663" s="5">
        <f t="shared" si="500"/>
        <v>0</v>
      </c>
      <c r="U663" s="74">
        <f t="shared" si="501"/>
        <v>0</v>
      </c>
      <c r="V663" s="75">
        <f t="shared" si="502"/>
        <v>0</v>
      </c>
      <c r="W663" s="5">
        <f t="shared" si="503"/>
        <v>0</v>
      </c>
      <c r="X663" s="5">
        <f t="shared" si="504"/>
        <v>347470.63320268126</v>
      </c>
      <c r="Y663" s="5">
        <f t="shared" si="525"/>
        <v>100000</v>
      </c>
      <c r="Z663" s="215">
        <f t="shared" si="505"/>
        <v>1</v>
      </c>
      <c r="AA663" s="216">
        <f t="shared" si="526"/>
        <v>0</v>
      </c>
      <c r="AB663" s="72">
        <f t="shared" si="533"/>
        <v>142977.44334415914</v>
      </c>
      <c r="AC663" s="72">
        <f t="shared" si="506"/>
        <v>0</v>
      </c>
      <c r="AD663" s="72">
        <f t="shared" si="507"/>
        <v>0</v>
      </c>
      <c r="AE663" s="72">
        <f t="shared" si="527"/>
        <v>-72.35674493634717</v>
      </c>
      <c r="AF663" s="70">
        <f t="shared" si="508"/>
        <v>0</v>
      </c>
      <c r="AG663" s="70">
        <f t="shared" si="509"/>
        <v>5392.8257436401909</v>
      </c>
      <c r="AH663" s="1">
        <f t="shared" si="537"/>
        <v>0</v>
      </c>
      <c r="AI663" s="1">
        <f t="shared" si="537"/>
        <v>0</v>
      </c>
      <c r="AJ663" s="1">
        <f t="shared" si="537"/>
        <v>0</v>
      </c>
      <c r="AK663" s="1">
        <f t="shared" si="537"/>
        <v>0</v>
      </c>
      <c r="AL663" s="1">
        <f t="shared" si="537"/>
        <v>0</v>
      </c>
      <c r="AM663" s="1">
        <f t="shared" si="537"/>
        <v>0</v>
      </c>
      <c r="AN663" s="1">
        <f t="shared" si="537"/>
        <v>0</v>
      </c>
      <c r="AO663" s="1">
        <f t="shared" si="537"/>
        <v>0</v>
      </c>
      <c r="AP663" s="1">
        <f t="shared" si="537"/>
        <v>0</v>
      </c>
      <c r="AQ663" s="1">
        <f t="shared" si="537"/>
        <v>0</v>
      </c>
      <c r="AR663" s="1">
        <f t="shared" si="537"/>
        <v>0</v>
      </c>
      <c r="AS663" s="1">
        <f t="shared" si="537"/>
        <v>0</v>
      </c>
      <c r="AT663" s="39">
        <f t="shared" si="510"/>
        <v>347470.63320268126</v>
      </c>
      <c r="AU663" s="39">
        <f t="shared" si="528"/>
        <v>347470.63320268126</v>
      </c>
      <c r="AV663" s="39">
        <f t="shared" ref="AV663:AV674" si="538">IF(W663=0,0,IF(W663&gt;W651,"Y","N"))</f>
        <v>0</v>
      </c>
      <c r="AW663" s="3">
        <f t="shared" si="511"/>
        <v>589</v>
      </c>
      <c r="AX663" s="69">
        <f t="shared" si="529"/>
        <v>0</v>
      </c>
      <c r="AY663" s="75">
        <f t="shared" si="512"/>
        <v>0</v>
      </c>
      <c r="AZ663" s="75">
        <f t="shared" si="513"/>
        <v>0</v>
      </c>
      <c r="BA663" s="75">
        <f t="shared" si="514"/>
        <v>0</v>
      </c>
      <c r="BB663" s="75">
        <f t="shared" si="515"/>
        <v>0</v>
      </c>
      <c r="BD663" s="214">
        <f t="shared" si="530"/>
        <v>652809.30062723265</v>
      </c>
      <c r="BE663" s="214">
        <f t="shared" si="516"/>
        <v>3177.5822803292863</v>
      </c>
      <c r="BF663" s="214">
        <f t="shared" si="517"/>
        <v>-1080.1979549807711</v>
      </c>
      <c r="BG663" s="224">
        <f t="shared" si="534"/>
        <v>0</v>
      </c>
      <c r="BH663" s="19">
        <f t="shared" si="531"/>
        <v>1720457.0754160048</v>
      </c>
      <c r="BI663" s="214">
        <f t="shared" si="518"/>
        <v>8374.4118100896212</v>
      </c>
      <c r="BJ663" s="214">
        <f t="shared" si="519"/>
        <v>0</v>
      </c>
      <c r="BK663" s="19">
        <f t="shared" si="535"/>
        <v>0</v>
      </c>
    </row>
    <row r="664" spans="1:63">
      <c r="A664" s="165">
        <f t="shared" si="520"/>
        <v>111.13945927446954</v>
      </c>
      <c r="B664" s="69">
        <f t="shared" si="521"/>
        <v>50</v>
      </c>
      <c r="C664" s="70">
        <f t="shared" si="522"/>
        <v>590</v>
      </c>
      <c r="D664" s="13">
        <f t="shared" si="491"/>
        <v>4.8675505653430484E-3</v>
      </c>
      <c r="E664" s="15">
        <f t="shared" si="492"/>
        <v>1</v>
      </c>
      <c r="F664" s="15">
        <f t="shared" si="523"/>
        <v>0</v>
      </c>
      <c r="G664" s="15">
        <f t="shared" si="493"/>
        <v>0</v>
      </c>
      <c r="H664" s="73">
        <f t="shared" si="494"/>
        <v>0</v>
      </c>
      <c r="I664" s="189"/>
      <c r="J664" s="189"/>
      <c r="K664" s="5">
        <f t="shared" si="536"/>
        <v>347470.63320268126</v>
      </c>
      <c r="M664" s="5">
        <f t="shared" si="495"/>
        <v>1691.3308770858182</v>
      </c>
      <c r="N664" s="5">
        <f t="shared" si="496"/>
        <v>-574.95667883527142</v>
      </c>
      <c r="O664" s="5">
        <f t="shared" si="497"/>
        <v>0</v>
      </c>
      <c r="P664" s="5">
        <f t="shared" si="498"/>
        <v>0</v>
      </c>
      <c r="Q664" s="5">
        <f t="shared" si="532"/>
        <v>0</v>
      </c>
      <c r="R664" s="5">
        <f t="shared" si="524"/>
        <v>0</v>
      </c>
      <c r="S664" s="5">
        <f t="shared" si="499"/>
        <v>0</v>
      </c>
      <c r="T664" s="5">
        <f t="shared" si="500"/>
        <v>0</v>
      </c>
      <c r="U664" s="74">
        <f t="shared" si="501"/>
        <v>0</v>
      </c>
      <c r="V664" s="75">
        <f t="shared" si="502"/>
        <v>0</v>
      </c>
      <c r="W664" s="5">
        <f t="shared" si="503"/>
        <v>0</v>
      </c>
      <c r="X664" s="5">
        <f t="shared" si="504"/>
        <v>348587.00740093179</v>
      </c>
      <c r="Y664" s="5">
        <f t="shared" si="525"/>
        <v>100000</v>
      </c>
      <c r="Z664" s="215">
        <f t="shared" si="505"/>
        <v>1</v>
      </c>
      <c r="AA664" s="216">
        <f t="shared" si="526"/>
        <v>0</v>
      </c>
      <c r="AB664" s="72">
        <f t="shared" si="533"/>
        <v>142977.44334415914</v>
      </c>
      <c r="AC664" s="72">
        <f t="shared" si="506"/>
        <v>0</v>
      </c>
      <c r="AD664" s="72">
        <f t="shared" si="507"/>
        <v>0</v>
      </c>
      <c r="AE664" s="72">
        <f t="shared" si="527"/>
        <v>-72.589216965340796</v>
      </c>
      <c r="AF664" s="70">
        <f t="shared" si="508"/>
        <v>0</v>
      </c>
      <c r="AG664" s="70">
        <f t="shared" si="509"/>
        <v>5817.0479389754182</v>
      </c>
      <c r="AH664" s="1">
        <f t="shared" si="537"/>
        <v>0</v>
      </c>
      <c r="AI664" s="1">
        <f t="shared" si="537"/>
        <v>0</v>
      </c>
      <c r="AJ664" s="1">
        <f t="shared" si="537"/>
        <v>0</v>
      </c>
      <c r="AK664" s="1">
        <f t="shared" si="537"/>
        <v>0</v>
      </c>
      <c r="AL664" s="1">
        <f t="shared" si="537"/>
        <v>0</v>
      </c>
      <c r="AM664" s="1">
        <f t="shared" si="537"/>
        <v>0</v>
      </c>
      <c r="AN664" s="1">
        <f t="shared" si="537"/>
        <v>0</v>
      </c>
      <c r="AO664" s="1">
        <f t="shared" si="537"/>
        <v>0</v>
      </c>
      <c r="AP664" s="1">
        <f t="shared" si="537"/>
        <v>0</v>
      </c>
      <c r="AQ664" s="1">
        <f t="shared" si="537"/>
        <v>0</v>
      </c>
      <c r="AR664" s="1">
        <f t="shared" si="537"/>
        <v>0</v>
      </c>
      <c r="AS664" s="1">
        <f t="shared" si="537"/>
        <v>0</v>
      </c>
      <c r="AT664" s="39">
        <f t="shared" si="510"/>
        <v>348587.00740093179</v>
      </c>
      <c r="AU664" s="39">
        <f t="shared" si="528"/>
        <v>348587.00740093179</v>
      </c>
      <c r="AV664" s="39">
        <f t="shared" si="538"/>
        <v>0</v>
      </c>
      <c r="AW664" s="3">
        <f t="shared" si="511"/>
        <v>590</v>
      </c>
      <c r="AX664" s="69">
        <f t="shared" si="529"/>
        <v>0</v>
      </c>
      <c r="AY664" s="75">
        <f t="shared" si="512"/>
        <v>0</v>
      </c>
      <c r="AZ664" s="75">
        <f t="shared" si="513"/>
        <v>0</v>
      </c>
      <c r="BA664" s="75">
        <f t="shared" si="514"/>
        <v>0</v>
      </c>
      <c r="BB664" s="75">
        <f t="shared" si="515"/>
        <v>0</v>
      </c>
      <c r="BD664" s="214">
        <f t="shared" si="530"/>
        <v>654906.68495258118</v>
      </c>
      <c r="BE664" s="214">
        <f t="shared" si="516"/>
        <v>3187.7914045878783</v>
      </c>
      <c r="BF664" s="214">
        <f t="shared" si="517"/>
        <v>-1083.6684788487269</v>
      </c>
      <c r="BG664" s="224">
        <f t="shared" si="534"/>
        <v>0</v>
      </c>
      <c r="BH664" s="19">
        <f t="shared" si="531"/>
        <v>1728831.4872260944</v>
      </c>
      <c r="BI664" s="214">
        <f t="shared" si="518"/>
        <v>8415.1746830302382</v>
      </c>
      <c r="BJ664" s="214">
        <f t="shared" si="519"/>
        <v>0</v>
      </c>
      <c r="BK664" s="19">
        <f t="shared" si="535"/>
        <v>0</v>
      </c>
    </row>
    <row r="665" spans="1:63">
      <c r="A665" s="165">
        <f t="shared" si="520"/>
        <v>111.22279260780287</v>
      </c>
      <c r="B665" s="69">
        <f t="shared" si="521"/>
        <v>50</v>
      </c>
      <c r="C665" s="70">
        <f t="shared" si="522"/>
        <v>591</v>
      </c>
      <c r="D665" s="13">
        <f t="shared" si="491"/>
        <v>4.8675505653430484E-3</v>
      </c>
      <c r="E665" s="15">
        <f t="shared" si="492"/>
        <v>1</v>
      </c>
      <c r="F665" s="15">
        <f t="shared" si="523"/>
        <v>0</v>
      </c>
      <c r="G665" s="15">
        <f t="shared" si="493"/>
        <v>0</v>
      </c>
      <c r="H665" s="73">
        <f t="shared" si="494"/>
        <v>0</v>
      </c>
      <c r="I665" s="189"/>
      <c r="J665" s="189"/>
      <c r="K665" s="5">
        <f t="shared" si="536"/>
        <v>348587.00740093179</v>
      </c>
      <c r="M665" s="5">
        <f t="shared" si="495"/>
        <v>1696.7648849456468</v>
      </c>
      <c r="N665" s="5">
        <f t="shared" si="496"/>
        <v>-576.80393365346242</v>
      </c>
      <c r="O665" s="5">
        <f t="shared" si="497"/>
        <v>0</v>
      </c>
      <c r="P665" s="5">
        <f t="shared" si="498"/>
        <v>0</v>
      </c>
      <c r="Q665" s="5">
        <f t="shared" si="532"/>
        <v>0</v>
      </c>
      <c r="R665" s="5">
        <f t="shared" si="524"/>
        <v>0</v>
      </c>
      <c r="S665" s="5">
        <f t="shared" si="499"/>
        <v>0</v>
      </c>
      <c r="T665" s="5">
        <f t="shared" si="500"/>
        <v>0</v>
      </c>
      <c r="U665" s="74">
        <f t="shared" si="501"/>
        <v>0</v>
      </c>
      <c r="V665" s="75">
        <f t="shared" si="502"/>
        <v>0</v>
      </c>
      <c r="W665" s="5">
        <f t="shared" si="503"/>
        <v>0</v>
      </c>
      <c r="X665" s="5">
        <f t="shared" si="504"/>
        <v>349706.96835222398</v>
      </c>
      <c r="Y665" s="5">
        <f t="shared" si="525"/>
        <v>100000</v>
      </c>
      <c r="Z665" s="215">
        <f t="shared" si="505"/>
        <v>1</v>
      </c>
      <c r="AA665" s="216">
        <f t="shared" si="526"/>
        <v>0</v>
      </c>
      <c r="AB665" s="72">
        <f t="shared" si="533"/>
        <v>142977.44334415914</v>
      </c>
      <c r="AC665" s="72">
        <f t="shared" si="506"/>
        <v>0</v>
      </c>
      <c r="AD665" s="72">
        <f t="shared" si="507"/>
        <v>0</v>
      </c>
      <c r="AE665" s="72">
        <f t="shared" si="527"/>
        <v>-72.822435894216582</v>
      </c>
      <c r="AF665" s="70">
        <f t="shared" si="508"/>
        <v>0</v>
      </c>
      <c r="AG665" s="70">
        <f t="shared" si="509"/>
        <v>6242.6331004664535</v>
      </c>
      <c r="AH665" s="1">
        <f t="shared" ref="AH665:AS674" si="539">IF($B665&lt;=AH$74,1,0)</f>
        <v>0</v>
      </c>
      <c r="AI665" s="1">
        <f t="shared" si="539"/>
        <v>0</v>
      </c>
      <c r="AJ665" s="1">
        <f t="shared" si="539"/>
        <v>0</v>
      </c>
      <c r="AK665" s="1">
        <f t="shared" si="539"/>
        <v>0</v>
      </c>
      <c r="AL665" s="1">
        <f t="shared" si="539"/>
        <v>0</v>
      </c>
      <c r="AM665" s="1">
        <f t="shared" si="539"/>
        <v>0</v>
      </c>
      <c r="AN665" s="1">
        <f t="shared" si="539"/>
        <v>0</v>
      </c>
      <c r="AO665" s="1">
        <f t="shared" si="539"/>
        <v>0</v>
      </c>
      <c r="AP665" s="1">
        <f t="shared" si="539"/>
        <v>0</v>
      </c>
      <c r="AQ665" s="1">
        <f t="shared" si="539"/>
        <v>0</v>
      </c>
      <c r="AR665" s="1">
        <f t="shared" si="539"/>
        <v>0</v>
      </c>
      <c r="AS665" s="1">
        <f t="shared" si="539"/>
        <v>0</v>
      </c>
      <c r="AT665" s="39">
        <f t="shared" si="510"/>
        <v>349706.96835222398</v>
      </c>
      <c r="AU665" s="39">
        <f t="shared" si="528"/>
        <v>349706.96835222398</v>
      </c>
      <c r="AV665" s="39">
        <f t="shared" si="538"/>
        <v>0</v>
      </c>
      <c r="AW665" s="3">
        <f t="shared" si="511"/>
        <v>591</v>
      </c>
      <c r="AX665" s="69">
        <f t="shared" si="529"/>
        <v>0</v>
      </c>
      <c r="AY665" s="75">
        <f t="shared" si="512"/>
        <v>0</v>
      </c>
      <c r="AZ665" s="75">
        <f t="shared" si="513"/>
        <v>0</v>
      </c>
      <c r="BA665" s="75">
        <f t="shared" si="514"/>
        <v>0</v>
      </c>
      <c r="BB665" s="75">
        <f t="shared" si="515"/>
        <v>0</v>
      </c>
      <c r="BD665" s="214">
        <f t="shared" si="530"/>
        <v>657010.80787832034</v>
      </c>
      <c r="BE665" s="214">
        <f t="shared" si="516"/>
        <v>3198.0333293246113</v>
      </c>
      <c r="BF665" s="214">
        <f t="shared" si="517"/>
        <v>-1087.1501530209969</v>
      </c>
      <c r="BG665" s="224">
        <f t="shared" si="534"/>
        <v>0</v>
      </c>
      <c r="BH665" s="19">
        <f t="shared" si="531"/>
        <v>1737246.6619091246</v>
      </c>
      <c r="BI665" s="214">
        <f t="shared" si="518"/>
        <v>8456.1359713160837</v>
      </c>
      <c r="BJ665" s="214">
        <f t="shared" si="519"/>
        <v>0</v>
      </c>
      <c r="BK665" s="19">
        <f t="shared" si="535"/>
        <v>0</v>
      </c>
    </row>
    <row r="666" spans="1:63">
      <c r="A666" s="165">
        <f t="shared" si="520"/>
        <v>111.3061259411362</v>
      </c>
      <c r="B666" s="69">
        <f t="shared" si="521"/>
        <v>50</v>
      </c>
      <c r="C666" s="70">
        <f t="shared" si="522"/>
        <v>592</v>
      </c>
      <c r="D666" s="13">
        <f t="shared" si="491"/>
        <v>4.8675505653430484E-3</v>
      </c>
      <c r="E666" s="15">
        <f t="shared" si="492"/>
        <v>1</v>
      </c>
      <c r="F666" s="15">
        <f t="shared" si="523"/>
        <v>0</v>
      </c>
      <c r="G666" s="15">
        <f t="shared" si="493"/>
        <v>0</v>
      </c>
      <c r="H666" s="73">
        <f t="shared" si="494"/>
        <v>0</v>
      </c>
      <c r="I666" s="189"/>
      <c r="J666" s="189"/>
      <c r="K666" s="5">
        <f t="shared" si="536"/>
        <v>349706.96835222398</v>
      </c>
      <c r="M666" s="5">
        <f t="shared" si="495"/>
        <v>1702.2163515072714</v>
      </c>
      <c r="N666" s="5">
        <f t="shared" si="496"/>
        <v>-578.65712344117185</v>
      </c>
      <c r="O666" s="5">
        <f t="shared" si="497"/>
        <v>0</v>
      </c>
      <c r="P666" s="5">
        <f t="shared" si="498"/>
        <v>0</v>
      </c>
      <c r="Q666" s="5">
        <f t="shared" si="532"/>
        <v>0</v>
      </c>
      <c r="R666" s="5">
        <f t="shared" si="524"/>
        <v>0</v>
      </c>
      <c r="S666" s="5">
        <f t="shared" si="499"/>
        <v>0</v>
      </c>
      <c r="T666" s="5">
        <f t="shared" si="500"/>
        <v>0</v>
      </c>
      <c r="U666" s="74">
        <f t="shared" si="501"/>
        <v>0</v>
      </c>
      <c r="V666" s="75">
        <f t="shared" si="502"/>
        <v>0</v>
      </c>
      <c r="W666" s="5">
        <f t="shared" si="503"/>
        <v>0</v>
      </c>
      <c r="X666" s="5">
        <f t="shared" si="504"/>
        <v>350830.5275802901</v>
      </c>
      <c r="Y666" s="5">
        <f t="shared" si="525"/>
        <v>100000</v>
      </c>
      <c r="Z666" s="215">
        <f t="shared" si="505"/>
        <v>1</v>
      </c>
      <c r="AA666" s="216">
        <f t="shared" si="526"/>
        <v>0</v>
      </c>
      <c r="AB666" s="72">
        <f t="shared" si="533"/>
        <v>142977.44334415914</v>
      </c>
      <c r="AC666" s="72">
        <f t="shared" si="506"/>
        <v>0</v>
      </c>
      <c r="AD666" s="72">
        <f t="shared" si="507"/>
        <v>0</v>
      </c>
      <c r="AE666" s="72">
        <f t="shared" si="527"/>
        <v>-73.056404122658591</v>
      </c>
      <c r="AF666" s="70">
        <f t="shared" si="508"/>
        <v>0</v>
      </c>
      <c r="AG666" s="70">
        <f t="shared" si="509"/>
        <v>6669.5856071315939</v>
      </c>
      <c r="AH666" s="1">
        <f t="shared" si="539"/>
        <v>0</v>
      </c>
      <c r="AI666" s="1">
        <f t="shared" si="539"/>
        <v>0</v>
      </c>
      <c r="AJ666" s="1">
        <f t="shared" si="539"/>
        <v>0</v>
      </c>
      <c r="AK666" s="1">
        <f t="shared" si="539"/>
        <v>0</v>
      </c>
      <c r="AL666" s="1">
        <f t="shared" si="539"/>
        <v>0</v>
      </c>
      <c r="AM666" s="1">
        <f t="shared" si="539"/>
        <v>0</v>
      </c>
      <c r="AN666" s="1">
        <f t="shared" si="539"/>
        <v>0</v>
      </c>
      <c r="AO666" s="1">
        <f t="shared" si="539"/>
        <v>0</v>
      </c>
      <c r="AP666" s="1">
        <f t="shared" si="539"/>
        <v>0</v>
      </c>
      <c r="AQ666" s="1">
        <f t="shared" si="539"/>
        <v>0</v>
      </c>
      <c r="AR666" s="1">
        <f t="shared" si="539"/>
        <v>0</v>
      </c>
      <c r="AS666" s="1">
        <f t="shared" si="539"/>
        <v>0</v>
      </c>
      <c r="AT666" s="39">
        <f t="shared" si="510"/>
        <v>350830.5275802901</v>
      </c>
      <c r="AU666" s="39">
        <f t="shared" si="528"/>
        <v>350830.5275802901</v>
      </c>
      <c r="AV666" s="39">
        <f t="shared" si="538"/>
        <v>0</v>
      </c>
      <c r="AW666" s="3">
        <f t="shared" si="511"/>
        <v>592</v>
      </c>
      <c r="AX666" s="69">
        <f t="shared" si="529"/>
        <v>0</v>
      </c>
      <c r="AY666" s="75">
        <f t="shared" si="512"/>
        <v>0</v>
      </c>
      <c r="AZ666" s="75">
        <f t="shared" si="513"/>
        <v>0</v>
      </c>
      <c r="BA666" s="75">
        <f t="shared" si="514"/>
        <v>0</v>
      </c>
      <c r="BB666" s="75">
        <f t="shared" si="515"/>
        <v>0</v>
      </c>
      <c r="BD666" s="214">
        <f t="shared" si="530"/>
        <v>659121.69105462392</v>
      </c>
      <c r="BE666" s="214">
        <f t="shared" si="516"/>
        <v>3208.3081599228008</v>
      </c>
      <c r="BF666" s="214">
        <f t="shared" si="517"/>
        <v>-1090.6430133219387</v>
      </c>
      <c r="BG666" s="224">
        <f t="shared" si="534"/>
        <v>0</v>
      </c>
      <c r="BH666" s="19">
        <f t="shared" si="531"/>
        <v>1745702.7978804407</v>
      </c>
      <c r="BI666" s="214">
        <f t="shared" si="518"/>
        <v>8497.2966407438798</v>
      </c>
      <c r="BJ666" s="214">
        <f t="shared" si="519"/>
        <v>0</v>
      </c>
      <c r="BK666" s="19">
        <f t="shared" si="535"/>
        <v>0</v>
      </c>
    </row>
    <row r="667" spans="1:63">
      <c r="A667" s="165">
        <f t="shared" si="520"/>
        <v>111.38945927446954</v>
      </c>
      <c r="B667" s="69">
        <f t="shared" si="521"/>
        <v>50</v>
      </c>
      <c r="C667" s="70">
        <f t="shared" si="522"/>
        <v>593</v>
      </c>
      <c r="D667" s="13">
        <f t="shared" si="491"/>
        <v>4.8675505653430484E-3</v>
      </c>
      <c r="E667" s="15">
        <f t="shared" si="492"/>
        <v>1</v>
      </c>
      <c r="F667" s="15">
        <f t="shared" si="523"/>
        <v>0</v>
      </c>
      <c r="G667" s="15">
        <f t="shared" si="493"/>
        <v>0</v>
      </c>
      <c r="H667" s="73">
        <f t="shared" si="494"/>
        <v>0</v>
      </c>
      <c r="I667" s="189"/>
      <c r="J667" s="189"/>
      <c r="K667" s="5">
        <f t="shared" si="536"/>
        <v>350830.5275802901</v>
      </c>
      <c r="M667" s="5">
        <f t="shared" si="495"/>
        <v>1707.6853328630409</v>
      </c>
      <c r="N667" s="5">
        <f t="shared" si="496"/>
        <v>-580.51626726662084</v>
      </c>
      <c r="O667" s="5">
        <f t="shared" si="497"/>
        <v>0</v>
      </c>
      <c r="P667" s="5">
        <f t="shared" si="498"/>
        <v>0</v>
      </c>
      <c r="Q667" s="5">
        <f t="shared" si="532"/>
        <v>0</v>
      </c>
      <c r="R667" s="5">
        <f t="shared" si="524"/>
        <v>0</v>
      </c>
      <c r="S667" s="5">
        <f t="shared" si="499"/>
        <v>0</v>
      </c>
      <c r="T667" s="5">
        <f t="shared" si="500"/>
        <v>0</v>
      </c>
      <c r="U667" s="74">
        <f t="shared" si="501"/>
        <v>0</v>
      </c>
      <c r="V667" s="75">
        <f t="shared" si="502"/>
        <v>0</v>
      </c>
      <c r="W667" s="5">
        <f t="shared" si="503"/>
        <v>0</v>
      </c>
      <c r="X667" s="5">
        <f t="shared" si="504"/>
        <v>351957.69664588652</v>
      </c>
      <c r="Y667" s="5">
        <f t="shared" si="525"/>
        <v>100000</v>
      </c>
      <c r="Z667" s="215">
        <f t="shared" si="505"/>
        <v>1</v>
      </c>
      <c r="AA667" s="216">
        <f t="shared" si="526"/>
        <v>0</v>
      </c>
      <c r="AB667" s="72">
        <f t="shared" si="533"/>
        <v>142977.44334415914</v>
      </c>
      <c r="AC667" s="72">
        <f t="shared" si="506"/>
        <v>0</v>
      </c>
      <c r="AD667" s="72">
        <f t="shared" si="507"/>
        <v>0</v>
      </c>
      <c r="AE667" s="72">
        <f t="shared" si="527"/>
        <v>-73.291124058060817</v>
      </c>
      <c r="AF667" s="70">
        <f t="shared" si="508"/>
        <v>0</v>
      </c>
      <c r="AG667" s="70">
        <f t="shared" si="509"/>
        <v>7097.9098520582193</v>
      </c>
      <c r="AH667" s="1">
        <f t="shared" si="539"/>
        <v>0</v>
      </c>
      <c r="AI667" s="1">
        <f t="shared" si="539"/>
        <v>0</v>
      </c>
      <c r="AJ667" s="1">
        <f t="shared" si="539"/>
        <v>0</v>
      </c>
      <c r="AK667" s="1">
        <f t="shared" si="539"/>
        <v>0</v>
      </c>
      <c r="AL667" s="1">
        <f t="shared" si="539"/>
        <v>0</v>
      </c>
      <c r="AM667" s="1">
        <f t="shared" si="539"/>
        <v>0</v>
      </c>
      <c r="AN667" s="1">
        <f t="shared" si="539"/>
        <v>0</v>
      </c>
      <c r="AO667" s="1">
        <f t="shared" si="539"/>
        <v>0</v>
      </c>
      <c r="AP667" s="1">
        <f t="shared" si="539"/>
        <v>0</v>
      </c>
      <c r="AQ667" s="1">
        <f t="shared" si="539"/>
        <v>0</v>
      </c>
      <c r="AR667" s="1">
        <f t="shared" si="539"/>
        <v>0</v>
      </c>
      <c r="AS667" s="1">
        <f t="shared" si="539"/>
        <v>0</v>
      </c>
      <c r="AT667" s="39">
        <f t="shared" si="510"/>
        <v>351957.69664588652</v>
      </c>
      <c r="AU667" s="39">
        <f t="shared" si="528"/>
        <v>351957.69664588652</v>
      </c>
      <c r="AV667" s="39">
        <f t="shared" si="538"/>
        <v>0</v>
      </c>
      <c r="AW667" s="3">
        <f t="shared" si="511"/>
        <v>593</v>
      </c>
      <c r="AX667" s="69">
        <f t="shared" si="529"/>
        <v>0</v>
      </c>
      <c r="AY667" s="75">
        <f t="shared" si="512"/>
        <v>0</v>
      </c>
      <c r="AZ667" s="75">
        <f t="shared" si="513"/>
        <v>0</v>
      </c>
      <c r="BA667" s="75">
        <f t="shared" si="514"/>
        <v>0</v>
      </c>
      <c r="BB667" s="75">
        <f t="shared" si="515"/>
        <v>0</v>
      </c>
      <c r="BD667" s="214">
        <f t="shared" si="530"/>
        <v>661239.35620122484</v>
      </c>
      <c r="BE667" s="214">
        <f t="shared" si="516"/>
        <v>3218.6160021043452</v>
      </c>
      <c r="BF667" s="214">
        <f t="shared" si="517"/>
        <v>-1094.147095691008</v>
      </c>
      <c r="BG667" s="224">
        <f t="shared" si="534"/>
        <v>0</v>
      </c>
      <c r="BH667" s="19">
        <f t="shared" si="531"/>
        <v>1754200.0945211847</v>
      </c>
      <c r="BI667" s="214">
        <f t="shared" si="518"/>
        <v>8538.6576618114213</v>
      </c>
      <c r="BJ667" s="214">
        <f t="shared" si="519"/>
        <v>0</v>
      </c>
      <c r="BK667" s="19">
        <f t="shared" si="535"/>
        <v>0</v>
      </c>
    </row>
    <row r="668" spans="1:63">
      <c r="A668" s="165">
        <f t="shared" si="520"/>
        <v>111.47279260780287</v>
      </c>
      <c r="B668" s="69">
        <f t="shared" si="521"/>
        <v>50</v>
      </c>
      <c r="C668" s="70">
        <f t="shared" si="522"/>
        <v>594</v>
      </c>
      <c r="D668" s="13">
        <f t="shared" si="491"/>
        <v>4.8675505653430484E-3</v>
      </c>
      <c r="E668" s="15">
        <f t="shared" si="492"/>
        <v>1</v>
      </c>
      <c r="F668" s="15">
        <f t="shared" si="523"/>
        <v>0</v>
      </c>
      <c r="G668" s="15">
        <f t="shared" si="493"/>
        <v>0</v>
      </c>
      <c r="H668" s="73">
        <f t="shared" si="494"/>
        <v>0</v>
      </c>
      <c r="I668" s="189"/>
      <c r="J668" s="189"/>
      <c r="K668" s="5">
        <f t="shared" si="536"/>
        <v>351957.69664588652</v>
      </c>
      <c r="M668" s="5">
        <f t="shared" si="495"/>
        <v>1713.171885285522</v>
      </c>
      <c r="N668" s="5">
        <f t="shared" si="496"/>
        <v>-582.3813842592939</v>
      </c>
      <c r="O668" s="5">
        <f t="shared" si="497"/>
        <v>0</v>
      </c>
      <c r="P668" s="5">
        <f t="shared" si="498"/>
        <v>0</v>
      </c>
      <c r="Q668" s="5">
        <f t="shared" si="532"/>
        <v>0</v>
      </c>
      <c r="R668" s="5">
        <f t="shared" si="524"/>
        <v>0</v>
      </c>
      <c r="S668" s="5">
        <f t="shared" si="499"/>
        <v>0</v>
      </c>
      <c r="T668" s="5">
        <f t="shared" si="500"/>
        <v>0</v>
      </c>
      <c r="U668" s="74">
        <f t="shared" si="501"/>
        <v>0</v>
      </c>
      <c r="V668" s="75">
        <f t="shared" si="502"/>
        <v>0</v>
      </c>
      <c r="W668" s="5">
        <f t="shared" si="503"/>
        <v>0</v>
      </c>
      <c r="X668" s="5">
        <f t="shared" si="504"/>
        <v>353088.48714691272</v>
      </c>
      <c r="Y668" s="5">
        <f t="shared" si="525"/>
        <v>100000</v>
      </c>
      <c r="Z668" s="215">
        <f t="shared" si="505"/>
        <v>1</v>
      </c>
      <c r="AA668" s="216">
        <f t="shared" si="526"/>
        <v>0</v>
      </c>
      <c r="AB668" s="72">
        <f t="shared" si="533"/>
        <v>142977.44334415914</v>
      </c>
      <c r="AC668" s="72">
        <f t="shared" si="506"/>
        <v>0</v>
      </c>
      <c r="AD668" s="72">
        <f t="shared" si="507"/>
        <v>0</v>
      </c>
      <c r="AE668" s="72">
        <f t="shared" si="527"/>
        <v>-73.526598115551806</v>
      </c>
      <c r="AF668" s="70">
        <f t="shared" si="508"/>
        <v>0</v>
      </c>
      <c r="AG668" s="70">
        <f t="shared" si="509"/>
        <v>7527.6102424481942</v>
      </c>
      <c r="AH668" s="1">
        <f t="shared" si="539"/>
        <v>0</v>
      </c>
      <c r="AI668" s="1">
        <f t="shared" si="539"/>
        <v>0</v>
      </c>
      <c r="AJ668" s="1">
        <f t="shared" si="539"/>
        <v>0</v>
      </c>
      <c r="AK668" s="1">
        <f t="shared" si="539"/>
        <v>0</v>
      </c>
      <c r="AL668" s="1">
        <f t="shared" si="539"/>
        <v>0</v>
      </c>
      <c r="AM668" s="1">
        <f t="shared" si="539"/>
        <v>0</v>
      </c>
      <c r="AN668" s="1">
        <f t="shared" si="539"/>
        <v>0</v>
      </c>
      <c r="AO668" s="1">
        <f t="shared" si="539"/>
        <v>0</v>
      </c>
      <c r="AP668" s="1">
        <f t="shared" si="539"/>
        <v>0</v>
      </c>
      <c r="AQ668" s="1">
        <f t="shared" si="539"/>
        <v>0</v>
      </c>
      <c r="AR668" s="1">
        <f t="shared" si="539"/>
        <v>0</v>
      </c>
      <c r="AS668" s="1">
        <f t="shared" si="539"/>
        <v>0</v>
      </c>
      <c r="AT668" s="39">
        <f t="shared" si="510"/>
        <v>353088.48714691272</v>
      </c>
      <c r="AU668" s="39">
        <f t="shared" si="528"/>
        <v>353088.48714691272</v>
      </c>
      <c r="AV668" s="39">
        <f t="shared" si="538"/>
        <v>0</v>
      </c>
      <c r="AW668" s="3">
        <f t="shared" si="511"/>
        <v>594</v>
      </c>
      <c r="AX668" s="69">
        <f t="shared" si="529"/>
        <v>0</v>
      </c>
      <c r="AY668" s="75">
        <f t="shared" si="512"/>
        <v>0</v>
      </c>
      <c r="AZ668" s="75">
        <f t="shared" si="513"/>
        <v>0</v>
      </c>
      <c r="BA668" s="75">
        <f t="shared" si="514"/>
        <v>0</v>
      </c>
      <c r="BB668" s="75">
        <f t="shared" si="515"/>
        <v>0</v>
      </c>
      <c r="BD668" s="214">
        <f t="shared" si="530"/>
        <v>663363.82510763814</v>
      </c>
      <c r="BE668" s="214">
        <f t="shared" si="516"/>
        <v>3228.9569619308113</v>
      </c>
      <c r="BF668" s="214">
        <f t="shared" si="517"/>
        <v>-1097.6624361831286</v>
      </c>
      <c r="BG668" s="224">
        <f t="shared" si="534"/>
        <v>0</v>
      </c>
      <c r="BH668" s="19">
        <f t="shared" si="531"/>
        <v>1762738.7521829961</v>
      </c>
      <c r="BI668" s="214">
        <f t="shared" si="518"/>
        <v>8580.220009740442</v>
      </c>
      <c r="BJ668" s="214">
        <f t="shared" si="519"/>
        <v>0</v>
      </c>
      <c r="BK668" s="19">
        <f t="shared" si="535"/>
        <v>0</v>
      </c>
    </row>
    <row r="669" spans="1:63">
      <c r="A669" s="165">
        <f t="shared" si="520"/>
        <v>111.5561259411362</v>
      </c>
      <c r="B669" s="69">
        <f t="shared" si="521"/>
        <v>50</v>
      </c>
      <c r="C669" s="70">
        <f t="shared" si="522"/>
        <v>595</v>
      </c>
      <c r="D669" s="13">
        <f t="shared" si="491"/>
        <v>4.8675505653430484E-3</v>
      </c>
      <c r="E669" s="15">
        <f t="shared" si="492"/>
        <v>1</v>
      </c>
      <c r="F669" s="15">
        <f t="shared" si="523"/>
        <v>0</v>
      </c>
      <c r="G669" s="15">
        <f t="shared" si="493"/>
        <v>0</v>
      </c>
      <c r="H669" s="73">
        <f t="shared" si="494"/>
        <v>0</v>
      </c>
      <c r="I669" s="189"/>
      <c r="J669" s="189"/>
      <c r="K669" s="5">
        <f t="shared" si="536"/>
        <v>353088.48714691272</v>
      </c>
      <c r="M669" s="5">
        <f t="shared" si="495"/>
        <v>1718.6760652280768</v>
      </c>
      <c r="N669" s="5">
        <f t="shared" si="496"/>
        <v>-584.25249361013573</v>
      </c>
      <c r="O669" s="5">
        <f t="shared" si="497"/>
        <v>0</v>
      </c>
      <c r="P669" s="5">
        <f t="shared" si="498"/>
        <v>0</v>
      </c>
      <c r="Q669" s="5">
        <f t="shared" si="532"/>
        <v>0</v>
      </c>
      <c r="R669" s="5">
        <f t="shared" si="524"/>
        <v>0</v>
      </c>
      <c r="S669" s="5">
        <f t="shared" si="499"/>
        <v>0</v>
      </c>
      <c r="T669" s="5">
        <f t="shared" si="500"/>
        <v>0</v>
      </c>
      <c r="U669" s="74">
        <f t="shared" si="501"/>
        <v>0</v>
      </c>
      <c r="V669" s="75">
        <f t="shared" si="502"/>
        <v>0</v>
      </c>
      <c r="W669" s="5">
        <f t="shared" si="503"/>
        <v>0</v>
      </c>
      <c r="X669" s="5">
        <f t="shared" si="504"/>
        <v>354222.91071853065</v>
      </c>
      <c r="Y669" s="5">
        <f t="shared" si="525"/>
        <v>100000</v>
      </c>
      <c r="Z669" s="215">
        <f t="shared" si="505"/>
        <v>1</v>
      </c>
      <c r="AA669" s="216">
        <f t="shared" si="526"/>
        <v>0</v>
      </c>
      <c r="AB669" s="72">
        <f t="shared" si="533"/>
        <v>142977.44334415914</v>
      </c>
      <c r="AC669" s="72">
        <f t="shared" si="506"/>
        <v>0</v>
      </c>
      <c r="AD669" s="72">
        <f t="shared" si="507"/>
        <v>0</v>
      </c>
      <c r="AE669" s="72">
        <f t="shared" si="527"/>
        <v>-73.762828718019605</v>
      </c>
      <c r="AF669" s="70">
        <f t="shared" si="508"/>
        <v>0</v>
      </c>
      <c r="AG669" s="70">
        <f t="shared" si="509"/>
        <v>7958.6911996630079</v>
      </c>
      <c r="AH669" s="1">
        <f t="shared" si="539"/>
        <v>0</v>
      </c>
      <c r="AI669" s="1">
        <f t="shared" si="539"/>
        <v>0</v>
      </c>
      <c r="AJ669" s="1">
        <f t="shared" si="539"/>
        <v>0</v>
      </c>
      <c r="AK669" s="1">
        <f t="shared" si="539"/>
        <v>0</v>
      </c>
      <c r="AL669" s="1">
        <f t="shared" si="539"/>
        <v>0</v>
      </c>
      <c r="AM669" s="1">
        <f t="shared" si="539"/>
        <v>0</v>
      </c>
      <c r="AN669" s="1">
        <f t="shared" si="539"/>
        <v>0</v>
      </c>
      <c r="AO669" s="1">
        <f t="shared" si="539"/>
        <v>0</v>
      </c>
      <c r="AP669" s="1">
        <f t="shared" si="539"/>
        <v>0</v>
      </c>
      <c r="AQ669" s="1">
        <f t="shared" si="539"/>
        <v>0</v>
      </c>
      <c r="AR669" s="1">
        <f t="shared" si="539"/>
        <v>0</v>
      </c>
      <c r="AS669" s="1">
        <f t="shared" si="539"/>
        <v>0</v>
      </c>
      <c r="AT669" s="39">
        <f t="shared" si="510"/>
        <v>354222.91071853065</v>
      </c>
      <c r="AU669" s="39">
        <f t="shared" si="528"/>
        <v>354222.91071853065</v>
      </c>
      <c r="AV669" s="39">
        <f t="shared" si="538"/>
        <v>0</v>
      </c>
      <c r="AW669" s="3">
        <f t="shared" si="511"/>
        <v>595</v>
      </c>
      <c r="AX669" s="69">
        <f t="shared" si="529"/>
        <v>0</v>
      </c>
      <c r="AY669" s="75">
        <f t="shared" si="512"/>
        <v>0</v>
      </c>
      <c r="AZ669" s="75">
        <f t="shared" si="513"/>
        <v>0</v>
      </c>
      <c r="BA669" s="75">
        <f t="shared" si="514"/>
        <v>0</v>
      </c>
      <c r="BB669" s="75">
        <f t="shared" si="515"/>
        <v>0</v>
      </c>
      <c r="BD669" s="214">
        <f t="shared" si="530"/>
        <v>665495.11963338591</v>
      </c>
      <c r="BE669" s="214">
        <f t="shared" si="516"/>
        <v>3239.3311458045273</v>
      </c>
      <c r="BF669" s="214">
        <f t="shared" si="517"/>
        <v>-1101.1890709690647</v>
      </c>
      <c r="BG669" s="224">
        <f t="shared" si="534"/>
        <v>0</v>
      </c>
      <c r="BH669" s="19">
        <f t="shared" si="531"/>
        <v>1771318.9721927366</v>
      </c>
      <c r="BI669" s="214">
        <f t="shared" si="518"/>
        <v>8621.9846644996232</v>
      </c>
      <c r="BJ669" s="214">
        <f t="shared" si="519"/>
        <v>0</v>
      </c>
      <c r="BK669" s="19">
        <f t="shared" si="535"/>
        <v>0</v>
      </c>
    </row>
    <row r="670" spans="1:63">
      <c r="A670" s="165">
        <f t="shared" si="520"/>
        <v>111.63945927446954</v>
      </c>
      <c r="B670" s="69">
        <f t="shared" si="521"/>
        <v>50</v>
      </c>
      <c r="C670" s="70">
        <f t="shared" si="522"/>
        <v>596</v>
      </c>
      <c r="D670" s="13">
        <f t="shared" si="491"/>
        <v>4.8675505653430484E-3</v>
      </c>
      <c r="E670" s="15">
        <f t="shared" si="492"/>
        <v>1</v>
      </c>
      <c r="F670" s="15">
        <f t="shared" si="523"/>
        <v>0</v>
      </c>
      <c r="G670" s="15">
        <f t="shared" si="493"/>
        <v>0</v>
      </c>
      <c r="H670" s="73">
        <f t="shared" si="494"/>
        <v>0</v>
      </c>
      <c r="I670" s="189"/>
      <c r="J670" s="189"/>
      <c r="K670" s="5">
        <f t="shared" si="536"/>
        <v>354222.91071853065</v>
      </c>
      <c r="M670" s="5">
        <f t="shared" si="495"/>
        <v>1724.197929325444</v>
      </c>
      <c r="N670" s="5">
        <f t="shared" si="496"/>
        <v>-586.12961457174924</v>
      </c>
      <c r="O670" s="5">
        <f t="shared" si="497"/>
        <v>0</v>
      </c>
      <c r="P670" s="5">
        <f t="shared" si="498"/>
        <v>0</v>
      </c>
      <c r="Q670" s="5">
        <f t="shared" si="532"/>
        <v>0</v>
      </c>
      <c r="R670" s="5">
        <f t="shared" si="524"/>
        <v>0</v>
      </c>
      <c r="S670" s="5">
        <f t="shared" si="499"/>
        <v>0</v>
      </c>
      <c r="T670" s="5">
        <f t="shared" si="500"/>
        <v>0</v>
      </c>
      <c r="U670" s="74">
        <f t="shared" si="501"/>
        <v>0</v>
      </c>
      <c r="V670" s="75">
        <f t="shared" si="502"/>
        <v>0</v>
      </c>
      <c r="W670" s="5">
        <f t="shared" si="503"/>
        <v>0</v>
      </c>
      <c r="X670" s="5">
        <f t="shared" si="504"/>
        <v>355360.97903328435</v>
      </c>
      <c r="Y670" s="5">
        <f t="shared" si="525"/>
        <v>100000</v>
      </c>
      <c r="Z670" s="215">
        <f t="shared" si="505"/>
        <v>1</v>
      </c>
      <c r="AA670" s="216">
        <f t="shared" si="526"/>
        <v>0</v>
      </c>
      <c r="AB670" s="72">
        <f t="shared" si="533"/>
        <v>142977.44334415914</v>
      </c>
      <c r="AC670" s="72">
        <f t="shared" si="506"/>
        <v>0</v>
      </c>
      <c r="AD670" s="72">
        <f t="shared" si="507"/>
        <v>0</v>
      </c>
      <c r="AE670" s="72">
        <f t="shared" si="527"/>
        <v>-73.999818296136667</v>
      </c>
      <c r="AF670" s="70">
        <f t="shared" si="508"/>
        <v>0</v>
      </c>
      <c r="AG670" s="70">
        <f t="shared" si="509"/>
        <v>8391.157159269409</v>
      </c>
      <c r="AH670" s="1">
        <f t="shared" si="539"/>
        <v>0</v>
      </c>
      <c r="AI670" s="1">
        <f t="shared" si="539"/>
        <v>0</v>
      </c>
      <c r="AJ670" s="1">
        <f t="shared" si="539"/>
        <v>0</v>
      </c>
      <c r="AK670" s="1">
        <f t="shared" si="539"/>
        <v>0</v>
      </c>
      <c r="AL670" s="1">
        <f t="shared" si="539"/>
        <v>0</v>
      </c>
      <c r="AM670" s="1">
        <f t="shared" si="539"/>
        <v>0</v>
      </c>
      <c r="AN670" s="1">
        <f t="shared" si="539"/>
        <v>0</v>
      </c>
      <c r="AO670" s="1">
        <f t="shared" si="539"/>
        <v>0</v>
      </c>
      <c r="AP670" s="1">
        <f t="shared" si="539"/>
        <v>0</v>
      </c>
      <c r="AQ670" s="1">
        <f t="shared" si="539"/>
        <v>0</v>
      </c>
      <c r="AR670" s="1">
        <f t="shared" si="539"/>
        <v>0</v>
      </c>
      <c r="AS670" s="1">
        <f t="shared" si="539"/>
        <v>0</v>
      </c>
      <c r="AT670" s="39">
        <f t="shared" si="510"/>
        <v>355360.97903328435</v>
      </c>
      <c r="AU670" s="39">
        <f t="shared" si="528"/>
        <v>355360.97903328435</v>
      </c>
      <c r="AV670" s="39">
        <f t="shared" si="538"/>
        <v>0</v>
      </c>
      <c r="AW670" s="3">
        <f t="shared" si="511"/>
        <v>596</v>
      </c>
      <c r="AX670" s="69">
        <f t="shared" si="529"/>
        <v>0</v>
      </c>
      <c r="AY670" s="75">
        <f t="shared" si="512"/>
        <v>0</v>
      </c>
      <c r="AZ670" s="75">
        <f t="shared" si="513"/>
        <v>0</v>
      </c>
      <c r="BA670" s="75">
        <f t="shared" si="514"/>
        <v>0</v>
      </c>
      <c r="BB670" s="75">
        <f t="shared" si="515"/>
        <v>0</v>
      </c>
      <c r="BD670" s="214">
        <f t="shared" si="530"/>
        <v>667633.26170822128</v>
      </c>
      <c r="BE670" s="214">
        <f t="shared" si="516"/>
        <v>3249.7386604696758</v>
      </c>
      <c r="BF670" s="214">
        <f t="shared" si="517"/>
        <v>-1104.7270363357902</v>
      </c>
      <c r="BG670" s="224">
        <f t="shared" si="534"/>
        <v>0</v>
      </c>
      <c r="BH670" s="19">
        <f t="shared" si="531"/>
        <v>1779940.9568572361</v>
      </c>
      <c r="BI670" s="214">
        <f t="shared" si="518"/>
        <v>8663.9526108276859</v>
      </c>
      <c r="BJ670" s="214">
        <f t="shared" si="519"/>
        <v>0</v>
      </c>
      <c r="BK670" s="19">
        <f t="shared" si="535"/>
        <v>0</v>
      </c>
    </row>
    <row r="671" spans="1:63">
      <c r="A671" s="165">
        <f t="shared" si="520"/>
        <v>111.72279260780287</v>
      </c>
      <c r="B671" s="69">
        <f t="shared" si="521"/>
        <v>50</v>
      </c>
      <c r="C671" s="70">
        <f t="shared" si="522"/>
        <v>597</v>
      </c>
      <c r="D671" s="13">
        <f t="shared" si="491"/>
        <v>4.8675505653430484E-3</v>
      </c>
      <c r="E671" s="15">
        <f t="shared" si="492"/>
        <v>1</v>
      </c>
      <c r="F671" s="15">
        <f t="shared" si="523"/>
        <v>0</v>
      </c>
      <c r="G671" s="15">
        <f t="shared" si="493"/>
        <v>0</v>
      </c>
      <c r="H671" s="73">
        <f t="shared" si="494"/>
        <v>0</v>
      </c>
      <c r="I671" s="189"/>
      <c r="J671" s="189"/>
      <c r="K671" s="5">
        <f t="shared" si="536"/>
        <v>355360.97903328435</v>
      </c>
      <c r="M671" s="5">
        <f t="shared" si="495"/>
        <v>1729.7375343943224</v>
      </c>
      <c r="N671" s="5">
        <f t="shared" si="496"/>
        <v>-588.01276645859321</v>
      </c>
      <c r="O671" s="5">
        <f t="shared" si="497"/>
        <v>0</v>
      </c>
      <c r="P671" s="5">
        <f t="shared" si="498"/>
        <v>0</v>
      </c>
      <c r="Q671" s="5">
        <f t="shared" si="532"/>
        <v>0</v>
      </c>
      <c r="R671" s="5">
        <f t="shared" si="524"/>
        <v>0</v>
      </c>
      <c r="S671" s="5">
        <f t="shared" si="499"/>
        <v>0</v>
      </c>
      <c r="T671" s="5">
        <f t="shared" si="500"/>
        <v>0</v>
      </c>
      <c r="U671" s="74">
        <f t="shared" si="501"/>
        <v>0</v>
      </c>
      <c r="V671" s="75">
        <f t="shared" si="502"/>
        <v>0</v>
      </c>
      <c r="W671" s="5">
        <f t="shared" si="503"/>
        <v>0</v>
      </c>
      <c r="X671" s="5">
        <f t="shared" si="504"/>
        <v>356502.70380122005</v>
      </c>
      <c r="Y671" s="5">
        <f t="shared" si="525"/>
        <v>100000</v>
      </c>
      <c r="Z671" s="215">
        <f t="shared" si="505"/>
        <v>1</v>
      </c>
      <c r="AA671" s="216">
        <f t="shared" si="526"/>
        <v>0</v>
      </c>
      <c r="AB671" s="72">
        <f t="shared" si="533"/>
        <v>142977.44334415914</v>
      </c>
      <c r="AC671" s="72">
        <f t="shared" si="506"/>
        <v>0</v>
      </c>
      <c r="AD671" s="72">
        <f t="shared" si="507"/>
        <v>0</v>
      </c>
      <c r="AE671" s="72">
        <f t="shared" si="527"/>
        <v>-74.237569288384847</v>
      </c>
      <c r="AF671" s="70">
        <f t="shared" si="508"/>
        <v>0</v>
      </c>
      <c r="AG671" s="70">
        <f t="shared" si="509"/>
        <v>8825.0125710849534</v>
      </c>
      <c r="AH671" s="1">
        <f t="shared" si="539"/>
        <v>0</v>
      </c>
      <c r="AI671" s="1">
        <f t="shared" si="539"/>
        <v>0</v>
      </c>
      <c r="AJ671" s="1">
        <f t="shared" si="539"/>
        <v>0</v>
      </c>
      <c r="AK671" s="1">
        <f t="shared" si="539"/>
        <v>0</v>
      </c>
      <c r="AL671" s="1">
        <f t="shared" si="539"/>
        <v>0</v>
      </c>
      <c r="AM671" s="1">
        <f t="shared" si="539"/>
        <v>0</v>
      </c>
      <c r="AN671" s="1">
        <f t="shared" si="539"/>
        <v>0</v>
      </c>
      <c r="AO671" s="1">
        <f t="shared" si="539"/>
        <v>0</v>
      </c>
      <c r="AP671" s="1">
        <f t="shared" si="539"/>
        <v>0</v>
      </c>
      <c r="AQ671" s="1">
        <f t="shared" si="539"/>
        <v>0</v>
      </c>
      <c r="AR671" s="1">
        <f t="shared" si="539"/>
        <v>0</v>
      </c>
      <c r="AS671" s="1">
        <f t="shared" si="539"/>
        <v>0</v>
      </c>
      <c r="AT671" s="39">
        <f t="shared" si="510"/>
        <v>356502.70380122005</v>
      </c>
      <c r="AU671" s="39">
        <f t="shared" si="528"/>
        <v>356502.70380122005</v>
      </c>
      <c r="AV671" s="39">
        <f t="shared" si="538"/>
        <v>0</v>
      </c>
      <c r="AW671" s="3">
        <f t="shared" si="511"/>
        <v>597</v>
      </c>
      <c r="AX671" s="69">
        <f t="shared" si="529"/>
        <v>0</v>
      </c>
      <c r="AY671" s="75">
        <f t="shared" si="512"/>
        <v>0</v>
      </c>
      <c r="AZ671" s="75">
        <f t="shared" si="513"/>
        <v>0</v>
      </c>
      <c r="BA671" s="75">
        <f t="shared" si="514"/>
        <v>0</v>
      </c>
      <c r="BB671" s="75">
        <f t="shared" si="515"/>
        <v>0</v>
      </c>
      <c r="BD671" s="214">
        <f t="shared" si="530"/>
        <v>669778.27333235519</v>
      </c>
      <c r="BE671" s="214">
        <f t="shared" si="516"/>
        <v>3260.1796130133962</v>
      </c>
      <c r="BF671" s="214">
        <f t="shared" si="517"/>
        <v>-1108.2763686868659</v>
      </c>
      <c r="BG671" s="224">
        <f t="shared" si="534"/>
        <v>0</v>
      </c>
      <c r="BH671" s="19">
        <f t="shared" si="531"/>
        <v>1788604.9094680639</v>
      </c>
      <c r="BI671" s="214">
        <f t="shared" si="518"/>
        <v>8706.1248382566264</v>
      </c>
      <c r="BJ671" s="214">
        <f t="shared" si="519"/>
        <v>0</v>
      </c>
      <c r="BK671" s="19">
        <f t="shared" si="535"/>
        <v>0</v>
      </c>
    </row>
    <row r="672" spans="1:63">
      <c r="A672" s="165">
        <f t="shared" si="520"/>
        <v>111.8061259411362</v>
      </c>
      <c r="B672" s="69">
        <f t="shared" si="521"/>
        <v>50</v>
      </c>
      <c r="C672" s="70">
        <f t="shared" si="522"/>
        <v>598</v>
      </c>
      <c r="D672" s="13">
        <f t="shared" si="491"/>
        <v>4.8675505653430484E-3</v>
      </c>
      <c r="E672" s="15">
        <f t="shared" si="492"/>
        <v>1</v>
      </c>
      <c r="F672" s="15">
        <f t="shared" si="523"/>
        <v>0</v>
      </c>
      <c r="G672" s="15">
        <f t="shared" si="493"/>
        <v>0</v>
      </c>
      <c r="H672" s="73">
        <f t="shared" si="494"/>
        <v>0</v>
      </c>
      <c r="I672" s="189"/>
      <c r="J672" s="189"/>
      <c r="K672" s="5">
        <f t="shared" si="536"/>
        <v>356502.70380122005</v>
      </c>
      <c r="M672" s="5">
        <f t="shared" si="495"/>
        <v>1735.2949374339539</v>
      </c>
      <c r="N672" s="5">
        <f t="shared" si="496"/>
        <v>-589.9019686471803</v>
      </c>
      <c r="O672" s="5">
        <f t="shared" si="497"/>
        <v>0</v>
      </c>
      <c r="P672" s="5">
        <f t="shared" si="498"/>
        <v>0</v>
      </c>
      <c r="Q672" s="5">
        <f t="shared" si="532"/>
        <v>0</v>
      </c>
      <c r="R672" s="5">
        <f t="shared" si="524"/>
        <v>0</v>
      </c>
      <c r="S672" s="5">
        <f t="shared" si="499"/>
        <v>0</v>
      </c>
      <c r="T672" s="5">
        <f t="shared" si="500"/>
        <v>0</v>
      </c>
      <c r="U672" s="74">
        <f t="shared" si="501"/>
        <v>0</v>
      </c>
      <c r="V672" s="75">
        <f t="shared" si="502"/>
        <v>0</v>
      </c>
      <c r="W672" s="5">
        <f t="shared" si="503"/>
        <v>0</v>
      </c>
      <c r="X672" s="5">
        <f t="shared" si="504"/>
        <v>357648.09677000681</v>
      </c>
      <c r="Y672" s="5">
        <f t="shared" si="525"/>
        <v>100000</v>
      </c>
      <c r="Z672" s="215">
        <f t="shared" si="505"/>
        <v>1</v>
      </c>
      <c r="AA672" s="216">
        <f t="shared" si="526"/>
        <v>0</v>
      </c>
      <c r="AB672" s="72">
        <f t="shared" si="533"/>
        <v>142977.44334415914</v>
      </c>
      <c r="AC672" s="72">
        <f t="shared" si="506"/>
        <v>0</v>
      </c>
      <c r="AD672" s="72">
        <f t="shared" si="507"/>
        <v>0</v>
      </c>
      <c r="AE672" s="72">
        <f t="shared" si="527"/>
        <v>-74.476084141080449</v>
      </c>
      <c r="AF672" s="70">
        <f t="shared" si="508"/>
        <v>0</v>
      </c>
      <c r="AG672" s="70">
        <f t="shared" si="509"/>
        <v>9260.2618992239295</v>
      </c>
      <c r="AH672" s="1">
        <f t="shared" si="539"/>
        <v>0</v>
      </c>
      <c r="AI672" s="1">
        <f t="shared" si="539"/>
        <v>0</v>
      </c>
      <c r="AJ672" s="1">
        <f t="shared" si="539"/>
        <v>0</v>
      </c>
      <c r="AK672" s="1">
        <f t="shared" si="539"/>
        <v>0</v>
      </c>
      <c r="AL672" s="1">
        <f t="shared" si="539"/>
        <v>0</v>
      </c>
      <c r="AM672" s="1">
        <f t="shared" si="539"/>
        <v>0</v>
      </c>
      <c r="AN672" s="1">
        <f t="shared" si="539"/>
        <v>0</v>
      </c>
      <c r="AO672" s="1">
        <f t="shared" si="539"/>
        <v>0</v>
      </c>
      <c r="AP672" s="1">
        <f t="shared" si="539"/>
        <v>0</v>
      </c>
      <c r="AQ672" s="1">
        <f t="shared" si="539"/>
        <v>0</v>
      </c>
      <c r="AR672" s="1">
        <f t="shared" si="539"/>
        <v>0</v>
      </c>
      <c r="AS672" s="1">
        <f t="shared" si="539"/>
        <v>0</v>
      </c>
      <c r="AT672" s="39">
        <f t="shared" si="510"/>
        <v>357648.09677000681</v>
      </c>
      <c r="AU672" s="39">
        <f t="shared" si="528"/>
        <v>357648.09677000681</v>
      </c>
      <c r="AV672" s="39">
        <f t="shared" si="538"/>
        <v>0</v>
      </c>
      <c r="AW672" s="3">
        <f t="shared" si="511"/>
        <v>598</v>
      </c>
      <c r="AX672" s="69">
        <f t="shared" si="529"/>
        <v>0</v>
      </c>
      <c r="AY672" s="75">
        <f t="shared" si="512"/>
        <v>0</v>
      </c>
      <c r="AZ672" s="75">
        <f t="shared" si="513"/>
        <v>0</v>
      </c>
      <c r="BA672" s="75">
        <f t="shared" si="514"/>
        <v>0</v>
      </c>
      <c r="BB672" s="75">
        <f t="shared" si="515"/>
        <v>0</v>
      </c>
      <c r="BD672" s="214">
        <f t="shared" si="530"/>
        <v>671930.17657668178</v>
      </c>
      <c r="BE672" s="214">
        <f t="shared" si="516"/>
        <v>3270.6541108668816</v>
      </c>
      <c r="BF672" s="214">
        <f t="shared" si="517"/>
        <v>-1111.8371045428116</v>
      </c>
      <c r="BG672" s="224">
        <f t="shared" si="534"/>
        <v>0</v>
      </c>
      <c r="BH672" s="19">
        <f t="shared" si="531"/>
        <v>1797311.0343063204</v>
      </c>
      <c r="BI672" s="214">
        <f t="shared" si="518"/>
        <v>8748.5023411350285</v>
      </c>
      <c r="BJ672" s="214">
        <f t="shared" si="519"/>
        <v>0</v>
      </c>
      <c r="BK672" s="19">
        <f t="shared" si="535"/>
        <v>0</v>
      </c>
    </row>
    <row r="673" spans="1:63">
      <c r="A673" s="165">
        <f t="shared" si="520"/>
        <v>111.88945927446954</v>
      </c>
      <c r="B673" s="69">
        <f t="shared" si="521"/>
        <v>50</v>
      </c>
      <c r="C673" s="70">
        <f t="shared" si="522"/>
        <v>599</v>
      </c>
      <c r="D673" s="13">
        <f t="shared" si="491"/>
        <v>4.8675505653430484E-3</v>
      </c>
      <c r="E673" s="15">
        <f t="shared" si="492"/>
        <v>1</v>
      </c>
      <c r="F673" s="15">
        <f t="shared" si="523"/>
        <v>0</v>
      </c>
      <c r="G673" s="15">
        <f t="shared" si="493"/>
        <v>0</v>
      </c>
      <c r="H673" s="73">
        <f t="shared" si="494"/>
        <v>0</v>
      </c>
      <c r="I673" s="189"/>
      <c r="J673" s="189"/>
      <c r="K673" s="5">
        <f t="shared" si="536"/>
        <v>357648.09677000681</v>
      </c>
      <c r="M673" s="5">
        <f t="shared" si="495"/>
        <v>1740.8701956267118</v>
      </c>
      <c r="N673" s="5">
        <f t="shared" si="496"/>
        <v>-591.79724057627823</v>
      </c>
      <c r="O673" s="5">
        <f t="shared" si="497"/>
        <v>0</v>
      </c>
      <c r="P673" s="5">
        <f t="shared" si="498"/>
        <v>0</v>
      </c>
      <c r="Q673" s="5">
        <f t="shared" si="532"/>
        <v>0</v>
      </c>
      <c r="R673" s="5">
        <f t="shared" si="524"/>
        <v>0</v>
      </c>
      <c r="S673" s="5">
        <f t="shared" si="499"/>
        <v>0</v>
      </c>
      <c r="T673" s="5">
        <f t="shared" si="500"/>
        <v>0</v>
      </c>
      <c r="U673" s="74">
        <f t="shared" si="501"/>
        <v>0</v>
      </c>
      <c r="V673" s="75">
        <f t="shared" si="502"/>
        <v>0</v>
      </c>
      <c r="W673" s="5">
        <f t="shared" si="503"/>
        <v>0</v>
      </c>
      <c r="X673" s="5">
        <f t="shared" si="504"/>
        <v>358797.1697250572</v>
      </c>
      <c r="Y673" s="5">
        <f t="shared" si="525"/>
        <v>100000</v>
      </c>
      <c r="Z673" s="215">
        <f t="shared" si="505"/>
        <v>1</v>
      </c>
      <c r="AA673" s="216">
        <f t="shared" si="526"/>
        <v>0</v>
      </c>
      <c r="AB673" s="72">
        <f t="shared" si="533"/>
        <v>142977.44334415914</v>
      </c>
      <c r="AC673" s="72">
        <f t="shared" si="506"/>
        <v>0</v>
      </c>
      <c r="AD673" s="72">
        <f t="shared" si="507"/>
        <v>0</v>
      </c>
      <c r="AE673" s="72">
        <f t="shared" si="527"/>
        <v>-74.715365308399541</v>
      </c>
      <c r="AF673" s="70">
        <f t="shared" si="508"/>
        <v>0</v>
      </c>
      <c r="AG673" s="70">
        <f t="shared" si="509"/>
        <v>9696.9096221430809</v>
      </c>
      <c r="AH673" s="1">
        <f t="shared" si="539"/>
        <v>0</v>
      </c>
      <c r="AI673" s="1">
        <f t="shared" si="539"/>
        <v>0</v>
      </c>
      <c r="AJ673" s="1">
        <f t="shared" si="539"/>
        <v>0</v>
      </c>
      <c r="AK673" s="1">
        <f t="shared" si="539"/>
        <v>0</v>
      </c>
      <c r="AL673" s="1">
        <f t="shared" si="539"/>
        <v>0</v>
      </c>
      <c r="AM673" s="1">
        <f t="shared" si="539"/>
        <v>0</v>
      </c>
      <c r="AN673" s="1">
        <f t="shared" si="539"/>
        <v>0</v>
      </c>
      <c r="AO673" s="1">
        <f t="shared" si="539"/>
        <v>0</v>
      </c>
      <c r="AP673" s="1">
        <f t="shared" si="539"/>
        <v>0</v>
      </c>
      <c r="AQ673" s="1">
        <f t="shared" si="539"/>
        <v>0</v>
      </c>
      <c r="AR673" s="1">
        <f t="shared" si="539"/>
        <v>0</v>
      </c>
      <c r="AS673" s="1">
        <f t="shared" si="539"/>
        <v>0</v>
      </c>
      <c r="AT673" s="39">
        <f t="shared" si="510"/>
        <v>358797.1697250572</v>
      </c>
      <c r="AU673" s="39">
        <f t="shared" si="528"/>
        <v>358797.1697250572</v>
      </c>
      <c r="AV673" s="39">
        <f t="shared" si="538"/>
        <v>0</v>
      </c>
      <c r="AW673" s="3">
        <f t="shared" si="511"/>
        <v>599</v>
      </c>
      <c r="AX673" s="69">
        <f t="shared" si="529"/>
        <v>0</v>
      </c>
      <c r="AY673" s="75">
        <f t="shared" si="512"/>
        <v>0</v>
      </c>
      <c r="AZ673" s="75">
        <f t="shared" si="513"/>
        <v>0</v>
      </c>
      <c r="BA673" s="75">
        <f t="shared" si="514"/>
        <v>0</v>
      </c>
      <c r="BB673" s="75">
        <f t="shared" si="515"/>
        <v>0</v>
      </c>
      <c r="BD673" s="214">
        <f t="shared" si="530"/>
        <v>674088.99358300585</v>
      </c>
      <c r="BE673" s="214">
        <f t="shared" si="516"/>
        <v>3281.1622618064866</v>
      </c>
      <c r="BF673" s="214">
        <f t="shared" si="517"/>
        <v>-1115.4092805414812</v>
      </c>
      <c r="BG673" s="224">
        <f t="shared" si="534"/>
        <v>0</v>
      </c>
      <c r="BH673" s="19">
        <f t="shared" si="531"/>
        <v>1806059.5366474553</v>
      </c>
      <c r="BI673" s="214">
        <f t="shared" si="518"/>
        <v>8791.0861186515249</v>
      </c>
      <c r="BJ673" s="214">
        <f t="shared" si="519"/>
        <v>0</v>
      </c>
      <c r="BK673" s="19">
        <f t="shared" si="535"/>
        <v>0</v>
      </c>
    </row>
    <row r="674" spans="1:63">
      <c r="A674" s="165">
        <f t="shared" si="520"/>
        <v>111.97279260780287</v>
      </c>
      <c r="B674" s="69">
        <f t="shared" si="521"/>
        <v>50</v>
      </c>
      <c r="C674" s="70">
        <f t="shared" si="522"/>
        <v>600</v>
      </c>
      <c r="D674" s="13">
        <f t="shared" si="491"/>
        <v>4.8675505653430484E-3</v>
      </c>
      <c r="E674" s="15">
        <f t="shared" si="492"/>
        <v>1</v>
      </c>
      <c r="F674" s="15">
        <f t="shared" si="523"/>
        <v>0</v>
      </c>
      <c r="G674" s="15">
        <f t="shared" si="493"/>
        <v>0</v>
      </c>
      <c r="H674" s="73">
        <f t="shared" si="494"/>
        <v>0</v>
      </c>
      <c r="I674" s="189"/>
      <c r="J674" s="189"/>
      <c r="K674" s="5">
        <f t="shared" si="536"/>
        <v>358797.1697250572</v>
      </c>
      <c r="M674" s="5">
        <f t="shared" si="495"/>
        <v>1746.4633663386878</v>
      </c>
      <c r="N674" s="5">
        <f t="shared" si="496"/>
        <v>-593.69860174710789</v>
      </c>
      <c r="O674" s="5">
        <f t="shared" si="497"/>
        <v>0</v>
      </c>
      <c r="P674" s="5">
        <f t="shared" si="498"/>
        <v>0</v>
      </c>
      <c r="Q674" s="5">
        <f t="shared" si="532"/>
        <v>0</v>
      </c>
      <c r="R674" s="5">
        <f t="shared" ref="R674" si="540">O674+P674</f>
        <v>0</v>
      </c>
      <c r="S674" s="5">
        <f t="shared" si="499"/>
        <v>0</v>
      </c>
      <c r="T674" s="5">
        <f t="shared" si="500"/>
        <v>0</v>
      </c>
      <c r="U674" s="74">
        <f t="shared" si="501"/>
        <v>0</v>
      </c>
      <c r="V674" s="75">
        <f t="shared" si="502"/>
        <v>0</v>
      </c>
      <c r="W674" s="5">
        <f t="shared" si="503"/>
        <v>0</v>
      </c>
      <c r="X674" s="5">
        <f t="shared" si="504"/>
        <v>359949.93448964879</v>
      </c>
      <c r="Y674" s="5">
        <f t="shared" si="525"/>
        <v>100000</v>
      </c>
      <c r="Z674" s="215">
        <f t="shared" si="505"/>
        <v>1</v>
      </c>
      <c r="AA674" s="216">
        <f t="shared" si="526"/>
        <v>0</v>
      </c>
      <c r="AB674" s="72">
        <f t="shared" si="533"/>
        <v>142977.44334415914</v>
      </c>
      <c r="AC674" s="72">
        <f t="shared" si="506"/>
        <v>0</v>
      </c>
      <c r="AD674" s="72">
        <f t="shared" si="507"/>
        <v>0</v>
      </c>
      <c r="AE674" s="72">
        <f t="shared" si="527"/>
        <v>-74.955415252403</v>
      </c>
      <c r="AF674" s="70">
        <f t="shared" si="508"/>
        <v>0</v>
      </c>
      <c r="AG674" s="70">
        <f t="shared" si="509"/>
        <v>10134.960232687881</v>
      </c>
      <c r="AH674" s="1">
        <f t="shared" si="539"/>
        <v>0</v>
      </c>
      <c r="AI674" s="1">
        <f t="shared" si="539"/>
        <v>0</v>
      </c>
      <c r="AJ674" s="1">
        <f t="shared" si="539"/>
        <v>0</v>
      </c>
      <c r="AK674" s="1">
        <f t="shared" si="539"/>
        <v>0</v>
      </c>
      <c r="AL674" s="1">
        <f t="shared" si="539"/>
        <v>0</v>
      </c>
      <c r="AM674" s="1">
        <f t="shared" si="539"/>
        <v>0</v>
      </c>
      <c r="AN674" s="1">
        <f t="shared" si="539"/>
        <v>0</v>
      </c>
      <c r="AO674" s="1">
        <f t="shared" si="539"/>
        <v>0</v>
      </c>
      <c r="AP674" s="1">
        <f t="shared" si="539"/>
        <v>0</v>
      </c>
      <c r="AQ674" s="1">
        <f t="shared" si="539"/>
        <v>0</v>
      </c>
      <c r="AR674" s="1">
        <f t="shared" si="539"/>
        <v>0</v>
      </c>
      <c r="AS674" s="1">
        <f t="shared" si="539"/>
        <v>0</v>
      </c>
      <c r="AT674" s="39">
        <f t="shared" si="510"/>
        <v>359949.93448964879</v>
      </c>
      <c r="AU674" s="39">
        <f t="shared" si="528"/>
        <v>359949.93448964879</v>
      </c>
      <c r="AV674" s="39">
        <f t="shared" si="538"/>
        <v>0</v>
      </c>
      <c r="AW674" s="3">
        <f t="shared" si="511"/>
        <v>600</v>
      </c>
      <c r="AX674" s="69">
        <f t="shared" si="529"/>
        <v>0</v>
      </c>
      <c r="AY674" s="75">
        <f t="shared" si="512"/>
        <v>0</v>
      </c>
      <c r="AZ674" s="75">
        <f t="shared" si="513"/>
        <v>0</v>
      </c>
      <c r="BA674" s="75">
        <f t="shared" si="514"/>
        <v>0</v>
      </c>
      <c r="BB674" s="75">
        <f t="shared" si="515"/>
        <v>0</v>
      </c>
      <c r="BD674" s="214">
        <f t="shared" si="530"/>
        <v>676254.74656427081</v>
      </c>
      <c r="BE674" s="214">
        <f t="shared" si="516"/>
        <v>3291.7041739548363</v>
      </c>
      <c r="BF674" s="214">
        <f t="shared" si="517"/>
        <v>-1118.9929334384424</v>
      </c>
      <c r="BG674" s="224">
        <f t="shared" si="534"/>
        <v>0</v>
      </c>
      <c r="BH674" s="19">
        <f t="shared" si="531"/>
        <v>1814850.6227661069</v>
      </c>
      <c r="BI674" s="214">
        <f t="shared" si="518"/>
        <v>8833.8771748583476</v>
      </c>
      <c r="BJ674" s="214"/>
      <c r="BK674" s="19">
        <f t="shared" si="535"/>
        <v>0</v>
      </c>
    </row>
  </sheetData>
  <mergeCells count="5">
    <mergeCell ref="E64:H64"/>
    <mergeCell ref="B3:B4"/>
    <mergeCell ref="G20:M21"/>
    <mergeCell ref="E41:H41"/>
    <mergeCell ref="E40:H40"/>
  </mergeCells>
  <conditionalFormatting sqref="C64">
    <cfRule type="expression" dxfId="5" priority="4">
      <formula>$C$64+$C$58&lt;0</formula>
    </cfRule>
  </conditionalFormatting>
  <conditionalFormatting sqref="E35 E40:E41">
    <cfRule type="containsText" dxfId="4" priority="5" operator="containsText" text="Must input Customer Regular Income % if Regular Income Type = Fixed Percent">
      <formula>NOT(ISERROR(SEARCH("Must input Customer Regular Income % if Regular Income Type = Fixed Percent",E35)))</formula>
    </cfRule>
  </conditionalFormatting>
  <conditionalFormatting sqref="E64:E65 E66:H66">
    <cfRule type="cellIs" dxfId="3" priority="1" operator="equal">
      <formula>"Please enter a value that is a multiple of 0.25%"</formula>
    </cfRule>
  </conditionalFormatting>
  <conditionalFormatting sqref="E64:E66">
    <cfRule type="containsText" dxfId="2" priority="3" operator="containsText" text="Must input Customer Regular Income % if Regular Income Type = Fixed Percent">
      <formula>NOT(ISERROR(SEARCH("Must input Customer Regular Income % if Regular Income Type = Fixed Percent",E64)))</formula>
    </cfRule>
  </conditionalFormatting>
  <conditionalFormatting sqref="G20:M21">
    <cfRule type="containsText" dxfId="1" priority="6" operator="containsText" text="Percentage Invested is not equal to 100%">
      <formula>NOT(ISERROR(SEARCH("Percentage Invested is not equal to 100%",G20)))</formula>
    </cfRule>
  </conditionalFormatting>
  <conditionalFormatting sqref="T24">
    <cfRule type="cellIs" dxfId="0" priority="7" operator="notEqual">
      <formula>1</formula>
    </cfRule>
  </conditionalFormatting>
  <dataValidations count="7">
    <dataValidation showInputMessage="1" showErrorMessage="1" sqref="C42" xr:uid="{79F8C9E2-22DC-472C-8CC4-CDE09A881888}"/>
    <dataValidation type="list" allowBlank="1" showInputMessage="1" showErrorMessage="1" sqref="C61 G27:I27 C63 C29 C40 C65" xr:uid="{9A61218E-ED3D-40A0-8EDE-6CC2DB5E62BD}">
      <formula1>"Yes, No"</formula1>
    </dataValidation>
    <dataValidation showDropDown="1" showInputMessage="1" showErrorMessage="1" sqref="C23 C39" xr:uid="{14B65A4C-AED1-4228-A007-C5230C70D494}"/>
    <dataValidation type="list" allowBlank="1" showInputMessage="1" showErrorMessage="1" sqref="C41" xr:uid="{FE2C6C6E-DD37-4849-AF4F-4FA102C238AA}">
      <formula1>"Monetary Amount (with Escalation), Fixed Percent"</formula1>
    </dataValidation>
    <dataValidation type="list" allowBlank="1" showInputMessage="1" showErrorMessage="1" sqref="C31" xr:uid="{BA1C6F19-26C4-4171-A382-2E0FBC893F01}">
      <formula1>"Monthly, Quarterly, Half-Yearly, Annual"</formula1>
    </dataValidation>
    <dataValidation type="list" allowBlank="1" showInputMessage="1" showErrorMessage="1" sqref="C46" xr:uid="{293C8F14-2C4D-4B5D-8A5C-1571C32FCFED}">
      <formula1>"1, 2, 3, 4, 5, 6, 7, 8, 9, 10, 11, 12"</formula1>
    </dataValidation>
    <dataValidation type="list" allowBlank="1" showInputMessage="1" showErrorMessage="1" sqref="C34" xr:uid="{62D4BD15-9585-44CA-BFBC-309A04A6FB15}">
      <formula1>"0%, 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F9975EA-CBB5-443D-9BDE-9FB7FE0131D8}">
          <x14:formula1>
            <xm:f>Parameters!$D$7:$D$47</xm:f>
          </x14:formula1>
          <xm:sqref>C24</xm:sqref>
        </x14:dataValidation>
        <x14:dataValidation type="decimal" allowBlank="1" showInputMessage="1" showErrorMessage="1" errorTitle="Out of Range" error="Number entered is out of range. Please enter a number within the acceptable range." promptTitle="Adjusted Initial Commission" prompt="Please enter a number in the range [0%, 5%] to two decimal places. _x000a__x000a_If the number is not a multiple of 0.25% then an error message will be triggered." xr:uid="{98698507-5DAF-425D-88C2-8E1B6F0EC0AA}">
          <x14:formula1>
            <xm:f>Parameters!$D$100</xm:f>
          </x14:formula1>
          <x14:formula2>
            <xm:f>Parameters!$E$100</xm:f>
          </x14:formula2>
          <xm:sqref>C64</xm:sqref>
        </x14:dataValidation>
        <x14:dataValidation type="list" allowBlank="1" showInputMessage="1" showErrorMessage="1" xr:uid="{5D609C38-4F9E-4FCD-BCA3-99E0586B9DD7}">
          <x14:formula1>
            <xm:f>Parameters!$C$106:$C$108</xm:f>
          </x14:formula1>
          <xm:sqref>C25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4FE4-6795-4B47-9C1D-0D4F0A713C57}">
  <sheetPr codeName="Sheet2">
    <pageSetUpPr autoPageBreaks="0"/>
  </sheetPr>
  <dimension ref="A1:U53"/>
  <sheetViews>
    <sheetView tabSelected="1" zoomScale="85" zoomScaleNormal="85" zoomScaleSheetLayoutView="100" workbookViewId="0">
      <selection activeCell="F6" sqref="F6"/>
    </sheetView>
  </sheetViews>
  <sheetFormatPr defaultRowHeight="15"/>
  <cols>
    <col min="3" max="3" width="40.7109375" bestFit="1" customWidth="1"/>
    <col min="4" max="4" width="12.7109375" bestFit="1" customWidth="1"/>
    <col min="5" max="5" width="16.42578125" bestFit="1" customWidth="1"/>
    <col min="8" max="8" width="20.7109375" bestFit="1" customWidth="1"/>
    <col min="11" max="11" width="37.140625" bestFit="1" customWidth="1"/>
    <col min="12" max="12" width="17.5703125" customWidth="1"/>
    <col min="13" max="13" width="22.85546875" customWidth="1"/>
    <col min="14" max="14" width="21.85546875" customWidth="1"/>
    <col min="15" max="15" width="25" customWidth="1"/>
    <col min="16" max="17" width="21" customWidth="1"/>
    <col min="18" max="18" width="20.140625" customWidth="1"/>
  </cols>
  <sheetData>
    <row r="1" spans="1:21">
      <c r="A1" t="s">
        <v>189</v>
      </c>
    </row>
    <row r="2" spans="1:21" ht="15.75" thickBot="1">
      <c r="C2" s="21" t="s">
        <v>33</v>
      </c>
      <c r="E2" s="156" t="str">
        <f>LEFT(Product_Code, 1)</f>
        <v>D</v>
      </c>
    </row>
    <row r="3" spans="1:21" ht="30">
      <c r="C3" s="21"/>
      <c r="K3" s="222" t="s">
        <v>227</v>
      </c>
      <c r="L3" s="259" t="s">
        <v>95</v>
      </c>
      <c r="M3" s="8" t="s">
        <v>39</v>
      </c>
      <c r="N3" s="10" t="s">
        <v>41</v>
      </c>
      <c r="O3" s="10" t="s">
        <v>45</v>
      </c>
      <c r="P3" s="10" t="s">
        <v>49</v>
      </c>
      <c r="Q3" s="10" t="s">
        <v>96</v>
      </c>
      <c r="R3" s="10" t="s">
        <v>51</v>
      </c>
    </row>
    <row r="4" spans="1:21" ht="39" thickBot="1">
      <c r="C4" s="21" t="s">
        <v>190</v>
      </c>
      <c r="E4" s="155">
        <f>Growth_Rate_1</f>
        <v>0.06</v>
      </c>
      <c r="L4" s="260"/>
      <c r="M4" s="9" t="s">
        <v>98</v>
      </c>
      <c r="N4" s="11" t="s">
        <v>99</v>
      </c>
      <c r="O4" s="11" t="s">
        <v>191</v>
      </c>
      <c r="P4" s="11" t="s">
        <v>101</v>
      </c>
      <c r="Q4" s="11" t="s">
        <v>231</v>
      </c>
      <c r="R4" s="11" t="s">
        <v>234</v>
      </c>
    </row>
    <row r="5" spans="1:21" ht="15.75" customHeight="1" thickBot="1">
      <c r="E5" t="s">
        <v>192</v>
      </c>
      <c r="L5" s="67" t="str">
        <f>IF(Reg_Income_Flag="No","",IF(Projections!$H4=0,"",
IF(Projections!$H5=0,Fund_Zero_Year,Projections!B5)))</f>
        <v/>
      </c>
      <c r="M5" s="167" t="str">
        <f>IF(Reg_Income_Flag="No","",IF(OR(AND($L5&gt;Projections!$C$53,Fund_Zero_Year=""),Projections!$H4=0),"",Projections!C5))</f>
        <v/>
      </c>
      <c r="N5" s="167" t="str">
        <f>IF(Reg_Income_Flag="No","",IF(OR(AND($L5&gt;Projections!$C$53,Fund_Zero_Year=""),Projections!$H4=0),"",Projections!D5))</f>
        <v/>
      </c>
      <c r="O5" s="167" t="str">
        <f>IF(Reg_Income_Flag="No","",IF(OR(AND($L5&gt;Projections!$C$53,Fund_Zero_Year=""),Projections!$H4=0),"",Projections!E5))</f>
        <v/>
      </c>
      <c r="P5" s="167" t="str">
        <f>IF(Reg_Income_Flag="No","",IF(OR(AND($L5&gt;Projections!$C$53,Fund_Zero_Year=""),Projections!$H4=0),"",Projections!F5))</f>
        <v/>
      </c>
      <c r="Q5" s="167" t="str">
        <f>IF(Reg_Income_Flag="No","",IF(OR(AND($L5&gt;Projections!$C$53,Fund_Zero_Year=""),Projections!$H4=0),"",Projections!G5))</f>
        <v/>
      </c>
      <c r="R5" s="167" t="str">
        <f>IF(Reg_Income_Flag="No","",IF(OR(AND($L5&gt;Projections!$C$53,Fund_Zero_Year=""),Projections!$H4=0),"",Projections!H5))</f>
        <v/>
      </c>
      <c r="T5" s="199"/>
    </row>
    <row r="6" spans="1:21" ht="15.75" thickBot="1">
      <c r="C6" s="21" t="s">
        <v>193</v>
      </c>
      <c r="E6" s="155">
        <f>Projections!AZ71</f>
        <v>3.8720338734644866E-2</v>
      </c>
      <c r="F6" s="20"/>
      <c r="G6" s="20"/>
      <c r="H6" s="190"/>
      <c r="L6" s="67" t="str">
        <f>IF(Reg_Income_Flag="No","",IF(Projections!$H5=0,"",
IF(Projections!$H6=0,Fund_Zero_Year,Projections!B6)))</f>
        <v/>
      </c>
      <c r="M6" s="167" t="str">
        <f>IF(Reg_Income_Flag="No","",IF(OR(AND($L6&gt;Projections!$C$53,Fund_Zero_Year=""),Projections!$H5=0),"",Projections!C6))</f>
        <v/>
      </c>
      <c r="N6" s="167" t="str">
        <f>IF(Reg_Income_Flag="No","",IF(OR(AND($L6&gt;Projections!$C$53,Fund_Zero_Year=""),Projections!$H5=0),"",Projections!D6))</f>
        <v/>
      </c>
      <c r="O6" s="167" t="str">
        <f>IF(Reg_Income_Flag="No","",IF(OR(AND($L6&gt;Projections!$C$53,Fund_Zero_Year=""),Projections!$H5=0),"",Projections!E6))</f>
        <v/>
      </c>
      <c r="P6" s="167" t="str">
        <f>IF(Reg_Income_Flag="No","",IF(OR(AND($L6&gt;Projections!$C$53,Fund_Zero_Year=""),Projections!$H5=0),"",Projections!F6))</f>
        <v/>
      </c>
      <c r="Q6" s="167" t="str">
        <f>IF(Reg_Income_Flag="No","",IF(OR(AND($L6&gt;Projections!$C$53,Fund_Zero_Year=""),Projections!$H5=0),"",Projections!G6))</f>
        <v/>
      </c>
      <c r="R6" s="167" t="str">
        <f>IF(Reg_Income_Flag="No","",IF(OR(AND($L6&gt;Projections!$C$53,Fund_Zero_Year=""),Projections!$H5=0),"",Projections!H6))</f>
        <v/>
      </c>
      <c r="T6" s="199"/>
      <c r="U6" s="20"/>
    </row>
    <row r="7" spans="1:21" ht="15.75" thickBot="1">
      <c r="C7" s="21"/>
      <c r="F7" s="20"/>
      <c r="G7" s="20"/>
      <c r="H7" s="190"/>
      <c r="L7" s="67" t="str">
        <f>IF(Reg_Income_Flag="No","",IF(Projections!$H6=0,"",
IF(Projections!$H7=0,Fund_Zero_Year,Projections!B7)))</f>
        <v/>
      </c>
      <c r="M7" s="167" t="str">
        <f>IF(Reg_Income_Flag="No","",IF(OR(AND($L7&gt;Projections!$C$53,Fund_Zero_Year=""),Projections!$H6=0),"",Projections!C7))</f>
        <v/>
      </c>
      <c r="N7" s="167" t="str">
        <f>IF(Reg_Income_Flag="No","",IF(OR(AND($L7&gt;Projections!$C$53,Fund_Zero_Year=""),Projections!$H6=0),"",Projections!D7))</f>
        <v/>
      </c>
      <c r="O7" s="167" t="str">
        <f>IF(Reg_Income_Flag="No","",IF(OR(AND($L7&gt;Projections!$C$53,Fund_Zero_Year=""),Projections!$H6=0),"",Projections!E7))</f>
        <v/>
      </c>
      <c r="P7" s="167" t="str">
        <f>IF(Reg_Income_Flag="No","",IF(OR(AND($L7&gt;Projections!$C$53,Fund_Zero_Year=""),Projections!$H6=0),"",Projections!F7))</f>
        <v/>
      </c>
      <c r="Q7" s="167" t="str">
        <f>IF(Reg_Income_Flag="No","",IF(OR(AND($L7&gt;Projections!$C$53,Fund_Zero_Year=""),Projections!$H6=0),"",Projections!G7))</f>
        <v/>
      </c>
      <c r="R7" s="167" t="str">
        <f>IF(Reg_Income_Flag="No","",IF(OR(AND($L7&gt;Projections!$C$53,Fund_Zero_Year=""),Projections!$H6=0),"",Projections!H7))</f>
        <v/>
      </c>
      <c r="T7" s="199"/>
    </row>
    <row r="8" spans="1:21" ht="15.75" thickBot="1">
      <c r="C8" s="21" t="s">
        <v>233</v>
      </c>
      <c r="E8" s="155">
        <f>Exit_Tax_Rate</f>
        <v>0.38</v>
      </c>
      <c r="F8" s="20"/>
      <c r="G8" s="20"/>
      <c r="H8" s="190"/>
      <c r="L8" s="67" t="str">
        <f>IF(Reg_Income_Flag="No","",IF(Projections!$H7=0,"",
IF(Projections!$H8=0,Fund_Zero_Year,Projections!B8)))</f>
        <v/>
      </c>
      <c r="M8" s="167" t="str">
        <f>IF(Reg_Income_Flag="No","",IF(OR(AND($L8&gt;Projections!$C$53,Fund_Zero_Year=""),Projections!$H7=0),"",Projections!C8))</f>
        <v/>
      </c>
      <c r="N8" s="167" t="str">
        <f>IF(Reg_Income_Flag="No","",IF(OR(AND($L8&gt;Projections!$C$53,Fund_Zero_Year=""),Projections!$H7=0),"",Projections!D8))</f>
        <v/>
      </c>
      <c r="O8" s="167" t="str">
        <f>IF(Reg_Income_Flag="No","",IF(OR(AND($L8&gt;Projections!$C$53,Fund_Zero_Year=""),Projections!$H7=0),"",Projections!E8))</f>
        <v/>
      </c>
      <c r="P8" s="167" t="str">
        <f>IF(Reg_Income_Flag="No","",IF(OR(AND($L8&gt;Projections!$C$53,Fund_Zero_Year=""),Projections!$H7=0),"",Projections!F8))</f>
        <v/>
      </c>
      <c r="Q8" s="167" t="str">
        <f>IF(Reg_Income_Flag="No","",IF(OR(AND($L8&gt;Projections!$C$53,Fund_Zero_Year=""),Projections!$H7=0),"",Projections!G8))</f>
        <v/>
      </c>
      <c r="R8" s="167" t="str">
        <f>IF(Reg_Income_Flag="No","",IF(OR(AND($L8&gt;Projections!$C$53,Fund_Zero_Year=""),Projections!$H7=0),"",Projections!H8))</f>
        <v/>
      </c>
      <c r="T8" s="199"/>
    </row>
    <row r="9" spans="1:21" ht="15.75" thickBot="1">
      <c r="C9" s="21"/>
      <c r="F9" s="20"/>
      <c r="G9" s="20"/>
      <c r="H9" s="190"/>
      <c r="L9" s="67" t="str">
        <f>IF(Reg_Income_Flag="No","",IF(Projections!$H8=0,"",
IF(Projections!$H9=0,Fund_Zero_Year,Projections!B9)))</f>
        <v/>
      </c>
      <c r="M9" s="167" t="str">
        <f>IF(Reg_Income_Flag="No","",IF(OR(AND($L9&gt;Projections!$C$53,Fund_Zero_Year=""),Projections!$H8=0),"",Projections!C9))</f>
        <v/>
      </c>
      <c r="N9" s="167" t="str">
        <f>IF(Reg_Income_Flag="No","",IF(OR(AND($L9&gt;Projections!$C$53,Fund_Zero_Year=""),Projections!$H8=0),"",Projections!D9))</f>
        <v/>
      </c>
      <c r="O9" s="167" t="str">
        <f>IF(Reg_Income_Flag="No","",IF(OR(AND($L9&gt;Projections!$C$53,Fund_Zero_Year=""),Projections!$H8=0),"",Projections!E9))</f>
        <v/>
      </c>
      <c r="P9" s="167" t="str">
        <f>IF(Reg_Income_Flag="No","",IF(OR(AND($L9&gt;Projections!$C$53,Fund_Zero_Year=""),Projections!$H8=0),"",Projections!F9))</f>
        <v/>
      </c>
      <c r="Q9" s="167" t="str">
        <f>IF(Reg_Income_Flag="No","",IF(OR(AND($L9&gt;Projections!$C$53,Fund_Zero_Year=""),Projections!$H8=0),"",Projections!G9))</f>
        <v/>
      </c>
      <c r="R9" s="167" t="str">
        <f>IF(Reg_Income_Flag="No","",IF(OR(AND($L9&gt;Projections!$C$53,Fund_Zero_Year=""),Projections!$H8=0),"",Projections!H9))</f>
        <v/>
      </c>
      <c r="T9" s="199"/>
    </row>
    <row r="10" spans="1:21" ht="15.75" thickBot="1">
      <c r="C10" s="271" t="s">
        <v>194</v>
      </c>
      <c r="D10" s="270" t="str">
        <f>IF(Reg_Income_Flag="No","",  IF(Income_Type="Monetary Amount (with Escalation)","You have chosen an initial income level of "&amp;TEXT(Projections!C42,"€#,##0")&amp;" per annum.",
"You have chosen an income level of "&amp; TEXT(Projections!C43,"0%")&amp; " of the fund value per annum")&amp; "The income to date values in Column E of the table are shown after the payment of tax.")</f>
        <v/>
      </c>
      <c r="E10" s="270"/>
      <c r="F10" s="270"/>
      <c r="G10" s="270"/>
      <c r="H10" s="270"/>
      <c r="I10" s="270"/>
      <c r="J10" s="270"/>
      <c r="L10" s="67" t="str">
        <f>IF(Reg_Income_Flag="No","",IF(Projections!$H9=0,"",
IF(Projections!$H10=0,Fund_Zero_Year,Projections!B10)))</f>
        <v/>
      </c>
      <c r="M10" s="167" t="str">
        <f>IF(Reg_Income_Flag="No","",IF(OR(AND($L10&gt;Projections!$C$53,Fund_Zero_Year=""),Projections!$H9=0),"",Projections!C10))</f>
        <v/>
      </c>
      <c r="N10" s="167" t="str">
        <f>IF(Reg_Income_Flag="No","",IF(OR(AND($L10&gt;Projections!$C$53,Fund_Zero_Year=""),Projections!$H9=0),"",Projections!D10))</f>
        <v/>
      </c>
      <c r="O10" s="167" t="str">
        <f>IF(Reg_Income_Flag="No","",IF(OR(AND($L10&gt;Projections!$C$53,Fund_Zero_Year=""),Projections!$H9=0),"",Projections!E10))</f>
        <v/>
      </c>
      <c r="P10" s="167" t="str">
        <f>IF(Reg_Income_Flag="No","",IF(OR(AND($L10&gt;Projections!$C$53,Fund_Zero_Year=""),Projections!$H9=0),"",Projections!F10))</f>
        <v/>
      </c>
      <c r="Q10" s="167" t="str">
        <f>IF(Reg_Income_Flag="No","",IF(OR(AND($L10&gt;Projections!$C$53,Fund_Zero_Year=""),Projections!$H9=0),"",Projections!G10))</f>
        <v/>
      </c>
      <c r="R10" s="167" t="str">
        <f>IF(Reg_Income_Flag="No","",IF(OR(AND($L10&gt;Projections!$C$53,Fund_Zero_Year=""),Projections!$H9=0),"",Projections!H10))</f>
        <v/>
      </c>
      <c r="T10" s="199"/>
    </row>
    <row r="11" spans="1:21" ht="15.75" thickBot="1">
      <c r="C11" s="271"/>
      <c r="D11" s="270"/>
      <c r="E11" s="270"/>
      <c r="F11" s="270"/>
      <c r="G11" s="270"/>
      <c r="H11" s="270"/>
      <c r="I11" s="270"/>
      <c r="J11" s="270"/>
      <c r="L11" s="67" t="str">
        <f>IF(Reg_Income_Flag="No","",IF(Projections!$H10=0,"",
IF(Projections!$H11=0,Fund_Zero_Year,Projections!B11)))</f>
        <v/>
      </c>
      <c r="M11" s="167" t="str">
        <f>IF(Reg_Income_Flag="No","",IF(OR(AND($L11&gt;Projections!$C$53,Fund_Zero_Year=""),Projections!$H10=0),"",Projections!C11))</f>
        <v/>
      </c>
      <c r="N11" s="167" t="str">
        <f>IF(Reg_Income_Flag="No","",IF(OR(AND($L11&gt;Projections!$C$53,Fund_Zero_Year=""),Projections!$H10=0),"",Projections!D11))</f>
        <v/>
      </c>
      <c r="O11" s="167" t="str">
        <f>IF(Reg_Income_Flag="No","",IF(OR(AND($L11&gt;Projections!$C$53,Fund_Zero_Year=""),Projections!$H10=0),"",Projections!E11))</f>
        <v/>
      </c>
      <c r="P11" s="167" t="str">
        <f>IF(Reg_Income_Flag="No","",IF(OR(AND($L11&gt;Projections!$C$53,Fund_Zero_Year=""),Projections!$H10=0),"",Projections!F11))</f>
        <v/>
      </c>
      <c r="Q11" s="167" t="str">
        <f>IF(Reg_Income_Flag="No","",IF(OR(AND($L11&gt;Projections!$C$53,Fund_Zero_Year=""),Projections!$H10=0),"",Projections!G11))</f>
        <v/>
      </c>
      <c r="R11" s="167" t="str">
        <f>IF(Reg_Income_Flag="No","",IF(OR(AND($L11&gt;Projections!$C$53,Fund_Zero_Year=""),Projections!$H10=0),"",Projections!H11))</f>
        <v/>
      </c>
      <c r="T11" s="199"/>
    </row>
    <row r="12" spans="1:21" ht="15.75" thickBot="1">
      <c r="C12" s="271"/>
      <c r="D12" s="270"/>
      <c r="E12" s="270"/>
      <c r="F12" s="270"/>
      <c r="G12" s="270"/>
      <c r="H12" s="270"/>
      <c r="I12" s="270"/>
      <c r="J12" s="270"/>
      <c r="L12" s="67" t="str">
        <f>IF(Reg_Income_Flag="No","",IF(Projections!$H11=0,"",
IF(Projections!$H12=0,Fund_Zero_Year,Projections!B12)))</f>
        <v/>
      </c>
      <c r="M12" s="167" t="str">
        <f>IF(Reg_Income_Flag="No","",IF(OR(AND($L12&gt;Projections!$C$53,Fund_Zero_Year=""),Projections!$H11=0),"",Projections!C12))</f>
        <v/>
      </c>
      <c r="N12" s="167" t="str">
        <f>IF(Reg_Income_Flag="No","",IF(OR(AND($L12&gt;Projections!$C$53,Fund_Zero_Year=""),Projections!$H11=0),"",Projections!D12))</f>
        <v/>
      </c>
      <c r="O12" s="167" t="str">
        <f>IF(Reg_Income_Flag="No","",IF(OR(AND($L12&gt;Projections!$C$53,Fund_Zero_Year=""),Projections!$H11=0),"",Projections!E12))</f>
        <v/>
      </c>
      <c r="P12" s="167" t="str">
        <f>IF(Reg_Income_Flag="No","",IF(OR(AND($L12&gt;Projections!$C$53,Fund_Zero_Year=""),Projections!$H11=0),"",Projections!F12))</f>
        <v/>
      </c>
      <c r="Q12" s="167" t="str">
        <f>IF(Reg_Income_Flag="No","",IF(OR(AND($L12&gt;Projections!$C$53,Fund_Zero_Year=""),Projections!$H11=0),"",Projections!G12))</f>
        <v/>
      </c>
      <c r="R12" s="167" t="str">
        <f>IF(Reg_Income_Flag="No","",IF(OR(AND($L12&gt;Projections!$C$53,Fund_Zero_Year=""),Projections!$H11=0),"",Projections!H12))</f>
        <v/>
      </c>
      <c r="T12" s="199"/>
    </row>
    <row r="13" spans="1:21" ht="15.75" thickBot="1">
      <c r="C13" s="271"/>
      <c r="D13" s="270"/>
      <c r="E13" s="270"/>
      <c r="F13" s="270"/>
      <c r="G13" s="270"/>
      <c r="H13" s="270"/>
      <c r="I13" s="270"/>
      <c r="J13" s="270"/>
      <c r="L13" s="67" t="str">
        <f>IF(Reg_Income_Flag="No","",IF(Projections!$H12=0,"",
IF(Projections!$H13=0,Fund_Zero_Year,Projections!B13)))</f>
        <v/>
      </c>
      <c r="M13" s="167" t="str">
        <f>IF(Reg_Income_Flag="No","",IF(OR(AND($L13&gt;Projections!$C$53,Fund_Zero_Year=""),Projections!$H12=0),"",Projections!C13))</f>
        <v/>
      </c>
      <c r="N13" s="167" t="str">
        <f>IF(Reg_Income_Flag="No","",IF(OR(AND($L13&gt;Projections!$C$53,Fund_Zero_Year=""),Projections!$H12=0),"",Projections!D13))</f>
        <v/>
      </c>
      <c r="O13" s="167" t="str">
        <f>IF(Reg_Income_Flag="No","",IF(OR(AND($L13&gt;Projections!$C$53,Fund_Zero_Year=""),Projections!$H12=0),"",Projections!E13))</f>
        <v/>
      </c>
      <c r="P13" s="167" t="str">
        <f>IF(Reg_Income_Flag="No","",IF(OR(AND($L13&gt;Projections!$C$53,Fund_Zero_Year=""),Projections!$H12=0),"",Projections!F13))</f>
        <v/>
      </c>
      <c r="Q13" s="167" t="str">
        <f>IF(Reg_Income_Flag="No","",IF(OR(AND($L13&gt;Projections!$C$53,Fund_Zero_Year=""),Projections!$H12=0),"",Projections!G13))</f>
        <v/>
      </c>
      <c r="R13" s="167" t="str">
        <f>IF(Reg_Income_Flag="No","",IF(OR(AND($L13&gt;Projections!$C$53,Fund_Zero_Year=""),Projections!$H12=0),"",Projections!H13))</f>
        <v/>
      </c>
      <c r="T13" s="199"/>
    </row>
    <row r="14" spans="1:21" ht="15.75" thickBot="1">
      <c r="C14" s="271"/>
      <c r="D14" s="270"/>
      <c r="E14" s="270"/>
      <c r="F14" s="270"/>
      <c r="G14" s="270"/>
      <c r="H14" s="270"/>
      <c r="I14" s="270"/>
      <c r="J14" s="270"/>
      <c r="L14" s="67" t="str">
        <f>IF(Reg_Income_Flag="No","",IF(Projections!$H13=0,"",
IF(Projections!$H14=0,Fund_Zero_Year,Projections!B14)))</f>
        <v/>
      </c>
      <c r="M14" s="167" t="str">
        <f>IF(Reg_Income_Flag="No","",IF(OR(AND($L14&gt;Projections!$C$53,Fund_Zero_Year=""),Projections!$H13=0),"",Projections!C14))</f>
        <v/>
      </c>
      <c r="N14" s="167" t="str">
        <f>IF(Reg_Income_Flag="No","",IF(OR(AND($L14&gt;Projections!$C$53,Fund_Zero_Year=""),Projections!$H13=0),"",Projections!D14))</f>
        <v/>
      </c>
      <c r="O14" s="167" t="str">
        <f>IF(Reg_Income_Flag="No","",IF(OR(AND($L14&gt;Projections!$C$53,Fund_Zero_Year=""),Projections!$H13=0),"",Projections!E14))</f>
        <v/>
      </c>
      <c r="P14" s="167" t="str">
        <f>IF(Reg_Income_Flag="No","",IF(OR(AND($L14&gt;Projections!$C$53,Fund_Zero_Year=""),Projections!$H13=0),"",Projections!F14))</f>
        <v/>
      </c>
      <c r="Q14" s="167" t="str">
        <f>IF(Reg_Income_Flag="No","",IF(OR(AND($L14&gt;Projections!$C$53,Fund_Zero_Year=""),Projections!$H13=0),"",Projections!G14))</f>
        <v/>
      </c>
      <c r="R14" s="167" t="str">
        <f>IF(Reg_Income_Flag="No","",IF(OR(AND($L14&gt;Projections!$C$53,Fund_Zero_Year=""),Projections!$H13=0),"",Projections!H14))</f>
        <v/>
      </c>
      <c r="T14" s="199"/>
    </row>
    <row r="15" spans="1:21" ht="15" customHeight="1" thickBot="1">
      <c r="C15" s="271"/>
      <c r="D15" s="270"/>
      <c r="E15" s="270"/>
      <c r="F15" s="270"/>
      <c r="G15" s="270"/>
      <c r="H15" s="270"/>
      <c r="I15" s="270"/>
      <c r="J15" s="270"/>
      <c r="L15" s="67" t="str">
        <f>IF(Reg_Income_Flag="No","",IF(Projections!$H14=0,"",
IF(Projections!$H15=0,Fund_Zero_Year,Projections!B15)))</f>
        <v/>
      </c>
      <c r="M15" s="167" t="str">
        <f>IF(Reg_Income_Flag="No","",IF(OR(AND($L15&gt;Projections!$C$53,Fund_Zero_Year=""),Projections!$H14=0),"",Projections!C15))</f>
        <v/>
      </c>
      <c r="N15" s="167" t="str">
        <f>IF(Reg_Income_Flag="No","",IF(OR(AND($L15&gt;Projections!$C$53,Fund_Zero_Year=""),Projections!$H14=0),"",Projections!D15))</f>
        <v/>
      </c>
      <c r="O15" s="167" t="str">
        <f>IF(Reg_Income_Flag="No","",IF(OR(AND($L15&gt;Projections!$C$53,Fund_Zero_Year=""),Projections!$H14=0),"",Projections!E15))</f>
        <v/>
      </c>
      <c r="P15" s="167" t="str">
        <f>IF(Reg_Income_Flag="No","",IF(OR(AND($L15&gt;Projections!$C$53,Fund_Zero_Year=""),Projections!$H14=0),"",Projections!F15))</f>
        <v/>
      </c>
      <c r="Q15" s="167" t="str">
        <f>IF(Reg_Income_Flag="No","",IF(OR(AND($L15&gt;Projections!$C$53,Fund_Zero_Year=""),Projections!$H14=0),"",Projections!G15))</f>
        <v/>
      </c>
      <c r="R15" s="167" t="str">
        <f>IF(Reg_Income_Flag="No","",IF(OR(AND($L15&gt;Projections!$C$53,Fund_Zero_Year=""),Projections!$H14=0),"",Projections!H15))</f>
        <v/>
      </c>
      <c r="T15" s="199"/>
    </row>
    <row r="16" spans="1:21" ht="15.75" thickBot="1">
      <c r="D16" s="154"/>
      <c r="L16" s="67" t="str">
        <f>IF(Reg_Income_Flag="No","",IF(Projections!$H15=0,"",
IF(Projections!$H16=0,Fund_Zero_Year,Projections!B16)))</f>
        <v/>
      </c>
      <c r="M16" s="167" t="str">
        <f>IF(Reg_Income_Flag="No","",IF(OR(AND($L16&gt;Projections!$C$53,Fund_Zero_Year=""),Projections!$H15=0),"",Projections!C16))</f>
        <v/>
      </c>
      <c r="N16" s="167" t="str">
        <f>IF(Reg_Income_Flag="No","",IF(OR(AND($L16&gt;Projections!$C$53,Fund_Zero_Year=""),Projections!$H15=0),"",Projections!D16))</f>
        <v/>
      </c>
      <c r="O16" s="167" t="str">
        <f>IF(Reg_Income_Flag="No","",IF(OR(AND($L16&gt;Projections!$C$53,Fund_Zero_Year=""),Projections!$H15=0),"",Projections!E16))</f>
        <v/>
      </c>
      <c r="P16" s="167" t="str">
        <f>IF(Reg_Income_Flag="No","",IF(OR(AND($L16&gt;Projections!$C$53,Fund_Zero_Year=""),Projections!$H15=0),"",Projections!F16))</f>
        <v/>
      </c>
      <c r="Q16" s="167" t="str">
        <f>IF(Reg_Income_Flag="No","",IF(OR(AND($L16&gt;Projections!$C$53,Fund_Zero_Year=""),Projections!$H15=0),"",Projections!G16))</f>
        <v/>
      </c>
      <c r="R16" s="167" t="str">
        <f>IF(Reg_Income_Flag="No","",IF(OR(AND($L16&gt;Projections!$C$53,Fund_Zero_Year=""),Projections!$H15=0),"",Projections!H16))</f>
        <v/>
      </c>
      <c r="T16" s="199"/>
    </row>
    <row r="17" spans="3:20">
      <c r="C17" s="21" t="s">
        <v>142</v>
      </c>
      <c r="D17" s="156" t="str">
        <f>Fund_Zero_Year</f>
        <v/>
      </c>
    </row>
    <row r="18" spans="3:20">
      <c r="D18" s="154"/>
      <c r="L18" s="202" t="s">
        <v>196</v>
      </c>
    </row>
    <row r="19" spans="3:20" ht="15.75" thickBot="1">
      <c r="C19" s="21" t="s">
        <v>195</v>
      </c>
      <c r="D19" s="270" t="str" cm="1">
        <f t="array" ref="D19">IF(_xlfn.XLOOKUP(Product_Code,Parameters!D7:D47,Parameters!L7:L47) = 0,"","Please note that the charges shown in Column C for years 1 to "&amp;(_xlfn.XLOOKUP(0, _xlfn.XLOOKUP(Product_Code,Parameters!D7:D47,Parameters!L7:S47), Parameters!L6:S6, 9,0,1)-1)&amp;" assume that policy is fully encashed and an exit charge is incurred. No exit charge applies to regular withdrawals. If the policy is not encashed in the first "&amp;(_xlfn.XLOOKUP(0, _xlfn.XLOOKUP(Product_Code,Parameters!D7:D47,Parameters!L7:S47), Parameters!L6:S6, 9,0,1)-1)&amp; " years, no exit charge is payable and the total charges actually deducted from the policy in those years are less than shown." )</f>
        <v>Please note that the charges shown in Column C for years 1 to 5 assume that policy is fully encashed and an exit charge is incurred. No exit charge applies to regular withdrawals. If the policy is not encashed in the first 5 years, no exit charge is payable and the total charges actually deducted from the policy in those years are less than shown.</v>
      </c>
      <c r="E19" s="270"/>
      <c r="F19" s="270"/>
      <c r="G19" s="270"/>
      <c r="H19" s="270"/>
      <c r="I19" s="270"/>
      <c r="J19" s="270"/>
    </row>
    <row r="20" spans="3:20" ht="30">
      <c r="D20" s="270"/>
      <c r="E20" s="270"/>
      <c r="F20" s="270"/>
      <c r="G20" s="270"/>
      <c r="H20" s="270"/>
      <c r="I20" s="270"/>
      <c r="J20" s="270"/>
      <c r="K20" s="222" t="s">
        <v>228</v>
      </c>
      <c r="L20" s="259" t="s">
        <v>95</v>
      </c>
      <c r="M20" s="8" t="s">
        <v>39</v>
      </c>
      <c r="N20" s="10" t="s">
        <v>41</v>
      </c>
      <c r="O20" s="10" t="s">
        <v>45</v>
      </c>
      <c r="P20" s="10" t="s">
        <v>49</v>
      </c>
      <c r="Q20" s="10" t="s">
        <v>51</v>
      </c>
    </row>
    <row r="21" spans="3:20" ht="26.25" thickBot="1">
      <c r="D21" s="270"/>
      <c r="E21" s="270"/>
      <c r="F21" s="270"/>
      <c r="G21" s="270"/>
      <c r="H21" s="270"/>
      <c r="I21" s="270"/>
      <c r="J21" s="270"/>
      <c r="K21" t="str" cm="1">
        <f t="array" ref="K21">IF(_xlfn.XLOOKUP(Product_Code,Parameters!D7:D47,Parameters!L7:L47) = 0,"","Please note that the charges shown in Column C for years 1 to "&amp;(_xlfn.XLOOKUP(0, _xlfn.XLOOKUP(Product_Code,Parameters!D7:D47,Parameters!L7:S47), Parameters!L6:S6, 9,0,1)-1)&amp;" assume that policy is fully encashed and an exit charge is incurred. No exit charge applies to regular withdrawals. If the policy is not encashed in the first "&amp;(_xlfn.XLOOKUP(0, _xlfn.XLOOKUP(Product_Code,Parameters!D7:D47,Parameters!L7:S47), Parameters!L6:S6, 9,0,1)-1)&amp; " years, no exit charge is payable and the total charges actually deducted from the policy in those years are less than shown." )</f>
        <v>Please note that the charges shown in Column C for years 1 to 5 assume that policy is fully encashed and an exit charge is incurred. No exit charge applies to regular withdrawals. If the policy is not encashed in the first 5 years, no exit charge is payable and the total charges actually deducted from the policy in those years are less than shown.</v>
      </c>
      <c r="L21" s="260"/>
      <c r="M21" s="9" t="s">
        <v>98</v>
      </c>
      <c r="N21" s="11" t="s">
        <v>99</v>
      </c>
      <c r="O21" s="11" t="s">
        <v>191</v>
      </c>
      <c r="P21" s="11" t="s">
        <v>101</v>
      </c>
      <c r="Q21" s="11" t="s">
        <v>102</v>
      </c>
    </row>
    <row r="22" spans="3:20" ht="15.75" thickBot="1">
      <c r="D22" s="270"/>
      <c r="E22" s="270"/>
      <c r="F22" s="270"/>
      <c r="G22" s="270"/>
      <c r="H22" s="270"/>
      <c r="I22" s="270"/>
      <c r="J22" s="270"/>
      <c r="K22">
        <f>_xlfn.XLOOKUP(Product_Code,Parameters!D7:D47,Parameters!L7:L47)</f>
        <v>0.05</v>
      </c>
      <c r="L22" s="67">
        <f>IF(Reg_Income_Flag="Yes","",IF(Projections!$H4=0,"",
IF(Projections!$H5=0,Fund_Zero_Year,Projections!B5)))</f>
        <v>1</v>
      </c>
      <c r="M22" s="168">
        <f>IF(Reg_Income_Flag="Yes","",IF(Projections!$H4=0,"",Projections!C5))</f>
        <v>100000</v>
      </c>
      <c r="N22" s="168">
        <f>IF(Reg_Income_Flag="Yes","",IF(Projections!$H4=0,"",Projections!D5))</f>
        <v>5890.9783497054632</v>
      </c>
      <c r="O22" s="168">
        <f>IF(Reg_Income_Flag="Yes","",IF(Projections!$H4=0,"",Projections!E5))</f>
        <v>8147.017868581007</v>
      </c>
      <c r="P22" s="168">
        <f>IF(Reg_Income_Flag="Yes","",IF(Projections!$H4=0,"",Projections!F5))</f>
        <v>0</v>
      </c>
      <c r="Q22" s="168">
        <f>IF(Reg_Income_Flag="Yes","",IF(Projections!$H4=0,"",Projections!H5))</f>
        <v>97743.96048112445</v>
      </c>
      <c r="R22" s="199"/>
      <c r="S22" s="199"/>
      <c r="T22" s="199"/>
    </row>
    <row r="23" spans="3:20" ht="15.75" thickBot="1">
      <c r="D23" s="270"/>
      <c r="E23" s="270"/>
      <c r="F23" s="270"/>
      <c r="G23" s="270"/>
      <c r="H23" s="270"/>
      <c r="I23" s="270"/>
      <c r="J23" s="270"/>
      <c r="L23" s="67">
        <f>IF(Reg_Income_Flag="Yes","",IF(Projections!$H5=0,"",
IF(Projections!$H6=0,Fund_Zero_Year,Projections!B6)))</f>
        <v>2</v>
      </c>
      <c r="M23" s="168">
        <f>IF(Reg_Income_Flag="Yes","",IF(Projections!$H5=0,"",Projections!C6))</f>
        <v>100000</v>
      </c>
      <c r="N23" s="168">
        <f>IF(Reg_Income_Flag="Yes","",IF(Projections!$H5=0,"",Projections!D6))</f>
        <v>12008.093650855291</v>
      </c>
      <c r="O23" s="168">
        <f>IF(Reg_Income_Flag="Yes","",IF(Projections!$H5=0,"",Projections!E6))</f>
        <v>9359.1124281596058</v>
      </c>
      <c r="P23" s="168">
        <f>IF(Reg_Income_Flag="Yes","",IF(Projections!$H5=0,"",Projections!F6))</f>
        <v>1006.6128646243606</v>
      </c>
      <c r="Q23" s="168">
        <f>IF(Reg_Income_Flag="Yes","",IF(Projections!$H5=0,"",Projections!H6))</f>
        <v>101642.36835807133</v>
      </c>
      <c r="R23" s="20"/>
      <c r="T23" s="199"/>
    </row>
    <row r="24" spans="3:20" ht="15.75" thickBot="1">
      <c r="D24" s="270"/>
      <c r="E24" s="270"/>
      <c r="F24" s="270"/>
      <c r="G24" s="270"/>
      <c r="H24" s="270"/>
      <c r="I24" s="270"/>
      <c r="J24" s="270"/>
      <c r="L24" s="67">
        <f>IF(Reg_Income_Flag="Yes","",IF(Projections!$H6=0,"",
IF(Projections!$H7=0,Fund_Zero_Year,Projections!B7)))</f>
        <v>3</v>
      </c>
      <c r="M24" s="168">
        <f>IF(Reg_Income_Flag="Yes","",IF(Projections!$H6=0,"",Projections!C7))</f>
        <v>100000</v>
      </c>
      <c r="N24" s="168">
        <f>IF(Reg_Income_Flag="Yes","",IF(Projections!$H6=0,"",Projections!D7))</f>
        <v>18365.262549751831</v>
      </c>
      <c r="O24" s="168">
        <f>IF(Reg_Income_Flag="Yes","",IF(Projections!$H6=0,"",Projections!E7))</f>
        <v>10576.812227324646</v>
      </c>
      <c r="P24" s="168">
        <f>IF(Reg_Income_Flag="Yes","",IF(Projections!$H6=0,"",Projections!F7))</f>
        <v>2959.6111225223435</v>
      </c>
      <c r="Q24" s="168">
        <f>IF(Reg_Income_Flag="Yes","",IF(Projections!$H6=0,"",Projections!H7))</f>
        <v>104828.83919990488</v>
      </c>
      <c r="T24" s="199"/>
    </row>
    <row r="25" spans="3:20" ht="15.75" thickBot="1">
      <c r="L25" s="67">
        <f>IF(Reg_Income_Flag="Yes","",IF(Projections!$H7=0,"",
IF(Projections!$H8=0,Fund_Zero_Year,Projections!B8)))</f>
        <v>4</v>
      </c>
      <c r="M25" s="168">
        <f>IF(Reg_Income_Flag="Yes","",IF(Projections!$H7=0,"",Projections!C8))</f>
        <v>100000</v>
      </c>
      <c r="N25" s="168">
        <f>IF(Reg_Income_Flag="Yes","",IF(Projections!$H7=0,"",Projections!D8))</f>
        <v>24971.905455681841</v>
      </c>
      <c r="O25" s="168">
        <f>IF(Reg_Income_Flag="Yes","",IF(Projections!$H7=0,"",Projections!E8))</f>
        <v>11798.690562383632</v>
      </c>
      <c r="P25" s="168">
        <f>IF(Reg_Income_Flag="Yes","",IF(Projections!$H7=0,"",Projections!F8))</f>
        <v>5005.8216594533415</v>
      </c>
      <c r="Q25" s="168">
        <f>IF(Reg_Income_Flag="Yes","",IF(Projections!$H7=0,"",Projections!H8))</f>
        <v>108167.39323384492</v>
      </c>
      <c r="T25" s="199"/>
    </row>
    <row r="26" spans="3:20" ht="15.75" thickBot="1">
      <c r="C26" s="21" t="s">
        <v>197</v>
      </c>
      <c r="D26" s="198">
        <f>SinglePrem</f>
        <v>100000</v>
      </c>
      <c r="L26" s="67">
        <f>IF(Reg_Income_Flag="Yes","",IF(Projections!$H8=0,"",
IF(Projections!$H9=0,Fund_Zero_Year,Projections!B9)))</f>
        <v>5</v>
      </c>
      <c r="M26" s="168">
        <f>IF(Reg_Income_Flag="Yes","",IF(Projections!$H8=0,"",Projections!C9))</f>
        <v>100000</v>
      </c>
      <c r="N26" s="168">
        <f>IF(Reg_Income_Flag="Yes","",IF(Projections!$H8=0,"",Projections!D9))</f>
        <v>31837.812462502377</v>
      </c>
      <c r="O26" s="168">
        <f>IF(Reg_Income_Flag="Yes","",IF(Projections!$H8=0,"",Projections!E9))</f>
        <v>13023.200121428697</v>
      </c>
      <c r="P26" s="168">
        <f>IF(Reg_Income_Flag="Yes","",IF(Projections!$H8=0,"",Projections!F9))</f>
        <v>7149.5526896080137</v>
      </c>
      <c r="Q26" s="168">
        <f>IF(Reg_Income_Flag="Yes","",IF(Projections!$H8=0,"",Projections!H9))</f>
        <v>111665.05965146571</v>
      </c>
      <c r="T26" s="199"/>
    </row>
    <row r="27" spans="3:20" ht="15.75" thickBot="1">
      <c r="L27" s="67">
        <f>IF(Reg_Income_Flag="Yes","",IF(Projections!$H9=0,"",
IF(Projections!$H10=0,Fund_Zero_Year,Projections!B10)))</f>
        <v>10</v>
      </c>
      <c r="M27" s="168">
        <f>IF(Reg_Income_Flag="Yes","",IF(Projections!$H9=0,"",Projections!C10))</f>
        <v>100000</v>
      </c>
      <c r="N27" s="168">
        <f>IF(Reg_Income_Flag="Yes","",IF(Projections!$H9=0,"",Projections!D10))</f>
        <v>68827.77199155507</v>
      </c>
      <c r="O27" s="168">
        <f>IF(Reg_Income_Flag="Yes","",IF(Projections!$H9=0,"",Projections!E10))</f>
        <v>24397.543160851255</v>
      </c>
      <c r="P27" s="168">
        <f>IF(Reg_Income_Flag="Yes","",IF(Projections!$H9=0,"",Projections!F10))</f>
        <v>16883.486955667486</v>
      </c>
      <c r="Q27" s="168">
        <f>IF(Reg_Income_Flag="Yes","",IF(Projections!$H9=0,"",Projections!H10))</f>
        <v>127546.74187503642</v>
      </c>
      <c r="T27" s="199"/>
    </row>
    <row r="28" spans="3:20" ht="15.75" thickBot="1">
      <c r="C28" s="21" t="s">
        <v>241</v>
      </c>
      <c r="D28" s="198">
        <f>Reg_Contrib/Contrib_Per_Year</f>
        <v>500</v>
      </c>
      <c r="L28" s="67">
        <f>IF(Reg_Income_Flag="Yes","",IF(Projections!$H10=0,"",
IF(Projections!$H11=0,Fund_Zero_Year,Projections!B11)))</f>
        <v>15</v>
      </c>
      <c r="M28" s="168">
        <f>IF(Reg_Income_Flag="Yes","",IF(Projections!$H10=0,"",Projections!C11))</f>
        <v>100000</v>
      </c>
      <c r="N28" s="168">
        <f>IF(Reg_Income_Flag="Yes","",IF(Projections!$H10=0,"",Projections!D11))</f>
        <v>111026.64562265617</v>
      </c>
      <c r="O28" s="168">
        <f>IF(Reg_Income_Flag="Yes","",IF(Projections!$H10=0,"",Projections!E11))</f>
        <v>38742.769492514875</v>
      </c>
      <c r="P28" s="168">
        <f>IF(Reg_Income_Flag="Yes","",IF(Projections!$H10=0,"",Projections!F11))</f>
        <v>27467.87292945369</v>
      </c>
      <c r="Q28" s="168">
        <f>IF(Reg_Income_Flag="Yes","",IF(Projections!$H10=0,"",Projections!H11))</f>
        <v>144816.00320068758</v>
      </c>
      <c r="T28" s="199"/>
    </row>
    <row r="29" spans="3:20" ht="15.75" thickBot="1">
      <c r="C29" s="21" t="s">
        <v>242</v>
      </c>
      <c r="D29" s="223" t="str">
        <f>RP_PremFreq</f>
        <v>Monthly</v>
      </c>
      <c r="L29" s="67">
        <f>IF(Reg_Income_Flag="Yes","",IF(Projections!$H11=0,"",
IF(Projections!$H12=0,Fund_Zero_Year,Projections!B12)))</f>
        <v>20</v>
      </c>
      <c r="M29" s="168">
        <f>IF(Reg_Income_Flag="Yes","",IF(Projections!$H11=0,"",Projections!C12))</f>
        <v>100000</v>
      </c>
      <c r="N29" s="168">
        <f>IF(Reg_Income_Flag="Yes","",IF(Projections!$H11=0,"",Projections!D12))</f>
        <v>157982.00864967349</v>
      </c>
      <c r="O29" s="168">
        <f>IF(Reg_Income_Flag="Yes","",IF(Projections!$H11=0,"",Projections!E12))</f>
        <v>54704.932748255233</v>
      </c>
      <c r="P29" s="168">
        <f>IF(Reg_Income_Flag="Yes","",IF(Projections!$H11=0,"",Projections!F12))</f>
        <v>39245.288842538925</v>
      </c>
      <c r="Q29" s="168">
        <f>IF(Reg_Income_Flag="Yes","",IF(Projections!$H11=0,"",Projections!H12))</f>
        <v>164031.7870588793</v>
      </c>
      <c r="T29" s="199"/>
    </row>
    <row r="30" spans="3:20">
      <c r="T30" s="199"/>
    </row>
    <row r="31" spans="3:20">
      <c r="C31" s="21" t="s">
        <v>236</v>
      </c>
      <c r="T31" s="199"/>
    </row>
    <row r="32" spans="3:20">
      <c r="C32" s="203" t="s">
        <v>198</v>
      </c>
      <c r="D32" s="204">
        <f>-MIN(new_allocation_rate-1, 0)</f>
        <v>0</v>
      </c>
      <c r="T32" s="199"/>
    </row>
    <row r="33" spans="3:18">
      <c r="C33" s="203" t="s">
        <v>199</v>
      </c>
      <c r="D33" s="205">
        <f>IF(Projections!J75&lt;0, -Projections!J75, 0)</f>
        <v>0</v>
      </c>
    </row>
    <row r="34" spans="3:18">
      <c r="C34" s="203" t="s">
        <v>200</v>
      </c>
      <c r="D34" s="205">
        <f>D26-D33-D52</f>
        <v>99000</v>
      </c>
      <c r="L34" s="68"/>
      <c r="M34" s="68"/>
      <c r="N34" s="68"/>
      <c r="O34" s="68"/>
      <c r="P34" s="68"/>
      <c r="Q34" s="68"/>
      <c r="R34" s="68"/>
    </row>
    <row r="35" spans="3:18" ht="15.75" thickBot="1">
      <c r="L35" s="68"/>
      <c r="M35" s="68"/>
      <c r="N35" s="68"/>
      <c r="O35" s="68"/>
      <c r="P35" s="68"/>
      <c r="Q35" s="68"/>
      <c r="R35" s="68"/>
    </row>
    <row r="36" spans="3:18">
      <c r="C36" s="21" t="s">
        <v>237</v>
      </c>
      <c r="K36" s="21" t="s">
        <v>232</v>
      </c>
      <c r="L36" s="259" t="s">
        <v>95</v>
      </c>
      <c r="M36" s="8" t="s">
        <v>97</v>
      </c>
      <c r="N36" s="10" t="s">
        <v>97</v>
      </c>
    </row>
    <row r="37" spans="3:18" ht="51.75" thickBot="1">
      <c r="C37" s="203" t="s">
        <v>201</v>
      </c>
      <c r="D37" s="204">
        <f>MAX(new_allocation_rate, 0)</f>
        <v>1</v>
      </c>
      <c r="L37" s="260"/>
      <c r="M37" s="9" t="s">
        <v>103</v>
      </c>
      <c r="N37" s="11" t="s">
        <v>104</v>
      </c>
    </row>
    <row r="38" spans="3:18" ht="15.75" thickBot="1">
      <c r="C38" s="203" t="s">
        <v>202</v>
      </c>
      <c r="D38" s="205">
        <f>IF(Projections!J75 &gt;=0, Projections!J75, 0)</f>
        <v>0</v>
      </c>
      <c r="L38" s="7">
        <v>1</v>
      </c>
      <c r="M38" s="169">
        <f>Projections!L5</f>
        <v>100000</v>
      </c>
      <c r="N38" s="169">
        <f>IF(Projections!M5=0,"",Projections!M5)</f>
        <v>4252.7270854331027</v>
      </c>
    </row>
    <row r="39" spans="3:18" ht="15.75" thickBot="1">
      <c r="C39" s="203" t="s">
        <v>200</v>
      </c>
      <c r="D39" s="205">
        <f>D26+D38-D52</f>
        <v>99000</v>
      </c>
      <c r="L39" s="7">
        <v>2</v>
      </c>
      <c r="M39" s="169" t="str">
        <f>IF(Projections!L6=0,"",Projections!L6)</f>
        <v/>
      </c>
      <c r="N39" s="169">
        <f>IF(Projections!M6=0,"",Projections!M6)</f>
        <v>262.53680803264871</v>
      </c>
    </row>
    <row r="40" spans="3:18" ht="15.75" thickBot="1">
      <c r="F40" s="200"/>
      <c r="L40" s="7">
        <v>3</v>
      </c>
      <c r="M40" s="169" t="str">
        <f>IF(Projections!L7=0,"",Projections!L7)</f>
        <v/>
      </c>
      <c r="N40" s="169">
        <f>IF(Projections!M7=0,"",Projections!M7)</f>
        <v>272.83952462478629</v>
      </c>
    </row>
    <row r="41" spans="3:18" ht="15.75" thickBot="1">
      <c r="C41" s="21" t="s">
        <v>238</v>
      </c>
      <c r="F41" s="201"/>
      <c r="L41" s="7">
        <v>4</v>
      </c>
      <c r="M41" s="169" t="str">
        <f>IF(Projections!L8=0,"",Projections!L8)</f>
        <v/>
      </c>
      <c r="N41" s="169">
        <f>IF(Projections!M8=0,"",Projections!M8)</f>
        <v>283.54655012116211</v>
      </c>
    </row>
    <row r="42" spans="3:18" ht="15.75" thickBot="1">
      <c r="C42" s="203" t="s">
        <v>198</v>
      </c>
      <c r="D42" s="204">
        <f>-MIN(RP_Allocation_Rate-1, 0)</f>
        <v>1</v>
      </c>
      <c r="L42" s="7">
        <v>5</v>
      </c>
      <c r="M42" s="169" t="str">
        <f>IF(Projections!L9=0,"",Projections!L9)</f>
        <v/>
      </c>
      <c r="N42" s="169">
        <f>IF(Projections!M9=0,"",Projections!M9)</f>
        <v>294.67375079244243</v>
      </c>
    </row>
    <row r="43" spans="3:18" ht="15.75" thickBot="1">
      <c r="C43" s="203" t="s">
        <v>245</v>
      </c>
      <c r="D43" s="205">
        <f>IF(D28*(RP_Allocation_Rate-1)&lt;0, -D28*(RP_Allocation_Rate-1), 0)</f>
        <v>500</v>
      </c>
      <c r="L43" s="7">
        <v>10</v>
      </c>
      <c r="M43" s="169" t="str">
        <f>IF(Projections!L10=0,"",Projections!L10)</f>
        <v/>
      </c>
      <c r="N43" s="169">
        <f>IF(Projections!M10=0,"",Projections!M10)</f>
        <v>322.24030681514859</v>
      </c>
    </row>
    <row r="44" spans="3:18" ht="15.75" thickBot="1">
      <c r="C44" s="203" t="s">
        <v>200</v>
      </c>
      <c r="D44" s="205">
        <f>D28-D43-D53</f>
        <v>-5</v>
      </c>
      <c r="L44" s="7">
        <v>15</v>
      </c>
      <c r="M44" s="169" t="str">
        <f>IF(Projections!L11=0,"",Projections!L11)</f>
        <v/>
      </c>
      <c r="N44" s="169">
        <f>IF(Projections!M11=0,"",Projections!M11)</f>
        <v>390.62971764299698</v>
      </c>
    </row>
    <row r="45" spans="3:18" ht="15.75" thickBot="1">
      <c r="L45" s="7">
        <v>20</v>
      </c>
      <c r="M45" s="169" t="str">
        <f>IF(Projections!L12=0,"",Projections!L12)</f>
        <v/>
      </c>
      <c r="N45" s="169">
        <f>IF(Projections!M12=0,"",Projections!M12)</f>
        <v>425.84135461583651</v>
      </c>
    </row>
    <row r="46" spans="3:18" ht="15.75" thickBot="1">
      <c r="C46" s="21" t="s">
        <v>239</v>
      </c>
      <c r="L46" s="7">
        <v>25</v>
      </c>
      <c r="M46" s="169" t="str">
        <f>IF(Projections!L13=0,"",Projections!L13)</f>
        <v/>
      </c>
      <c r="N46" s="169">
        <f>IF(Projections!M13=0,"",Projections!M13)</f>
        <v>464.22699326419644</v>
      </c>
    </row>
    <row r="47" spans="3:18" ht="15.75" thickBot="1">
      <c r="C47" s="203" t="s">
        <v>201</v>
      </c>
      <c r="D47" s="204">
        <f>MAX(RP_Allocation_Rate, 0)</f>
        <v>0</v>
      </c>
      <c r="L47" s="7">
        <v>30</v>
      </c>
      <c r="M47" s="169" t="str">
        <f>IF(Projections!L14=0,"",Projections!L14)</f>
        <v/>
      </c>
      <c r="N47" s="169">
        <f>IF(Projections!M14=0,"",Projections!M14)</f>
        <v>562.75039300119533</v>
      </c>
    </row>
    <row r="48" spans="3:18" ht="15.75" thickBot="1">
      <c r="C48" s="203" t="s">
        <v>244</v>
      </c>
      <c r="D48" s="205">
        <f>IF(D28*(RP_Allocation_Rate-1)&gt;=0, D28*(RP_Allocation_Rate-1), 0)</f>
        <v>0</v>
      </c>
      <c r="L48" s="7">
        <v>35</v>
      </c>
      <c r="M48" s="169" t="str">
        <f>IF(Projections!L15=0,"",Projections!L15)</f>
        <v/>
      </c>
      <c r="N48" s="169">
        <f>IF(Projections!M15=0,"",Projections!M15)</f>
        <v>613.47710848061126</v>
      </c>
    </row>
    <row r="49" spans="3:14" ht="15.75" thickBot="1">
      <c r="C49" s="203" t="s">
        <v>243</v>
      </c>
      <c r="D49" s="205">
        <f>D28+D48-D53</f>
        <v>495</v>
      </c>
      <c r="L49" s="7">
        <v>40</v>
      </c>
      <c r="M49" s="169" t="str">
        <f>IF(Projections!L16=0,"",Projections!L16)</f>
        <v/>
      </c>
      <c r="N49" s="169">
        <f>IF(Projections!M16=0,"",Projections!M16)</f>
        <v>743.67602251475387</v>
      </c>
    </row>
    <row r="51" spans="3:14">
      <c r="C51" s="203" t="s">
        <v>235</v>
      </c>
      <c r="D51" s="204">
        <f>Government_Levy</f>
        <v>0.01</v>
      </c>
    </row>
    <row r="52" spans="3:14">
      <c r="C52" s="203" t="s">
        <v>246</v>
      </c>
      <c r="D52" s="205">
        <f>SinglePrem*Government_Levy</f>
        <v>1000</v>
      </c>
    </row>
    <row r="53" spans="3:14">
      <c r="C53" s="203" t="s">
        <v>240</v>
      </c>
      <c r="D53" s="205">
        <f>D28*D51</f>
        <v>5</v>
      </c>
    </row>
  </sheetData>
  <mergeCells count="6">
    <mergeCell ref="L3:L4"/>
    <mergeCell ref="L36:L37"/>
    <mergeCell ref="D10:J15"/>
    <mergeCell ref="L20:L21"/>
    <mergeCell ref="C10:C15"/>
    <mergeCell ref="D19:J24"/>
  </mergeCells>
  <pageMargins left="0.7" right="0.7" top="0.75" bottom="0.75" header="0.3" footer="0.3"/>
  <pageSetup paperSize="9" scale="2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CDC00-F451-46CE-9482-0F94D0FBC7E9}">
  <dimension ref="A2:B5"/>
  <sheetViews>
    <sheetView workbookViewId="0">
      <selection activeCell="B6" sqref="B6"/>
    </sheetView>
  </sheetViews>
  <sheetFormatPr defaultRowHeight="15"/>
  <sheetData>
    <row r="2" spans="1:2">
      <c r="B2" s="21" t="s">
        <v>264</v>
      </c>
    </row>
    <row r="3" spans="1:2">
      <c r="A3" s="238" t="s">
        <v>265</v>
      </c>
      <c r="B3" t="s">
        <v>266</v>
      </c>
    </row>
    <row r="4" spans="1:2">
      <c r="A4" s="238" t="s">
        <v>265</v>
      </c>
      <c r="B4" t="s">
        <v>267</v>
      </c>
    </row>
    <row r="5" spans="1:2">
      <c r="A5" s="238" t="s">
        <v>265</v>
      </c>
      <c r="B5" t="s">
        <v>268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6752-0A81-4F9A-8C91-80FDFE7E0349}">
  <dimension ref="A1:A33"/>
  <sheetViews>
    <sheetView topLeftCell="A3" workbookViewId="0"/>
  </sheetViews>
  <sheetFormatPr defaultColWidth="9.140625" defaultRowHeight="12"/>
  <cols>
    <col min="1" max="1" width="95.85546875" style="78" customWidth="1"/>
    <col min="2" max="16384" width="9.140625" style="78"/>
  </cols>
  <sheetData>
    <row r="1" spans="1:1" ht="15.75">
      <c r="A1" s="77" t="s">
        <v>203</v>
      </c>
    </row>
    <row r="2" spans="1:1">
      <c r="A2" s="79"/>
    </row>
    <row r="3" spans="1:1" ht="15">
      <c r="A3" s="80" t="s">
        <v>204</v>
      </c>
    </row>
    <row r="4" spans="1:1">
      <c r="A4" s="81">
        <f ca="1">TODAY()</f>
        <v>46282</v>
      </c>
    </row>
    <row r="5" spans="1:1">
      <c r="A5" s="79"/>
    </row>
    <row r="6" spans="1:1">
      <c r="A6" s="82" t="s">
        <v>205</v>
      </c>
    </row>
    <row r="7" spans="1:1">
      <c r="A7" s="79" t="s">
        <v>206</v>
      </c>
    </row>
    <row r="8" spans="1:1" ht="36">
      <c r="A8" s="79" t="s">
        <v>207</v>
      </c>
    </row>
    <row r="9" spans="1:1" ht="48">
      <c r="A9" s="79" t="s">
        <v>208</v>
      </c>
    </row>
    <row r="10" spans="1:1" ht="24">
      <c r="A10" s="79" t="s">
        <v>209</v>
      </c>
    </row>
    <row r="11" spans="1:1">
      <c r="A11" s="83" t="s">
        <v>210</v>
      </c>
    </row>
    <row r="12" spans="1:1">
      <c r="A12" s="83" t="s">
        <v>211</v>
      </c>
    </row>
    <row r="13" spans="1:1">
      <c r="A13" s="84" t="s">
        <v>212</v>
      </c>
    </row>
    <row r="14" spans="1:1">
      <c r="A14" s="84" t="s">
        <v>213</v>
      </c>
    </row>
    <row r="15" spans="1:1">
      <c r="A15" s="83" t="s">
        <v>214</v>
      </c>
    </row>
    <row r="16" spans="1:1">
      <c r="A16" s="83" t="s">
        <v>215</v>
      </c>
    </row>
    <row r="17" spans="1:1">
      <c r="A17" s="83"/>
    </row>
    <row r="18" spans="1:1">
      <c r="A18" s="83"/>
    </row>
    <row r="19" spans="1:1" ht="24">
      <c r="A19" s="79" t="str">
        <f ca="1">_xlfn.TEXTJOIN("",TRUE,"This workbook was based on data available to us at, or prior to, ",TEXT(A4,"d mmmm yyyy"), ", and takes no account of developments after that date.")</f>
        <v>This workbook was based on data available to us at, or prior to, 17 September 2026, and takes no account of developments after that date.</v>
      </c>
    </row>
    <row r="20" spans="1:1" ht="24">
      <c r="A20" s="79" t="s">
        <v>216</v>
      </c>
    </row>
    <row r="21" spans="1:1">
      <c r="A21" s="79"/>
    </row>
    <row r="22" spans="1:1">
      <c r="A22" s="82" t="s">
        <v>217</v>
      </c>
    </row>
    <row r="23" spans="1:1">
      <c r="A23" s="79" t="s">
        <v>218</v>
      </c>
    </row>
    <row r="24" spans="1:1" ht="36">
      <c r="A24" s="79" t="s">
        <v>219</v>
      </c>
    </row>
    <row r="25" spans="1:1" ht="24">
      <c r="A25" s="79" t="s">
        <v>220</v>
      </c>
    </row>
    <row r="26" spans="1:1" ht="60">
      <c r="A26" s="79" t="s">
        <v>221</v>
      </c>
    </row>
    <row r="27" spans="1:1" ht="24">
      <c r="A27" s="79" t="s">
        <v>222</v>
      </c>
    </row>
    <row r="28" spans="1:1">
      <c r="A28" s="85"/>
    </row>
    <row r="29" spans="1:1" ht="12" customHeight="1">
      <c r="A29" s="79" t="s">
        <v>223</v>
      </c>
    </row>
    <row r="30" spans="1:1" ht="84">
      <c r="A30" s="79" t="s">
        <v>224</v>
      </c>
    </row>
    <row r="31" spans="1:1">
      <c r="A31" s="85"/>
    </row>
    <row r="32" spans="1:1">
      <c r="A32" s="79" t="s">
        <v>225</v>
      </c>
    </row>
    <row r="33" spans="1:1" ht="36">
      <c r="A33" s="79" t="s">
        <v>226</v>
      </c>
    </row>
  </sheetData>
  <dataValidations count="1">
    <dataValidation type="date" operator="greaterThanOrEqual" allowBlank="1" showInputMessage="1" showErrorMessage="1" sqref="A4" xr:uid="{C0F30E0C-F157-417B-9971-81E6FAC46938}">
      <formula1>41487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axCatchAll xmlns="88191d0c-7dba-4e67-bc1a-944c7ecd7586" xsi:nil="true"/>
    <MailPreviewData xmlns="88191d0c-7dba-4e67-bc1a-944c7ecd7586" xsi:nil="true"/>
    <DossierOwner xmlns="88191d0c-7dba-4e67-bc1a-944c7ecd7586">
      <UserInfo>
        <DisplayName/>
        <AccountId xsi:nil="true"/>
        <AccountType/>
      </UserInfo>
    </DossierOwner>
    <ContractExpirationDate xmlns="88191d0c-7dba-4e67-bc1a-944c7ecd7586" xsi:nil="true"/>
    <_dlc_DocIdUrl xmlns="88191d0c-7dba-4e67-bc1a-944c7ecd7586">
      <Url>https://allianzms.sharepoint.com/teams/IE0055-5607160/_layouts/15/DocIdRedir.aspx?ID=6YDFMZY2EF2N-31765008-9371</Url>
      <Description>6YDFMZY2EF2N-31765008-9371</Description>
    </_dlc_DocIdUrl>
    <TaxCatchAllLabel xmlns="88191d0c-7dba-4e67-bc1a-944c7ecd7586" xsi:nil="true"/>
    <_dlc_DocId xmlns="88191d0c-7dba-4e67-bc1a-944c7ecd7586">6YDFMZY2EF2N-31765008-9371</_dlc_DocId>
    <DossierStatus xmlns="88191d0c-7dba-4e67-bc1a-944c7ecd7586" xsi:nil="true"/>
    <_dlc_DocIdPersistId xmlns="88191d0c-7dba-4e67-bc1a-944c7ecd7586" xsi:nil="true"/>
    <p8f08ef432a74a0e8bf56ecede9e5f28 xmlns="88191d0c-7dba-4e67-bc1a-944c7ecd7586">
      <Terms xmlns="http://schemas.microsoft.com/office/infopath/2007/PartnerControls"/>
    </p8f08ef432a74a0e8bf56ecede9e5f28>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D91F6978924414791F400D21D594A3E" ma:contentTypeVersion="32" ma:contentTypeDescription="Create a new document." ma:contentTypeScope="" ma:versionID="5e32e9f264872c5f0496175fdcb7a0e2">
  <xsd:schema xmlns:xsd="http://www.w3.org/2001/XMLSchema" xmlns:xs="http://www.w3.org/2001/XMLSchema" xmlns:p="http://schemas.microsoft.com/office/2006/metadata/properties" xmlns:ns1="http://schemas.microsoft.com/sharepoint/v3" xmlns:ns2="88191d0c-7dba-4e67-bc1a-944c7ecd7586" xmlns:ns3="b10e1e99-703b-43cc-b71b-232994c6b594" targetNamespace="http://schemas.microsoft.com/office/2006/metadata/properties" ma:root="true" ma:fieldsID="4a1eb65c9d228cdd8ae15465f8fe64d2" ns1:_="" ns2:_="" ns3:_="">
    <xsd:import namespace="http://schemas.microsoft.com/sharepoint/v3"/>
    <xsd:import namespace="88191d0c-7dba-4e67-bc1a-944c7ecd7586"/>
    <xsd:import namespace="b10e1e99-703b-43cc-b71b-232994c6b594"/>
    <xsd:element name="properties">
      <xsd:complexType>
        <xsd:sequence>
          <xsd:element name="documentManagement">
            <xsd:complexType>
              <xsd:all>
                <xsd:element ref="ns2:_dlc_DocId" minOccurs="0"/>
                <xsd:element ref="ns2:_dlc_DocIdUrl" minOccurs="0"/>
                <xsd:element ref="ns2:_dlc_DocIdPersistId" minOccurs="0"/>
                <xsd:element ref="ns2:DossierOwner" minOccurs="0"/>
                <xsd:element ref="ns2:DossierStatus" minOccurs="0"/>
                <xsd:element ref="ns2:p8f08ef432a74a0e8bf56ecede9e5f28" minOccurs="0"/>
                <xsd:element ref="ns2:TaxCatchAll" minOccurs="0"/>
                <xsd:element ref="ns2:TaxCatchAllLabel" minOccurs="0"/>
                <xsd:element ref="ns2:MailPreviewData" minOccurs="0"/>
                <xsd:element ref="ns3:MediaServiceMetadata" minOccurs="0"/>
                <xsd:element ref="ns3:MediaServiceFastMetadata" minOccurs="0"/>
                <xsd:element ref="ns3:MediaServiceObjectDetectorVersions" minOccurs="0"/>
                <xsd:element ref="ns1:_ip_UnifiedCompliancePolicyProperties" minOccurs="0"/>
                <xsd:element ref="ns1:_ip_UnifiedCompliancePolicyUIAction" minOccurs="0"/>
                <xsd:element ref="ns2:ContractExpirationDate" minOccurs="0"/>
                <xsd:element ref="ns2:SharedWithUsers" minOccurs="0"/>
                <xsd:element ref="ns2:SharedWithDetail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191d0c-7dba-4e67-bc1a-944c7ecd758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ossierOwner" ma:index="11"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2"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p8f08ef432a74a0e8bf56ecede9e5f28" ma:index="13" nillable="true" ma:taxonomy="true" ma:internalName="p8f08ef432a74a0e8bf56ecede9e5f28" ma:taxonomyFieldName="Document_Class" ma:displayName="Document Class" ma:readOnly="false" ma:fieldId="{98f08ef4-32a7-4a0e-8bf5-6ecede9e5f28}" ma:sspId="10820af1-e82f-496e-bbcb-d9502914b7b2" ma:termSetId="a8fe5516-3f25-4a18-9fe8-9ec61fcfebb7" ma:anchorId="f3769284-ebf9-45c0-9e0f-a19a2a60e5c6" ma:open="false" ma:isKeyword="false">
      <xsd:complexType>
        <xsd:sequence>
          <xsd:element ref="pc:Terms" minOccurs="0" maxOccurs="1"/>
        </xsd:sequence>
      </xsd:complexType>
    </xsd:element>
    <xsd:element name="TaxCatchAll" ma:index="14" nillable="true" ma:displayName="Taxonomy Catch All Column" ma:hidden="true" ma:list="{c1873445-179c-4524-9905-54561f7d0b8e}" ma:internalName="TaxCatchAll" ma:showField="CatchAllData" ma:web="88191d0c-7dba-4e67-bc1a-944c7ecd7586">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c1873445-179c-4524-9905-54561f7d0b8e}" ma:internalName="TaxCatchAllLabel" ma:readOnly="true" ma:showField="CatchAllDataLabel" ma:web="88191d0c-7dba-4e67-bc1a-944c7ecd7586">
      <xsd:complexType>
        <xsd:complexContent>
          <xsd:extension base="dms:MultiChoiceLookup">
            <xsd:sequence>
              <xsd:element name="Value" type="dms:Lookup" maxOccurs="unbounded" minOccurs="0" nillable="true"/>
            </xsd:sequence>
          </xsd:extension>
        </xsd:complexContent>
      </xsd:complexType>
    </xsd:element>
    <xsd:element name="MailPreviewData" ma:index="17" nillable="true" ma:displayName="Mail Preview" ma:description="File preview for harmonie" ma:hidden="true" ma:internalName="MailPreviewData" ma:readOnly="false">
      <xsd:simpleType>
        <xsd:restriction base="dms:Note"/>
      </xsd:simpleType>
    </xsd:element>
    <xsd:element name="ContractExpirationDate" ma:index="23"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0e1e99-703b-43cc-b71b-232994c6b59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151ADC-5F11-4808-B6C4-B25102B4F99B}">
  <ds:schemaRefs>
    <ds:schemaRef ds:uri="http://schemas.microsoft.com/sharepoint/events"/>
  </ds:schemaRefs>
</ds:datastoreItem>
</file>

<file path=customXml/itemProps2.xml><?xml version="1.0" encoding="utf-8"?>
<ds:datastoreItem xmlns:ds="http://schemas.openxmlformats.org/officeDocument/2006/customXml" ds:itemID="{FC17CF9B-95CE-4390-8A54-824E678ED588}">
  <ds:schemaRefs>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b10e1e99-703b-43cc-b71b-232994c6b594"/>
    <ds:schemaRef ds:uri="88191d0c-7dba-4e67-bc1a-944c7ecd7586"/>
    <ds:schemaRef ds:uri="http://schemas.microsoft.com/sharepoint/v3"/>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7D41F5F7-5F80-43E2-A87F-CB1FE894ECD7}">
  <ds:schemaRefs>
    <ds:schemaRef ds:uri="http://schemas.microsoft.com/sharepoint/v3/contenttype/forms"/>
  </ds:schemaRefs>
</ds:datastoreItem>
</file>

<file path=customXml/itemProps4.xml><?xml version="1.0" encoding="utf-8"?>
<ds:datastoreItem xmlns:ds="http://schemas.openxmlformats.org/officeDocument/2006/customXml" ds:itemID="{94594158-B945-4F5C-B137-D5915C616C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8191d0c-7dba-4e67-bc1a-944c7ecd7586"/>
    <ds:schemaRef ds:uri="b10e1e99-703b-43cc-b71b-232994c6b5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47</vt:i4>
      </vt:variant>
    </vt:vector>
  </HeadingPairs>
  <TitlesOfParts>
    <vt:vector size="54" baseType="lpstr">
      <vt:lpstr>Version Control</vt:lpstr>
      <vt:lpstr>Overview</vt:lpstr>
      <vt:lpstr>Parameters</vt:lpstr>
      <vt:lpstr>Projections</vt:lpstr>
      <vt:lpstr>Inputs for PointOfIssue Doc</vt:lpstr>
      <vt:lpstr>Documentation</vt:lpstr>
      <vt:lpstr>Reliances &amp; Limitations</vt:lpstr>
      <vt:lpstr>adj_upfront_commission</vt:lpstr>
      <vt:lpstr>Altered_Initial_Commission_Indicator</vt:lpstr>
      <vt:lpstr>Commission_Uplift_Factor</vt:lpstr>
      <vt:lpstr>Contrib_Per_Year</vt:lpstr>
      <vt:lpstr>Current_Age</vt:lpstr>
      <vt:lpstr>Custom_Reg_Inc_Perc_annual</vt:lpstr>
      <vt:lpstr>Exit_Tax_Rate</vt:lpstr>
      <vt:lpstr>External_Fund_Charge_Monthly</vt:lpstr>
      <vt:lpstr>Fund_Charge_Monthly</vt:lpstr>
      <vt:lpstr>Fund_Rates_Table</vt:lpstr>
      <vt:lpstr>Fund_Zero_Year</vt:lpstr>
      <vt:lpstr>Government_Levy</vt:lpstr>
      <vt:lpstr>Growth_Rate_1</vt:lpstr>
      <vt:lpstr>Growth_Rate_1_Monthly</vt:lpstr>
      <vt:lpstr>Gtee_Charge_Monthly</vt:lpstr>
      <vt:lpstr>Gtee_Flag</vt:lpstr>
      <vt:lpstr>Income_Escalation_Rate_Annual</vt:lpstr>
      <vt:lpstr>Income_Type</vt:lpstr>
      <vt:lpstr>Minimum_Fund_Value</vt:lpstr>
      <vt:lpstr>new_allocation_rate</vt:lpstr>
      <vt:lpstr>new_upfront_commission</vt:lpstr>
      <vt:lpstr>Ongoing_Commission_Monthly</vt:lpstr>
      <vt:lpstr>Policyholder_Type</vt:lpstr>
      <vt:lpstr>Product_Code</vt:lpstr>
      <vt:lpstr>Product_Parameters</vt:lpstr>
      <vt:lpstr>Rate_Of_Return_Monthly</vt:lpstr>
      <vt:lpstr>RateOfReturn_Max</vt:lpstr>
      <vt:lpstr>Reg_Contrib</vt:lpstr>
      <vt:lpstr>Reg_Income_Flag</vt:lpstr>
      <vt:lpstr>Regular_Income_Amount</vt:lpstr>
      <vt:lpstr>Regular_Income_Start_Month</vt:lpstr>
      <vt:lpstr>RP_Allocation_Rate</vt:lpstr>
      <vt:lpstr>RP_Allowed</vt:lpstr>
      <vt:lpstr>RP_Escalation_Rate</vt:lpstr>
      <vt:lpstr>RP_Flag</vt:lpstr>
      <vt:lpstr>RP_PremFreq</vt:lpstr>
      <vt:lpstr>RP_upfront_commission</vt:lpstr>
      <vt:lpstr>SinglePrem</vt:lpstr>
      <vt:lpstr>special_deal_indicator</vt:lpstr>
      <vt:lpstr>special_deal_level</vt:lpstr>
      <vt:lpstr>Start_Date</vt:lpstr>
      <vt:lpstr>SurrederPenalty_Table</vt:lpstr>
      <vt:lpstr>Surrender_Penalty_table</vt:lpstr>
      <vt:lpstr>Tiered_Bonus_Commission_Applies</vt:lpstr>
      <vt:lpstr>upfront_commission</vt:lpstr>
      <vt:lpstr>Weighted_Guarantee_Charge</vt:lpstr>
      <vt:lpstr>Weighted_RateOfReturn_Annual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Fiachra MacLeid</dc:creator>
  <cp:keywords/>
  <dc:description/>
  <cp:lastModifiedBy>Gannon, Hugh (Allianz Global Life)</cp:lastModifiedBy>
  <cp:revision/>
  <dcterms:created xsi:type="dcterms:W3CDTF">2024-01-29T09:25:20Z</dcterms:created>
  <dcterms:modified xsi:type="dcterms:W3CDTF">2026-09-17T16:45:42Z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0x010100CD91F6978924414791F400D21D594A3E</vt:lpwstr>
  </property>
  <property fmtid="{D5CDD505-2E9C-101B-9397-08002B2CF9AE}" pid="3" name="_dlc_DocIdItemGuid">
    <vt:lpwstr>c4f05e85-8b5c-4c8e-8626-56c1c50bfa6e</vt:lpwstr>
  </property>
  <property fmtid="{D5CDD505-2E9C-101B-9397-08002B2CF9AE}" pid="4" name="DossierDepartment">
    <vt:lpwstr/>
  </property>
  <property fmtid="{D5CDD505-2E9C-101B-9397-08002B2CF9AE}" pid="5" name="AllianzContractingParties">
    <vt:lpwstr/>
  </property>
  <property fmtid="{D5CDD505-2E9C-101B-9397-08002B2CF9AE}" pid="6" name="Contract_Type">
    <vt:lpwstr/>
  </property>
  <property fmtid="{D5CDD505-2E9C-101B-9397-08002B2CF9AE}" pid="7" name="ma7b428390fe40c3b3d8b7af449e714b">
    <vt:lpwstr/>
  </property>
  <property fmtid="{D5CDD505-2E9C-101B-9397-08002B2CF9AE}" pid="8" name="Document_Class">
    <vt:lpwstr/>
  </property>
  <property fmtid="{D5CDD505-2E9C-101B-9397-08002B2CF9AE}" pid="9" name="ga59c799abf245578f962211bc5f9e69">
    <vt:lpwstr/>
  </property>
  <property fmtid="{D5CDD505-2E9C-101B-9397-08002B2CF9AE}" pid="10" name="MSIP_Label_863bc15e-e7bf-41c1-bdb3-03882d8a2e2c_Enabled">
    <vt:lpwstr>true</vt:lpwstr>
  </property>
  <property fmtid="{D5CDD505-2E9C-101B-9397-08002B2CF9AE}" pid="11" name="MSIP_Label_863bc15e-e7bf-41c1-bdb3-03882d8a2e2c_SetDate">
    <vt:lpwstr>2024-01-29T12:14:31Z</vt:lpwstr>
  </property>
  <property fmtid="{D5CDD505-2E9C-101B-9397-08002B2CF9AE}" pid="12" name="MSIP_Label_863bc15e-e7bf-41c1-bdb3-03882d8a2e2c_Method">
    <vt:lpwstr>Privileged</vt:lpwstr>
  </property>
  <property fmtid="{D5CDD505-2E9C-101B-9397-08002B2CF9AE}" pid="13" name="MSIP_Label_863bc15e-e7bf-41c1-bdb3-03882d8a2e2c_Name">
    <vt:lpwstr>863bc15e-e7bf-41c1-bdb3-03882d8a2e2c</vt:lpwstr>
  </property>
  <property fmtid="{D5CDD505-2E9C-101B-9397-08002B2CF9AE}" pid="14" name="MSIP_Label_863bc15e-e7bf-41c1-bdb3-03882d8a2e2c_SiteId">
    <vt:lpwstr>6e06e42d-6925-47c6-b9e7-9581c7ca302a</vt:lpwstr>
  </property>
  <property fmtid="{D5CDD505-2E9C-101B-9397-08002B2CF9AE}" pid="15" name="MSIP_Label_863bc15e-e7bf-41c1-bdb3-03882d8a2e2c_ActionId">
    <vt:lpwstr>1aa3a61a-7ffa-4bb8-b766-6bc0005c1393</vt:lpwstr>
  </property>
  <property fmtid="{D5CDD505-2E9C-101B-9397-08002B2CF9AE}" pid="16" name="MSIP_Label_863bc15e-e7bf-41c1-bdb3-03882d8a2e2c_ContentBits">
    <vt:lpwstr>1</vt:lpwstr>
  </property>
  <property fmtid="{D5CDD505-2E9C-101B-9397-08002B2CF9AE}" pid="17" name="MediaServiceImageTags">
    <vt:lpwstr/>
  </property>
  <property fmtid="{D5CDD505-2E9C-101B-9397-08002B2CF9AE}" pid="18" name="p32bb3fe03c6406096897a8ed08b5736">
    <vt:lpwstr/>
  </property>
  <property fmtid="{D5CDD505-2E9C-101B-9397-08002B2CF9AE}" pid="19" name="db9c6427edb84fd088a84e0c332473eb">
    <vt:lpwstr/>
  </property>
  <property fmtid="{D5CDD505-2E9C-101B-9397-08002B2CF9AE}" pid="20" name="hrmSubject">
    <vt:lpwstr>Untitled</vt:lpwstr>
  </property>
  <property fmtid="{D5CDD505-2E9C-101B-9397-08002B2CF9AE}" pid="21" name="hrmTo">
    <vt:lpwstr>NA</vt:lpwstr>
  </property>
  <property fmtid="{D5CDD505-2E9C-101B-9397-08002B2CF9AE}" pid="22" name="ConversationID">
    <vt:lpwstr>isTrue</vt:lpwstr>
  </property>
  <property fmtid="{D5CDD505-2E9C-101B-9397-08002B2CF9AE}" pid="23" name="lcf76f155ced4ddcb4097134ff3c332f">
    <vt:lpwstr/>
  </property>
  <property fmtid="{D5CDD505-2E9C-101B-9397-08002B2CF9AE}" pid="24" name="_AdHocReviewCycleID">
    <vt:i4>-529047072</vt:i4>
  </property>
  <property fmtid="{D5CDD505-2E9C-101B-9397-08002B2CF9AE}" pid="25" name="_NewReviewCycle">
    <vt:lpwstr/>
  </property>
  <property fmtid="{D5CDD505-2E9C-101B-9397-08002B2CF9AE}" pid="26" name="_EmailSubject">
    <vt:lpwstr>Investment Bond Quote Generator</vt:lpwstr>
  </property>
  <property fmtid="{D5CDD505-2E9C-101B-9397-08002B2CF9AE}" pid="27" name="_AuthorEmail">
    <vt:lpwstr>hugh.gannon@allianzgloballife.com</vt:lpwstr>
  </property>
  <property fmtid="{D5CDD505-2E9C-101B-9397-08002B2CF9AE}" pid="28" name="_AuthorEmailDisplayName">
    <vt:lpwstr>Gannon, Hugh (Allianz Global Life)</vt:lpwstr>
  </property>
  <property fmtid="{D5CDD505-2E9C-101B-9397-08002B2CF9AE}" pid="30" name="_PreviousAdHocReviewCycleID">
    <vt:i4>824637493</vt:i4>
  </property>
</Properties>
</file>